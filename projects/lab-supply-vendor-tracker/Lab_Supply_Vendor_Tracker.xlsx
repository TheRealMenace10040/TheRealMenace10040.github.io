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Vendors" sheetId="3" state="visible" r:id="rId3"/>
    <sheet xmlns:r="http://schemas.openxmlformats.org/officeDocument/2006/relationships" name="Items" sheetId="4" state="visible" r:id="rId4"/>
    <sheet xmlns:r="http://schemas.openxmlformats.org/officeDocument/2006/relationships" name="PurchaseOrders" sheetId="5" state="visible" r:id="rId5"/>
    <sheet xmlns:r="http://schemas.openxmlformats.org/officeDocument/2006/relationships" name="Inventory" sheetId="6" state="visible" r:id="rId6"/>
    <sheet xmlns:r="http://schemas.openxmlformats.org/officeDocument/2006/relationships" name="ReorderAlerts" sheetId="7" state="visible" r:id="rId7"/>
    <sheet xmlns:r="http://schemas.openxmlformats.org/officeDocument/2006/relationships" name="VendorScorecar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$#,##0.00"/>
    <numFmt numFmtId="165" formatCode="yyyy-mm-dd"/>
    <numFmt numFmtId="166" formatCode="mmm yyyy"/>
    <numFmt numFmtId="167" formatCode="0.0%"/>
    <numFmt numFmtId="168" formatCode="0.0"/>
    <numFmt numFmtId="169" formatCode="$#,##0"/>
    <numFmt numFmtId="170" formatCode="mmm yy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165" fontId="0" fillId="0" borderId="0" pivotButton="0" quotePrefix="0" xfId="0"/>
    <xf numFmtId="170" fontId="0" fillId="0" borderId="0" pivotButton="0" quotePrefix="0" xfId="0"/>
    <xf numFmtId="169" fontId="0" fillId="0" borderId="0" pivotButton="0" quotePrefix="0" xfId="0"/>
    <xf numFmtId="1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49" fontId="0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164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F8CBAD"/>
        </patternFill>
      </fill>
    </dxf>
    <dxf>
      <fill>
        <patternFill patternType="solid">
          <fgColor rgb="00FFE699"/>
        </patternFill>
      </fill>
    </dxf>
    <dxf>
      <fill>
        <patternFill patternType="solid">
          <fgColor rgb="00C6E0B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On-time delivery % by vendor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'VendorScorecard'!F1</f>
            </strRef>
          </tx>
          <spPr>
            <a:ln xmlns:a="http://schemas.openxmlformats.org/drawingml/2006/main">
              <a:prstDash val="solid"/>
            </a:ln>
          </spPr>
          <cat>
            <numRef>
              <f>'VendorScorecard'!$A$2:$A$9</f>
            </numRef>
          </cat>
          <val>
            <numRef>
              <f>'VendorScorecard'!$F$2:$F$9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spend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'Dashboard'!$D$2:$D$13</f>
            </numRef>
          </cat>
          <val>
            <numRef>
              <f>'Dashboard'!$E$2:$E$13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13</row>
      <rowOff>0</rowOff>
    </from>
    <ext cx="576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13</row>
      <rowOff>0</rowOff>
    </from>
    <ext cx="576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Vendors" displayName="tblVendors" ref="A1:D9" headerRowCount="1">
  <autoFilter ref="A1:D9"/>
  <tableColumns count="4">
    <tableColumn id="1" name="VendorID"/>
    <tableColumn id="2" name="VendorName"/>
    <tableColumn id="3" name="Category"/>
    <tableColumn id="4" name="QuotedLeadDays"/>
  </tableColumns>
  <tableStyleInfo name="TableStyleLight9" showRowStripes="1"/>
</table>
</file>

<file path=xl/tables/table2.xml><?xml version="1.0" encoding="utf-8"?>
<table xmlns="http://schemas.openxmlformats.org/spreadsheetml/2006/main" id="2" name="tblItems" displayName="tblItems" ref="A1:G25" headerRowCount="1">
  <autoFilter ref="A1:G25"/>
  <tableColumns count="7">
    <tableColumn id="1" name="SKU"/>
    <tableColumn id="2" name="Description"/>
    <tableColumn id="3" name="VendorID"/>
    <tableColumn id="4" name="UnitCost"/>
    <tableColumn id="5" name="ShelfLifeDays"/>
    <tableColumn id="6" name="MinStock"/>
    <tableColumn id="7" name="ReorderQty"/>
  </tableColumns>
  <tableStyleInfo name="TableStyleLight9" showRowStripes="1"/>
</table>
</file>

<file path=xl/tables/table3.xml><?xml version="1.0" encoding="utf-8"?>
<table xmlns="http://schemas.openxmlformats.org/spreadsheetml/2006/main" id="3" name="tblPOs" displayName="tblPOs" ref="A1:M321" headerRowCount="1">
  <autoFilter ref="A1:M321"/>
  <tableColumns count="13">
    <tableColumn id="1" name="PO"/>
    <tableColumn id="2" name="SKU"/>
    <tableColumn id="3" name="VendorID"/>
    <tableColumn id="4" name="OrderDate"/>
    <tableColumn id="5" name="PromisedDate"/>
    <tableColumn id="6" name="ReceivedDate"/>
    <tableColumn id="7" name="Qty"/>
    <tableColumn id="8" name="UnitCost"/>
    <tableColumn id="9" name="LineTotal"/>
    <tableColumn id="10" name="LeadTimeDays"/>
    <tableColumn id="11" name="OnTime"/>
    <tableColumn id="12" name="DaysLate"/>
    <tableColumn id="13" name="OrderMonth"/>
  </tableColumns>
  <tableStyleInfo name="TableStyleLight9" showRowStripes="1"/>
</table>
</file>

<file path=xl/tables/table4.xml><?xml version="1.0" encoding="utf-8"?>
<table xmlns="http://schemas.openxmlformats.org/spreadsheetml/2006/main" id="4" name="tblInventory" displayName="tblInventory" ref="A1:G50" headerRowCount="1">
  <autoFilter ref="A1:G50"/>
  <tableColumns count="7">
    <tableColumn id="1" name="Lot"/>
    <tableColumn id="2" name="SKU"/>
    <tableColumn id="3" name="QtyOnHand"/>
    <tableColumn id="4" name="ReceivedDate"/>
    <tableColumn id="5" name="ExpiryDate"/>
    <tableColumn id="6" name="DaysToExpiry"/>
    <tableColumn id="7" name="Status"/>
  </tableColumns>
  <tableStyleInfo name="TableStyleLight9" showRowStripes="1"/>
</table>
</file>

<file path=xl/tables/table5.xml><?xml version="1.0" encoding="utf-8"?>
<table xmlns="http://schemas.openxmlformats.org/spreadsheetml/2006/main" id="5" name="tblReorder" displayName="tblReorder" ref="A1:H25" headerRowCount="1">
  <autoFilter ref="A1:H25"/>
  <tableColumns count="8">
    <tableColumn id="1" name="SKU"/>
    <tableColumn id="2" name="Description"/>
    <tableColumn id="3" name="VendorID"/>
    <tableColumn id="4" name="UsableQty"/>
    <tableColumn id="5" name="MinStock"/>
    <tableColumn id="6" name="OpenPOQty"/>
    <tableColumn id="7" name="Reorder?"/>
    <tableColumn id="8" name="SuggestedQty"/>
  </tableColumns>
  <tableStyleInfo name="TableStyleLight9" showRowStripes="1"/>
</table>
</file>

<file path=xl/tables/table6.xml><?xml version="1.0" encoding="utf-8"?>
<table xmlns="http://schemas.openxmlformats.org/spreadsheetml/2006/main" id="6" name="tblScorecard" displayName="tblScorecard" ref="A1:K9" headerRowCount="1">
  <autoFilter ref="A1:K9"/>
  <tableColumns count="11">
    <tableColumn id="1" name="VendorID"/>
    <tableColumn id="2" name="VendorName"/>
    <tableColumn id="3" name="Orders"/>
    <tableColumn id="4" name="Received"/>
    <tableColumn id="5" name="OnTime"/>
    <tableColumn id="6" name="OnTime%"/>
    <tableColumn id="7" name="AvgLeadDays"/>
    <tableColumn id="8" name="QuotedLeadDays"/>
    <tableColumn id="9" name="AvgDaysLate"/>
    <tableColumn id="10" name="Spend12mo"/>
    <tableColumn id="11" name="Rating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Lab Supply &amp; Vendor Performance Tracker</t>
        </is>
      </c>
    </row>
    <row r="2">
      <c r="A2" t="inlineStr">
        <is>
          <t>Portfolio project by Dennis Nguyen. ALL DATA IS SYNTHETIC (randomly generated); vendor names are fictional.</t>
        </is>
      </c>
    </row>
    <row r="3">
      <c r="A3" t="inlineStr"/>
    </row>
    <row r="4">
      <c r="A4" t="inlineStr">
        <is>
          <t>Problem: a QC microbiology lab depends on time-sensitive materials (media with 60-120 day shelf life,</t>
        </is>
      </c>
    </row>
    <row r="5">
      <c r="A5" t="inlineStr">
        <is>
          <t>biological indicators, reagents). Late deliveries and expiring lots cause testing delays and waste.</t>
        </is>
      </c>
    </row>
    <row r="6">
      <c r="A6" t="inlineStr"/>
    </row>
    <row r="7">
      <c r="A7" t="inlineStr">
        <is>
          <t>What this workbook does:</t>
        </is>
      </c>
    </row>
    <row r="8">
      <c r="A8" t="inlineStr">
        <is>
          <t xml:space="preserve">  PurchaseOrders  - 12 months of POs; formulas compute lead time, on-time flag, and days late.</t>
        </is>
      </c>
    </row>
    <row r="9">
      <c r="A9" t="inlineStr">
        <is>
          <t xml:space="preserve">  Inventory       - lots on hand; formulas compute days to expiry and Expired / Expiring / OK status.</t>
        </is>
      </c>
    </row>
    <row r="10">
      <c r="A10" t="inlineStr">
        <is>
          <t xml:space="preserve">  ReorderAlerts   - usable (non-expired) stock vs. minimum; flags items to reorder and suggests qty.</t>
        </is>
      </c>
    </row>
    <row r="11">
      <c r="A11" t="inlineStr">
        <is>
          <t xml:space="preserve">  VendorScorecard - orders, spend, avg lead time, on-time % per vendor (COUNTIFS/SUMIFS/AVERAGEIFS).</t>
        </is>
      </c>
    </row>
    <row r="12">
      <c r="A12" t="inlineStr">
        <is>
          <t xml:space="preserve">  Dashboard       - headline KPIs, on-time % by vendor chart, monthly spend trend.</t>
        </is>
      </c>
    </row>
    <row r="13">
      <c r="A13" t="inlineStr"/>
    </row>
    <row r="14">
      <c r="A14" t="inlineStr">
        <is>
          <t>Automation: import vba/VendorTracker.bas (Alt+F11 &gt; File &gt; Import) and save as .xlsm. Macros:</t>
        </is>
      </c>
    </row>
    <row r="15">
      <c r="A15" t="inlineStr">
        <is>
          <t xml:space="preserve">  RefreshAll_And_Stamp - recalculates, sorts the reorder list, and timestamps the dashboard.</t>
        </is>
      </c>
    </row>
    <row r="16">
      <c r="A16" t="inlineStr">
        <is>
          <t xml:space="preserve">  ExportReorderList    - writes the items needing reorder to a dated CSV for purchasing.</t>
        </is>
      </c>
    </row>
    <row r="17">
      <c r="A17" t="inlineStr">
        <is>
          <t xml:space="preserve">  ImportPOs            - appends new PO rows from a CSV export into the PurchaseOrders table.</t>
        </is>
      </c>
    </row>
    <row r="18">
      <c r="A18" t="inlineStr"/>
    </row>
    <row r="19">
      <c r="A19" t="inlineStr">
        <is>
          <t>'As of' date for all calculations is fixed at 2026-10-01 (cell Dashboard!B2) so results are reproducible.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4" max="4"/>
    <col width="12" customWidth="1" min="5" max="5"/>
  </cols>
  <sheetData>
    <row r="1">
      <c r="A1" s="1" t="inlineStr">
        <is>
          <t>Lab Supply &amp; Vendor Dashboard (synthetic data)</t>
        </is>
      </c>
      <c r="D1" s="2" t="inlineStr">
        <is>
          <t>Month</t>
        </is>
      </c>
      <c r="E1" s="2" t="inlineStr">
        <is>
          <t>Spend</t>
        </is>
      </c>
    </row>
    <row r="2">
      <c r="A2" s="3" t="inlineStr">
        <is>
          <t>As-of date</t>
        </is>
      </c>
      <c r="B2" s="4" t="n">
        <v>46296</v>
      </c>
      <c r="D2" s="5" t="n">
        <v>45931</v>
      </c>
      <c r="E2" s="6">
        <f>SUMIFS(PurchaseOrders!$I$2:$I$321,PurchaseOrders!$M$2:$M$321,D2)</f>
        <v/>
      </c>
    </row>
    <row r="3">
      <c r="A3" s="3" t="inlineStr">
        <is>
          <t>Total spend (12 mo)</t>
        </is>
      </c>
      <c r="B3" s="6">
        <f>SUM(PurchaseOrders!I2:I321)</f>
        <v/>
      </c>
      <c r="D3" s="5" t="n">
        <v>45962</v>
      </c>
      <c r="E3" s="6">
        <f>SUMIFS(PurchaseOrders!$I$2:$I$321,PurchaseOrders!$M$2:$M$321,D3)</f>
        <v/>
      </c>
    </row>
    <row r="4">
      <c r="A4" s="3" t="inlineStr">
        <is>
          <t>Purchase orders</t>
        </is>
      </c>
      <c r="B4" s="7">
        <f>COUNTA(PurchaseOrders!A2:A321)</f>
        <v/>
      </c>
      <c r="D4" s="5" t="n">
        <v>45992</v>
      </c>
      <c r="E4" s="6">
        <f>SUMIFS(PurchaseOrders!$I$2:$I$321,PurchaseOrders!$M$2:$M$321,D4)</f>
        <v/>
      </c>
    </row>
    <row r="5">
      <c r="A5" s="3" t="inlineStr">
        <is>
          <t>Overall on-time delivery %</t>
        </is>
      </c>
      <c r="B5" s="8">
        <f>COUNTIF(PurchaseOrders!K2:K321,"Yes")/COUNTIF(PurchaseOrders!K2:K321,"&lt;&gt;Open")</f>
        <v/>
      </c>
      <c r="D5" s="5" t="n">
        <v>46023</v>
      </c>
      <c r="E5" s="6">
        <f>SUMIFS(PurchaseOrders!$I$2:$I$321,PurchaseOrders!$M$2:$M$321,D5)</f>
        <v/>
      </c>
    </row>
    <row r="6">
      <c r="A6" s="3" t="inlineStr">
        <is>
          <t>Avg lead time (days)</t>
        </is>
      </c>
      <c r="B6" s="9">
        <f>AVERAGEIF(PurchaseOrders!K2:K321,"&lt;&gt;Open",PurchaseOrders!J2:J321)</f>
        <v/>
      </c>
      <c r="D6" s="5" t="n">
        <v>46054</v>
      </c>
      <c r="E6" s="6">
        <f>SUMIFS(PurchaseOrders!$I$2:$I$321,PurchaseOrders!$M$2:$M$321,D6)</f>
        <v/>
      </c>
    </row>
    <row r="7">
      <c r="A7" s="3" t="inlineStr">
        <is>
          <t>Open POs</t>
        </is>
      </c>
      <c r="B7" s="7">
        <f>COUNTIF(PurchaseOrders!K2:K321,"Open")</f>
        <v/>
      </c>
      <c r="D7" s="5" t="n">
        <v>46082</v>
      </c>
      <c r="E7" s="6">
        <f>SUMIFS(PurchaseOrders!$I$2:$I$321,PurchaseOrders!$M$2:$M$321,D7)</f>
        <v/>
      </c>
    </row>
    <row r="8">
      <c r="A8" s="3" t="inlineStr">
        <is>
          <t>Items below reorder point</t>
        </is>
      </c>
      <c r="B8" s="7">
        <f>COUNTIF(ReorderAlerts!G2:G25,"YES")</f>
        <v/>
      </c>
      <c r="D8" s="5" t="n">
        <v>46113</v>
      </c>
      <c r="E8" s="6">
        <f>SUMIFS(PurchaseOrders!$I$2:$I$321,PurchaseOrders!$M$2:$M$321,D8)</f>
        <v/>
      </c>
    </row>
    <row r="9">
      <c r="A9" s="3" t="inlineStr">
        <is>
          <t>Lots expired</t>
        </is>
      </c>
      <c r="B9" s="7">
        <f>COUNTIF(Inventory!G2:G50,"Expired")</f>
        <v/>
      </c>
      <c r="D9" s="5" t="n">
        <v>46143</v>
      </c>
      <c r="E9" s="6">
        <f>SUMIFS(PurchaseOrders!$I$2:$I$321,PurchaseOrders!$M$2:$M$321,D9)</f>
        <v/>
      </c>
    </row>
    <row r="10">
      <c r="A10" s="3" t="inlineStr">
        <is>
          <t>Lots expiring within 30 days</t>
        </is>
      </c>
      <c r="B10" s="7">
        <f>COUNTIF(Inventory!G2:G50,"Expiring")</f>
        <v/>
      </c>
      <c r="D10" s="5" t="n">
        <v>46174</v>
      </c>
      <c r="E10" s="6">
        <f>SUMIFS(PurchaseOrders!$I$2:$I$321,PurchaseOrders!$M$2:$M$321,D10)</f>
        <v/>
      </c>
    </row>
    <row r="11">
      <c r="A11" s="3" t="inlineStr">
        <is>
          <t>Last refreshed (macro)</t>
        </is>
      </c>
      <c r="B11" s="10" t="inlineStr"/>
      <c r="D11" s="5" t="n">
        <v>46204</v>
      </c>
      <c r="E11" s="6">
        <f>SUMIFS(PurchaseOrders!$I$2:$I$321,PurchaseOrders!$M$2:$M$321,D11)</f>
        <v/>
      </c>
    </row>
    <row r="12">
      <c r="D12" s="5" t="n">
        <v>46235</v>
      </c>
      <c r="E12" s="6">
        <f>SUMIFS(PurchaseOrders!$I$2:$I$321,PurchaseOrders!$M$2:$M$321,D12)</f>
        <v/>
      </c>
    </row>
    <row r="13">
      <c r="D13" s="5" t="n">
        <v>46266</v>
      </c>
      <c r="E13" s="6">
        <f>SUMIFS(PurchaseOrders!$I$2:$I$321,PurchaseOrders!$M$2:$M$321,D13)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20" customWidth="1" min="3" max="3"/>
    <col width="14" customWidth="1" min="4" max="4"/>
  </cols>
  <sheetData>
    <row r="1">
      <c r="A1" s="11" t="inlineStr">
        <is>
          <t>VendorID</t>
        </is>
      </c>
      <c r="B1" s="11" t="inlineStr">
        <is>
          <t>VendorName</t>
        </is>
      </c>
      <c r="C1" s="11" t="inlineStr">
        <is>
          <t>Category</t>
        </is>
      </c>
      <c r="D1" s="11" t="inlineStr">
        <is>
          <t>QuotedLeadDays</t>
        </is>
      </c>
    </row>
    <row r="2">
      <c r="A2" t="inlineStr">
        <is>
          <t>V01</t>
        </is>
      </c>
      <c r="B2" t="inlineStr">
        <is>
          <t>Northstar Media Supply</t>
        </is>
      </c>
      <c r="C2" t="inlineStr">
        <is>
          <t>Culture media</t>
        </is>
      </c>
      <c r="D2" t="n">
        <v>10</v>
      </c>
    </row>
    <row r="3">
      <c r="A3" t="inlineStr">
        <is>
          <t>V02</t>
        </is>
      </c>
      <c r="B3" t="inlineStr">
        <is>
          <t>Pacific BioReagents</t>
        </is>
      </c>
      <c r="C3" t="inlineStr">
        <is>
          <t>Reagents</t>
        </is>
      </c>
      <c r="D3" t="n">
        <v>14</v>
      </c>
    </row>
    <row r="4">
      <c r="A4" t="inlineStr">
        <is>
          <t>V03</t>
        </is>
      </c>
      <c r="B4" t="inlineStr">
        <is>
          <t>CleanLab Consumables</t>
        </is>
      </c>
      <c r="C4" t="inlineStr">
        <is>
          <t>Consumables</t>
        </is>
      </c>
      <c r="D4" t="n">
        <v>7</v>
      </c>
    </row>
    <row r="5">
      <c r="A5" t="inlineStr">
        <is>
          <t>V04</t>
        </is>
      </c>
      <c r="B5" t="inlineStr">
        <is>
          <t>Sterile Source Inc.</t>
        </is>
      </c>
      <c r="C5" t="inlineStr">
        <is>
          <t>Sterility supplies</t>
        </is>
      </c>
      <c r="D5" t="n">
        <v>12</v>
      </c>
    </row>
    <row r="6">
      <c r="A6" t="inlineStr">
        <is>
          <t>V05</t>
        </is>
      </c>
      <c r="B6" t="inlineStr">
        <is>
          <t>Coastal Gas &amp; Air</t>
        </is>
      </c>
      <c r="C6" t="inlineStr">
        <is>
          <t>Compressed gas</t>
        </is>
      </c>
      <c r="D6" t="n">
        <v>5</v>
      </c>
    </row>
    <row r="7">
      <c r="A7" t="inlineStr">
        <is>
          <t>V06</t>
        </is>
      </c>
      <c r="B7" t="inlineStr">
        <is>
          <t>Apex Calibration Svcs</t>
        </is>
      </c>
      <c r="C7" t="inlineStr">
        <is>
          <t>Calibration</t>
        </is>
      </c>
      <c r="D7" t="n">
        <v>21</v>
      </c>
    </row>
    <row r="8">
      <c r="A8" t="inlineStr">
        <is>
          <t>V07</t>
        </is>
      </c>
      <c r="B8" t="inlineStr">
        <is>
          <t>BioIndicator Labs</t>
        </is>
      </c>
      <c r="C8" t="inlineStr">
        <is>
          <t>Biological indicators</t>
        </is>
      </c>
      <c r="D8" t="n">
        <v>18</v>
      </c>
    </row>
    <row r="9">
      <c r="A9" t="inlineStr">
        <is>
          <t>V08</t>
        </is>
      </c>
      <c r="B9" t="inlineStr">
        <is>
          <t>Summit Glassware</t>
        </is>
      </c>
      <c r="C9" t="inlineStr">
        <is>
          <t>Glassware</t>
        </is>
      </c>
      <c r="D9" t="n">
        <v>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10" customWidth="1" min="3" max="3"/>
    <col width="10" customWidth="1" min="4" max="4"/>
    <col width="13" customWidth="1" min="5" max="5"/>
    <col width="10" customWidth="1" min="6" max="6"/>
    <col width="11" customWidth="1" min="7" max="7"/>
  </cols>
  <sheetData>
    <row r="1">
      <c r="A1" s="11" t="inlineStr">
        <is>
          <t>SKU</t>
        </is>
      </c>
      <c r="B1" s="11" t="inlineStr">
        <is>
          <t>Description</t>
        </is>
      </c>
      <c r="C1" s="11" t="inlineStr">
        <is>
          <t>VendorID</t>
        </is>
      </c>
      <c r="D1" s="11" t="inlineStr">
        <is>
          <t>UnitCost</t>
        </is>
      </c>
      <c r="E1" s="11" t="inlineStr">
        <is>
          <t>ShelfLifeDays</t>
        </is>
      </c>
      <c r="F1" s="11" t="inlineStr">
        <is>
          <t>MinStock</t>
        </is>
      </c>
      <c r="G1" s="11" t="inlineStr">
        <is>
          <t>ReorderQty</t>
        </is>
      </c>
    </row>
    <row r="2">
      <c r="A2" t="inlineStr">
        <is>
          <t>MED-001</t>
        </is>
      </c>
      <c r="B2" t="inlineStr">
        <is>
          <t>Tryptic Soy Agar plates (10/pk)</t>
        </is>
      </c>
      <c r="C2" t="inlineStr">
        <is>
          <t>V01</t>
        </is>
      </c>
      <c r="D2" s="12" t="n">
        <v>28.5</v>
      </c>
      <c r="E2" t="n">
        <v>90</v>
      </c>
      <c r="F2" t="n">
        <v>40</v>
      </c>
      <c r="G2" t="n">
        <v>60</v>
      </c>
    </row>
    <row r="3">
      <c r="A3" t="inlineStr">
        <is>
          <t>MED-002</t>
        </is>
      </c>
      <c r="B3" t="inlineStr">
        <is>
          <t>Sabouraud Dextrose Agar plates (10/pk)</t>
        </is>
      </c>
      <c r="C3" t="inlineStr">
        <is>
          <t>V01</t>
        </is>
      </c>
      <c r="D3" s="12" t="n">
        <v>31</v>
      </c>
      <c r="E3" t="n">
        <v>90</v>
      </c>
      <c r="F3" t="n">
        <v>20</v>
      </c>
      <c r="G3" t="n">
        <v>30</v>
      </c>
    </row>
    <row r="4">
      <c r="A4" t="inlineStr">
        <is>
          <t>MED-003</t>
        </is>
      </c>
      <c r="B4" t="inlineStr">
        <is>
          <t>R2A Agar plates (10/pk)</t>
        </is>
      </c>
      <c r="C4" t="inlineStr">
        <is>
          <t>V01</t>
        </is>
      </c>
      <c r="D4" s="12" t="n">
        <v>34.25</v>
      </c>
      <c r="E4" t="n">
        <v>60</v>
      </c>
      <c r="F4" t="n">
        <v>15</v>
      </c>
      <c r="G4" t="n">
        <v>25</v>
      </c>
    </row>
    <row r="5">
      <c r="A5" t="inlineStr">
        <is>
          <t>MED-004</t>
        </is>
      </c>
      <c r="B5" t="inlineStr">
        <is>
          <t>Contact plates, TSA w/ neutralizer (20/pk)</t>
        </is>
      </c>
      <c r="C5" t="inlineStr">
        <is>
          <t>V01</t>
        </is>
      </c>
      <c r="D5" s="12" t="n">
        <v>46</v>
      </c>
      <c r="E5" t="n">
        <v>75</v>
      </c>
      <c r="F5" t="n">
        <v>30</v>
      </c>
      <c r="G5" t="n">
        <v>40</v>
      </c>
    </row>
    <row r="6">
      <c r="A6" t="inlineStr">
        <is>
          <t>MED-005</t>
        </is>
      </c>
      <c r="B6" t="inlineStr">
        <is>
          <t>Fluid Thioglycollate tubes (25/pk)</t>
        </is>
      </c>
      <c r="C6" t="inlineStr">
        <is>
          <t>V01</t>
        </is>
      </c>
      <c r="D6" s="12" t="n">
        <v>52.75</v>
      </c>
      <c r="E6" t="n">
        <v>120</v>
      </c>
      <c r="F6" t="n">
        <v>10</v>
      </c>
      <c r="G6" t="n">
        <v>20</v>
      </c>
    </row>
    <row r="7">
      <c r="A7" t="inlineStr">
        <is>
          <t>RGT-001</t>
        </is>
      </c>
      <c r="B7" t="inlineStr">
        <is>
          <t>Gram stain kit</t>
        </is>
      </c>
      <c r="C7" t="inlineStr">
        <is>
          <t>V02</t>
        </is>
      </c>
      <c r="D7" s="12" t="n">
        <v>89</v>
      </c>
      <c r="E7" t="n">
        <v>365</v>
      </c>
      <c r="F7" t="n">
        <v>4</v>
      </c>
      <c r="G7" t="n">
        <v>6</v>
      </c>
    </row>
    <row r="8">
      <c r="A8" t="inlineStr">
        <is>
          <t>RGT-002</t>
        </is>
      </c>
      <c r="B8" t="inlineStr">
        <is>
          <t>Endotoxin LAL reagent kit</t>
        </is>
      </c>
      <c r="C8" t="inlineStr">
        <is>
          <t>V02</t>
        </is>
      </c>
      <c r="D8" s="12" t="n">
        <v>412</v>
      </c>
      <c r="E8" t="n">
        <v>180</v>
      </c>
      <c r="F8" t="n">
        <v>3</v>
      </c>
      <c r="G8" t="n">
        <v>5</v>
      </c>
    </row>
    <row r="9">
      <c r="A9" t="inlineStr">
        <is>
          <t>RGT-003</t>
        </is>
      </c>
      <c r="B9" t="inlineStr">
        <is>
          <t>Catalase reagent (100 mL)</t>
        </is>
      </c>
      <c r="C9" t="inlineStr">
        <is>
          <t>V02</t>
        </is>
      </c>
      <c r="D9" s="12" t="n">
        <v>24.5</v>
      </c>
      <c r="E9" t="n">
        <v>270</v>
      </c>
      <c r="F9" t="n">
        <v>5</v>
      </c>
      <c r="G9" t="n">
        <v>10</v>
      </c>
    </row>
    <row r="10">
      <c r="A10" t="inlineStr">
        <is>
          <t>RGT-004</t>
        </is>
      </c>
      <c r="B10" t="inlineStr">
        <is>
          <t>ID panel cartridges (20/box)</t>
        </is>
      </c>
      <c r="C10" t="inlineStr">
        <is>
          <t>V02</t>
        </is>
      </c>
      <c r="D10" s="12" t="n">
        <v>265</v>
      </c>
      <c r="E10" t="n">
        <v>240</v>
      </c>
      <c r="F10" t="n">
        <v>6</v>
      </c>
      <c r="G10" t="n">
        <v>8</v>
      </c>
    </row>
    <row r="11">
      <c r="A11" t="inlineStr">
        <is>
          <t>CON-001</t>
        </is>
      </c>
      <c r="B11" t="inlineStr">
        <is>
          <t>Sterile pipette tips 1000 uL (960/cs)</t>
        </is>
      </c>
      <c r="C11" t="inlineStr">
        <is>
          <t>V03</t>
        </is>
      </c>
      <c r="D11" s="12" t="n">
        <v>118</v>
      </c>
      <c r="E11" t="n">
        <v>0</v>
      </c>
      <c r="F11" t="n">
        <v>8</v>
      </c>
      <c r="G11" t="n">
        <v>12</v>
      </c>
    </row>
    <row r="12">
      <c r="A12" t="inlineStr">
        <is>
          <t>CON-002</t>
        </is>
      </c>
      <c r="B12" t="inlineStr">
        <is>
          <t>Sterile swabs (100/pk)</t>
        </is>
      </c>
      <c r="C12" t="inlineStr">
        <is>
          <t>V03</t>
        </is>
      </c>
      <c r="D12" s="12" t="n">
        <v>19.75</v>
      </c>
      <c r="E12" t="n">
        <v>730</v>
      </c>
      <c r="F12" t="n">
        <v>15</v>
      </c>
      <c r="G12" t="n">
        <v>25</v>
      </c>
    </row>
    <row r="13">
      <c r="A13" t="inlineStr">
        <is>
          <t>CON-003</t>
        </is>
      </c>
      <c r="B13" t="inlineStr">
        <is>
          <t>Nitrile gloves M (1000/cs)</t>
        </is>
      </c>
      <c r="C13" t="inlineStr">
        <is>
          <t>V03</t>
        </is>
      </c>
      <c r="D13" s="12" t="n">
        <v>72</v>
      </c>
      <c r="E13" t="n">
        <v>0</v>
      </c>
      <c r="F13" t="n">
        <v>10</v>
      </c>
      <c r="G13" t="n">
        <v>15</v>
      </c>
    </row>
    <row r="14">
      <c r="A14" t="inlineStr">
        <is>
          <t>CON-004</t>
        </is>
      </c>
      <c r="B14" t="inlineStr">
        <is>
          <t>Membrane filters 0.45 um (100/pk)</t>
        </is>
      </c>
      <c r="C14" t="inlineStr">
        <is>
          <t>V03</t>
        </is>
      </c>
      <c r="D14" s="12" t="n">
        <v>96.5</v>
      </c>
      <c r="E14" t="n">
        <v>1095</v>
      </c>
      <c r="F14" t="n">
        <v>6</v>
      </c>
      <c r="G14" t="n">
        <v>10</v>
      </c>
    </row>
    <row r="15">
      <c r="A15" t="inlineStr">
        <is>
          <t>STR-001</t>
        </is>
      </c>
      <c r="B15" t="inlineStr">
        <is>
          <t>Sterile sampling bags (500/cs)</t>
        </is>
      </c>
      <c r="C15" t="inlineStr">
        <is>
          <t>V04</t>
        </is>
      </c>
      <c r="D15" s="12" t="n">
        <v>145</v>
      </c>
      <c r="E15" t="n">
        <v>730</v>
      </c>
      <c r="F15" t="n">
        <v>4</v>
      </c>
      <c r="G15" t="n">
        <v>6</v>
      </c>
    </row>
    <row r="16">
      <c r="A16" t="inlineStr">
        <is>
          <t>STR-002</t>
        </is>
      </c>
      <c r="B16" t="inlineStr">
        <is>
          <t>Isopropyl alcohol 70% sterile (12/cs)</t>
        </is>
      </c>
      <c r="C16" t="inlineStr">
        <is>
          <t>V04</t>
        </is>
      </c>
      <c r="D16" s="12" t="n">
        <v>88</v>
      </c>
      <c r="E16" t="n">
        <v>540</v>
      </c>
      <c r="F16" t="n">
        <v>6</v>
      </c>
      <c r="G16" t="n">
        <v>10</v>
      </c>
    </row>
    <row r="17">
      <c r="A17" t="inlineStr">
        <is>
          <t>STR-003</t>
        </is>
      </c>
      <c r="B17" t="inlineStr">
        <is>
          <t>Sterile gowns (30/cs)</t>
        </is>
      </c>
      <c r="C17" t="inlineStr">
        <is>
          <t>V04</t>
        </is>
      </c>
      <c r="D17" s="12" t="n">
        <v>132</v>
      </c>
      <c r="E17" t="n">
        <v>1095</v>
      </c>
      <c r="F17" t="n">
        <v>5</v>
      </c>
      <c r="G17" t="n">
        <v>8</v>
      </c>
    </row>
    <row r="18">
      <c r="A18" t="inlineStr">
        <is>
          <t>GAS-001</t>
        </is>
      </c>
      <c r="B18" t="inlineStr">
        <is>
          <t>Nitrogen cylinder, UHP</t>
        </is>
      </c>
      <c r="C18" t="inlineStr">
        <is>
          <t>V05</t>
        </is>
      </c>
      <c r="D18" s="12" t="n">
        <v>64</v>
      </c>
      <c r="E18" t="n">
        <v>0</v>
      </c>
      <c r="F18" t="n">
        <v>3</v>
      </c>
      <c r="G18" t="n">
        <v>4</v>
      </c>
    </row>
    <row r="19">
      <c r="A19" t="inlineStr">
        <is>
          <t>GAS-002</t>
        </is>
      </c>
      <c r="B19" t="inlineStr">
        <is>
          <t>CO2 cylinder, incubator grade</t>
        </is>
      </c>
      <c r="C19" t="inlineStr">
        <is>
          <t>V05</t>
        </is>
      </c>
      <c r="D19" s="12" t="n">
        <v>58</v>
      </c>
      <c r="E19" t="n">
        <v>0</v>
      </c>
      <c r="F19" t="n">
        <v>3</v>
      </c>
      <c r="G19" t="n">
        <v>4</v>
      </c>
    </row>
    <row r="20">
      <c r="A20" t="inlineStr">
        <is>
          <t>CAL-001</t>
        </is>
      </c>
      <c r="B20" t="inlineStr">
        <is>
          <t>Pipette calibration service (per unit)</t>
        </is>
      </c>
      <c r="C20" t="inlineStr">
        <is>
          <t>V06</t>
        </is>
      </c>
      <c r="D20" s="12" t="n">
        <v>45</v>
      </c>
      <c r="E20" t="n">
        <v>0</v>
      </c>
      <c r="F20" t="n">
        <v>0</v>
      </c>
      <c r="G20" t="n">
        <v>20</v>
      </c>
    </row>
    <row r="21">
      <c r="A21" t="inlineStr">
        <is>
          <t>CAL-002</t>
        </is>
      </c>
      <c r="B21" t="inlineStr">
        <is>
          <t>Air sampler calibration service</t>
        </is>
      </c>
      <c r="C21" t="inlineStr">
        <is>
          <t>V06</t>
        </is>
      </c>
      <c r="D21" s="12" t="n">
        <v>380</v>
      </c>
      <c r="E21" t="n">
        <v>0</v>
      </c>
      <c r="F21" t="n">
        <v>0</v>
      </c>
      <c r="G21" t="n">
        <v>2</v>
      </c>
    </row>
    <row r="22">
      <c r="A22" t="inlineStr">
        <is>
          <t>BIO-001</t>
        </is>
      </c>
      <c r="B22" t="inlineStr">
        <is>
          <t>Steam BI ampoules (100/box)</t>
        </is>
      </c>
      <c r="C22" t="inlineStr">
        <is>
          <t>V07</t>
        </is>
      </c>
      <c r="D22" s="12" t="n">
        <v>310</v>
      </c>
      <c r="E22" t="n">
        <v>365</v>
      </c>
      <c r="F22" t="n">
        <v>3</v>
      </c>
      <c r="G22" t="n">
        <v>4</v>
      </c>
    </row>
    <row r="23">
      <c r="A23" t="inlineStr">
        <is>
          <t>BIO-002</t>
        </is>
      </c>
      <c r="B23" t="inlineStr">
        <is>
          <t>EO BI strips (100/box)</t>
        </is>
      </c>
      <c r="C23" t="inlineStr">
        <is>
          <t>V07</t>
        </is>
      </c>
      <c r="D23" s="12" t="n">
        <v>275</v>
      </c>
      <c r="E23" t="n">
        <v>365</v>
      </c>
      <c r="F23" t="n">
        <v>2</v>
      </c>
      <c r="G23" t="n">
        <v>3</v>
      </c>
    </row>
    <row r="24">
      <c r="A24" t="inlineStr">
        <is>
          <t>GLS-001</t>
        </is>
      </c>
      <c r="B24" t="inlineStr">
        <is>
          <t>Media bottles 500 mL (10/cs)</t>
        </is>
      </c>
      <c r="C24" t="inlineStr">
        <is>
          <t>V08</t>
        </is>
      </c>
      <c r="D24" s="12" t="n">
        <v>64</v>
      </c>
      <c r="E24" t="n">
        <v>0</v>
      </c>
      <c r="F24" t="n">
        <v>4</v>
      </c>
      <c r="G24" t="n">
        <v>6</v>
      </c>
    </row>
    <row r="25">
      <c r="A25" t="inlineStr">
        <is>
          <t>GLS-002</t>
        </is>
      </c>
      <c r="B25" t="inlineStr">
        <is>
          <t>Petri dish glass (12/cs)</t>
        </is>
      </c>
      <c r="C25" t="inlineStr">
        <is>
          <t>V08</t>
        </is>
      </c>
      <c r="D25" s="12" t="n">
        <v>58.5</v>
      </c>
      <c r="E25" t="n">
        <v>0</v>
      </c>
      <c r="F25" t="n">
        <v>3</v>
      </c>
      <c r="G25" t="n">
        <v>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2" customWidth="1" min="4" max="4"/>
    <col width="13" customWidth="1" min="5" max="5"/>
    <col width="13" customWidth="1" min="6" max="6"/>
    <col width="6" customWidth="1" min="7" max="7"/>
    <col width="10" customWidth="1" min="8" max="8"/>
    <col width="11" customWidth="1" min="9" max="9"/>
    <col width="12" customWidth="1" min="10" max="10"/>
    <col width="9" customWidth="1" min="11" max="11"/>
    <col width="9" customWidth="1" min="12" max="12"/>
    <col width="11" customWidth="1" min="13" max="13"/>
  </cols>
  <sheetData>
    <row r="1">
      <c r="A1" s="11" t="inlineStr">
        <is>
          <t>PO</t>
        </is>
      </c>
      <c r="B1" s="11" t="inlineStr">
        <is>
          <t>SKU</t>
        </is>
      </c>
      <c r="C1" s="11" t="inlineStr">
        <is>
          <t>VendorID</t>
        </is>
      </c>
      <c r="D1" s="11" t="inlineStr">
        <is>
          <t>OrderDate</t>
        </is>
      </c>
      <c r="E1" s="11" t="inlineStr">
        <is>
          <t>PromisedDate</t>
        </is>
      </c>
      <c r="F1" s="11" t="inlineStr">
        <is>
          <t>ReceivedDate</t>
        </is>
      </c>
      <c r="G1" s="11" t="inlineStr">
        <is>
          <t>Qty</t>
        </is>
      </c>
      <c r="H1" s="11" t="inlineStr">
        <is>
          <t>UnitCost</t>
        </is>
      </c>
      <c r="I1" s="11" t="inlineStr">
        <is>
          <t>LineTotal</t>
        </is>
      </c>
      <c r="J1" s="11" t="inlineStr">
        <is>
          <t>LeadTimeDays</t>
        </is>
      </c>
      <c r="K1" s="11" t="inlineStr">
        <is>
          <t>OnTime</t>
        </is>
      </c>
      <c r="L1" s="11" t="inlineStr">
        <is>
          <t>DaysLate</t>
        </is>
      </c>
      <c r="M1" s="11" t="inlineStr">
        <is>
          <t>OrderMonth</t>
        </is>
      </c>
    </row>
    <row r="2">
      <c r="A2" t="inlineStr">
        <is>
          <t>PO-24002</t>
        </is>
      </c>
      <c r="B2" t="inlineStr">
        <is>
          <t>GAS-001</t>
        </is>
      </c>
      <c r="C2">
        <f>INDEX(Items!$C$2:$C$25,MATCH(B2,Items!$A$2:$A$25,0))</f>
        <v/>
      </c>
      <c r="D2" s="4" t="n">
        <v>45931</v>
      </c>
      <c r="E2" s="4" t="n">
        <v>45936</v>
      </c>
      <c r="F2" s="4" t="n">
        <v>45933</v>
      </c>
      <c r="G2" t="n">
        <v>4</v>
      </c>
      <c r="H2" s="12">
        <f>INDEX(Items!$D$2:$D$25,MATCH(B2,Items!$A$2:$A$25,0))</f>
        <v/>
      </c>
      <c r="I2" s="12">
        <f>G2*H2</f>
        <v/>
      </c>
      <c r="J2">
        <f>IF(F2="","",F2-D2)</f>
        <v/>
      </c>
      <c r="K2">
        <f>IF(F2="","Open",IF(F2&lt;=E2,"Yes","No"))</f>
        <v/>
      </c>
      <c r="L2">
        <f>IF(F2="","",MAX(0,F2-E2))</f>
        <v/>
      </c>
      <c r="M2" s="13">
        <f>DATE(YEAR(D2),MONTH(D2),1)</f>
        <v/>
      </c>
    </row>
    <row r="3">
      <c r="A3" t="inlineStr">
        <is>
          <t>PO-24003</t>
        </is>
      </c>
      <c r="B3" t="inlineStr">
        <is>
          <t>MED-002</t>
        </is>
      </c>
      <c r="C3">
        <f>INDEX(Items!$C$2:$C$25,MATCH(B3,Items!$A$2:$A$25,0))</f>
        <v/>
      </c>
      <c r="D3" s="4" t="n">
        <v>45934</v>
      </c>
      <c r="E3" s="4" t="n">
        <v>45944</v>
      </c>
      <c r="F3" s="4" t="n">
        <v>45943</v>
      </c>
      <c r="G3" t="n">
        <v>14</v>
      </c>
      <c r="H3" s="12">
        <f>INDEX(Items!$D$2:$D$25,MATCH(B3,Items!$A$2:$A$25,0))</f>
        <v/>
      </c>
      <c r="I3" s="12">
        <f>G3*H3</f>
        <v/>
      </c>
      <c r="J3">
        <f>IF(F3="","",F3-D3)</f>
        <v/>
      </c>
      <c r="K3">
        <f>IF(F3="","Open",IF(F3&lt;=E3,"Yes","No"))</f>
        <v/>
      </c>
      <c r="L3">
        <f>IF(F3="","",MAX(0,F3-E3))</f>
        <v/>
      </c>
      <c r="M3" s="13">
        <f>DATE(YEAR(D3),MONTH(D3),1)</f>
        <v/>
      </c>
    </row>
    <row r="4">
      <c r="A4" t="inlineStr">
        <is>
          <t>PO-24004</t>
        </is>
      </c>
      <c r="B4" t="inlineStr">
        <is>
          <t>CON-002</t>
        </is>
      </c>
      <c r="C4">
        <f>INDEX(Items!$C$2:$C$25,MATCH(B4,Items!$A$2:$A$25,0))</f>
        <v/>
      </c>
      <c r="D4" s="4" t="n">
        <v>45939</v>
      </c>
      <c r="E4" s="4" t="n">
        <v>45946</v>
      </c>
      <c r="F4" s="4" t="n">
        <v>45946</v>
      </c>
      <c r="G4" t="n">
        <v>12</v>
      </c>
      <c r="H4" s="12">
        <f>INDEX(Items!$D$2:$D$25,MATCH(B4,Items!$A$2:$A$25,0))</f>
        <v/>
      </c>
      <c r="I4" s="12">
        <f>G4*H4</f>
        <v/>
      </c>
      <c r="J4">
        <f>IF(F4="","",F4-D4)</f>
        <v/>
      </c>
      <c r="K4">
        <f>IF(F4="","Open",IF(F4&lt;=E4,"Yes","No"))</f>
        <v/>
      </c>
      <c r="L4">
        <f>IF(F4="","",MAX(0,F4-E4))</f>
        <v/>
      </c>
      <c r="M4" s="13">
        <f>DATE(YEAR(D4),MONTH(D4),1)</f>
        <v/>
      </c>
    </row>
    <row r="5">
      <c r="A5" t="inlineStr">
        <is>
          <t>PO-24005</t>
        </is>
      </c>
      <c r="B5" t="inlineStr">
        <is>
          <t>STR-001</t>
        </is>
      </c>
      <c r="C5">
        <f>INDEX(Items!$C$2:$C$25,MATCH(B5,Items!$A$2:$A$25,0))</f>
        <v/>
      </c>
      <c r="D5" s="4" t="n">
        <v>45947</v>
      </c>
      <c r="E5" s="4" t="n">
        <v>45959</v>
      </c>
      <c r="F5" s="4" t="n">
        <v>45963</v>
      </c>
      <c r="G5" t="n">
        <v>2</v>
      </c>
      <c r="H5" s="12">
        <f>INDEX(Items!$D$2:$D$25,MATCH(B5,Items!$A$2:$A$25,0))</f>
        <v/>
      </c>
      <c r="I5" s="12">
        <f>G5*H5</f>
        <v/>
      </c>
      <c r="J5">
        <f>IF(F5="","",F5-D5)</f>
        <v/>
      </c>
      <c r="K5">
        <f>IF(F5="","Open",IF(F5&lt;=E5,"Yes","No"))</f>
        <v/>
      </c>
      <c r="L5">
        <f>IF(F5="","",MAX(0,F5-E5))</f>
        <v/>
      </c>
      <c r="M5" s="13">
        <f>DATE(YEAR(D5),MONTH(D5),1)</f>
        <v/>
      </c>
    </row>
    <row r="6">
      <c r="A6" t="inlineStr">
        <is>
          <t>PO-24006</t>
        </is>
      </c>
      <c r="B6" t="inlineStr">
        <is>
          <t>CON-004</t>
        </is>
      </c>
      <c r="C6">
        <f>INDEX(Items!$C$2:$C$25,MATCH(B6,Items!$A$2:$A$25,0))</f>
        <v/>
      </c>
      <c r="D6" s="4" t="n">
        <v>45952</v>
      </c>
      <c r="E6" s="4" t="n">
        <v>45959</v>
      </c>
      <c r="F6" s="4" t="n">
        <v>45956</v>
      </c>
      <c r="G6" t="n">
        <v>2</v>
      </c>
      <c r="H6" s="12">
        <f>INDEX(Items!$D$2:$D$25,MATCH(B6,Items!$A$2:$A$25,0))</f>
        <v/>
      </c>
      <c r="I6" s="12">
        <f>G6*H6</f>
        <v/>
      </c>
      <c r="J6">
        <f>IF(F6="","",F6-D6)</f>
        <v/>
      </c>
      <c r="K6">
        <f>IF(F6="","Open",IF(F6&lt;=E6,"Yes","No"))</f>
        <v/>
      </c>
      <c r="L6">
        <f>IF(F6="","",MAX(0,F6-E6))</f>
        <v/>
      </c>
      <c r="M6" s="13">
        <f>DATE(YEAR(D6),MONTH(D6),1)</f>
        <v/>
      </c>
    </row>
    <row r="7">
      <c r="A7" t="inlineStr">
        <is>
          <t>PO-24007</t>
        </is>
      </c>
      <c r="B7" t="inlineStr">
        <is>
          <t>MED-005</t>
        </is>
      </c>
      <c r="C7">
        <f>INDEX(Items!$C$2:$C$25,MATCH(B7,Items!$A$2:$A$25,0))</f>
        <v/>
      </c>
      <c r="D7" s="4" t="n">
        <v>45952</v>
      </c>
      <c r="E7" s="4" t="n">
        <v>45962</v>
      </c>
      <c r="F7" s="4" t="n">
        <v>45962</v>
      </c>
      <c r="G7" t="n">
        <v>15</v>
      </c>
      <c r="H7" s="12">
        <f>INDEX(Items!$D$2:$D$25,MATCH(B7,Items!$A$2:$A$25,0))</f>
        <v/>
      </c>
      <c r="I7" s="12">
        <f>G7*H7</f>
        <v/>
      </c>
      <c r="J7">
        <f>IF(F7="","",F7-D7)</f>
        <v/>
      </c>
      <c r="K7">
        <f>IF(F7="","Open",IF(F7&lt;=E7,"Yes","No"))</f>
        <v/>
      </c>
      <c r="L7">
        <f>IF(F7="","",MAX(0,F7-E7))</f>
        <v/>
      </c>
      <c r="M7" s="13">
        <f>DATE(YEAR(D7),MONTH(D7),1)</f>
        <v/>
      </c>
    </row>
    <row r="8">
      <c r="A8" t="inlineStr">
        <is>
          <t>PO-24008</t>
        </is>
      </c>
      <c r="B8" t="inlineStr">
        <is>
          <t>CAL-002</t>
        </is>
      </c>
      <c r="C8">
        <f>INDEX(Items!$C$2:$C$25,MATCH(B8,Items!$A$2:$A$25,0))</f>
        <v/>
      </c>
      <c r="D8" s="4" t="n">
        <v>45956</v>
      </c>
      <c r="E8" s="4" t="n">
        <v>45977</v>
      </c>
      <c r="F8" s="4" t="n">
        <v>45975</v>
      </c>
      <c r="G8" t="n">
        <v>4</v>
      </c>
      <c r="H8" s="12">
        <f>INDEX(Items!$D$2:$D$25,MATCH(B8,Items!$A$2:$A$25,0))</f>
        <v/>
      </c>
      <c r="I8" s="12">
        <f>G8*H8</f>
        <v/>
      </c>
      <c r="J8">
        <f>IF(F8="","",F8-D8)</f>
        <v/>
      </c>
      <c r="K8">
        <f>IF(F8="","Open",IF(F8&lt;=E8,"Yes","No"))</f>
        <v/>
      </c>
      <c r="L8">
        <f>IF(F8="","",MAX(0,F8-E8))</f>
        <v/>
      </c>
      <c r="M8" s="13">
        <f>DATE(YEAR(D8),MONTH(D8),1)</f>
        <v/>
      </c>
    </row>
    <row r="9">
      <c r="A9" t="inlineStr">
        <is>
          <t>PO-24009</t>
        </is>
      </c>
      <c r="B9" t="inlineStr">
        <is>
          <t>CAL-002</t>
        </is>
      </c>
      <c r="C9">
        <f>INDEX(Items!$C$2:$C$25,MATCH(B9,Items!$A$2:$A$25,0))</f>
        <v/>
      </c>
      <c r="D9" s="4" t="n">
        <v>45957</v>
      </c>
      <c r="E9" s="4" t="n">
        <v>45978</v>
      </c>
      <c r="F9" s="4" t="n">
        <v>45976</v>
      </c>
      <c r="G9" t="n">
        <v>1</v>
      </c>
      <c r="H9" s="12">
        <f>INDEX(Items!$D$2:$D$25,MATCH(B9,Items!$A$2:$A$25,0))</f>
        <v/>
      </c>
      <c r="I9" s="12">
        <f>G9*H9</f>
        <v/>
      </c>
      <c r="J9">
        <f>IF(F9="","",F9-D9)</f>
        <v/>
      </c>
      <c r="K9">
        <f>IF(F9="","Open",IF(F9&lt;=E9,"Yes","No"))</f>
        <v/>
      </c>
      <c r="L9">
        <f>IF(F9="","",MAX(0,F9-E9))</f>
        <v/>
      </c>
      <c r="M9" s="13">
        <f>DATE(YEAR(D9),MONTH(D9),1)</f>
        <v/>
      </c>
    </row>
    <row r="10">
      <c r="A10" t="inlineStr">
        <is>
          <t>PO-24010</t>
        </is>
      </c>
      <c r="B10" t="inlineStr">
        <is>
          <t>STR-002</t>
        </is>
      </c>
      <c r="C10">
        <f>INDEX(Items!$C$2:$C$25,MATCH(B10,Items!$A$2:$A$25,0))</f>
        <v/>
      </c>
      <c r="D10" s="4" t="n">
        <v>45957</v>
      </c>
      <c r="E10" s="4" t="n">
        <v>45969</v>
      </c>
      <c r="F10" s="4" t="n">
        <v>45968</v>
      </c>
      <c r="G10" t="n">
        <v>6</v>
      </c>
      <c r="H10" s="12">
        <f>INDEX(Items!$D$2:$D$25,MATCH(B10,Items!$A$2:$A$25,0))</f>
        <v/>
      </c>
      <c r="I10" s="12">
        <f>G10*H10</f>
        <v/>
      </c>
      <c r="J10">
        <f>IF(F10="","",F10-D10)</f>
        <v/>
      </c>
      <c r="K10">
        <f>IF(F10="","Open",IF(F10&lt;=E10,"Yes","No"))</f>
        <v/>
      </c>
      <c r="L10">
        <f>IF(F10="","",MAX(0,F10-E10))</f>
        <v/>
      </c>
      <c r="M10" s="13">
        <f>DATE(YEAR(D10),MONTH(D10),1)</f>
        <v/>
      </c>
    </row>
    <row r="11">
      <c r="A11" t="inlineStr">
        <is>
          <t>PO-24011</t>
        </is>
      </c>
      <c r="B11" t="inlineStr">
        <is>
          <t>CON-002</t>
        </is>
      </c>
      <c r="C11">
        <f>INDEX(Items!$C$2:$C$25,MATCH(B11,Items!$A$2:$A$25,0))</f>
        <v/>
      </c>
      <c r="D11" s="4" t="n">
        <v>45959</v>
      </c>
      <c r="E11" s="4" t="n">
        <v>45966</v>
      </c>
      <c r="F11" s="4" t="n">
        <v>45966</v>
      </c>
      <c r="G11" t="n">
        <v>18</v>
      </c>
      <c r="H11" s="12">
        <f>INDEX(Items!$D$2:$D$25,MATCH(B11,Items!$A$2:$A$25,0))</f>
        <v/>
      </c>
      <c r="I11" s="12">
        <f>G11*H11</f>
        <v/>
      </c>
      <c r="J11">
        <f>IF(F11="","",F11-D11)</f>
        <v/>
      </c>
      <c r="K11">
        <f>IF(F11="","Open",IF(F11&lt;=E11,"Yes","No"))</f>
        <v/>
      </c>
      <c r="L11">
        <f>IF(F11="","",MAX(0,F11-E11))</f>
        <v/>
      </c>
      <c r="M11" s="13">
        <f>DATE(YEAR(D11),MONTH(D11),1)</f>
        <v/>
      </c>
    </row>
    <row r="12">
      <c r="A12" t="inlineStr">
        <is>
          <t>PO-24012</t>
        </is>
      </c>
      <c r="B12" t="inlineStr">
        <is>
          <t>RGT-003</t>
        </is>
      </c>
      <c r="C12">
        <f>INDEX(Items!$C$2:$C$25,MATCH(B12,Items!$A$2:$A$25,0))</f>
        <v/>
      </c>
      <c r="D12" s="4" t="n">
        <v>45960</v>
      </c>
      <c r="E12" s="4" t="n">
        <v>45974</v>
      </c>
      <c r="F12" s="4" t="n">
        <v>45974</v>
      </c>
      <c r="G12" t="n">
        <v>2</v>
      </c>
      <c r="H12" s="12">
        <f>INDEX(Items!$D$2:$D$25,MATCH(B12,Items!$A$2:$A$25,0))</f>
        <v/>
      </c>
      <c r="I12" s="12">
        <f>G12*H12</f>
        <v/>
      </c>
      <c r="J12">
        <f>IF(F12="","",F12-D12)</f>
        <v/>
      </c>
      <c r="K12">
        <f>IF(F12="","Open",IF(F12&lt;=E12,"Yes","No"))</f>
        <v/>
      </c>
      <c r="L12">
        <f>IF(F12="","",MAX(0,F12-E12))</f>
        <v/>
      </c>
      <c r="M12" s="13">
        <f>DATE(YEAR(D12),MONTH(D12),1)</f>
        <v/>
      </c>
    </row>
    <row r="13">
      <c r="A13" t="inlineStr">
        <is>
          <t>PO-24013</t>
        </is>
      </c>
      <c r="B13" t="inlineStr">
        <is>
          <t>MED-005</t>
        </is>
      </c>
      <c r="C13">
        <f>INDEX(Items!$C$2:$C$25,MATCH(B13,Items!$A$2:$A$25,0))</f>
        <v/>
      </c>
      <c r="D13" s="4" t="n">
        <v>45962</v>
      </c>
      <c r="E13" s="4" t="n">
        <v>45972</v>
      </c>
      <c r="F13" s="4" t="n">
        <v>45970</v>
      </c>
      <c r="G13" t="n">
        <v>30</v>
      </c>
      <c r="H13" s="12">
        <f>INDEX(Items!$D$2:$D$25,MATCH(B13,Items!$A$2:$A$25,0))</f>
        <v/>
      </c>
      <c r="I13" s="12">
        <f>G13*H13</f>
        <v/>
      </c>
      <c r="J13">
        <f>IF(F13="","",F13-D13)</f>
        <v/>
      </c>
      <c r="K13">
        <f>IF(F13="","Open",IF(F13&lt;=E13,"Yes","No"))</f>
        <v/>
      </c>
      <c r="L13">
        <f>IF(F13="","",MAX(0,F13-E13))</f>
        <v/>
      </c>
      <c r="M13" s="13">
        <f>DATE(YEAR(D13),MONTH(D13),1)</f>
        <v/>
      </c>
    </row>
    <row r="14">
      <c r="A14" t="inlineStr">
        <is>
          <t>PO-24014</t>
        </is>
      </c>
      <c r="B14" t="inlineStr">
        <is>
          <t>RGT-002</t>
        </is>
      </c>
      <c r="C14">
        <f>INDEX(Items!$C$2:$C$25,MATCH(B14,Items!$A$2:$A$25,0))</f>
        <v/>
      </c>
      <c r="D14" s="4" t="n">
        <v>45963</v>
      </c>
      <c r="E14" s="4" t="n">
        <v>45977</v>
      </c>
      <c r="F14" s="4" t="n">
        <v>45975</v>
      </c>
      <c r="G14" t="n">
        <v>5</v>
      </c>
      <c r="H14" s="12">
        <f>INDEX(Items!$D$2:$D$25,MATCH(B14,Items!$A$2:$A$25,0))</f>
        <v/>
      </c>
      <c r="I14" s="12">
        <f>G14*H14</f>
        <v/>
      </c>
      <c r="J14">
        <f>IF(F14="","",F14-D14)</f>
        <v/>
      </c>
      <c r="K14">
        <f>IF(F14="","Open",IF(F14&lt;=E14,"Yes","No"))</f>
        <v/>
      </c>
      <c r="L14">
        <f>IF(F14="","",MAX(0,F14-E14))</f>
        <v/>
      </c>
      <c r="M14" s="13">
        <f>DATE(YEAR(D14),MONTH(D14),1)</f>
        <v/>
      </c>
    </row>
    <row r="15">
      <c r="A15" t="inlineStr">
        <is>
          <t>PO-24015</t>
        </is>
      </c>
      <c r="B15" t="inlineStr">
        <is>
          <t>CON-002</t>
        </is>
      </c>
      <c r="C15">
        <f>INDEX(Items!$C$2:$C$25,MATCH(B15,Items!$A$2:$A$25,0))</f>
        <v/>
      </c>
      <c r="D15" s="4" t="n">
        <v>45967</v>
      </c>
      <c r="E15" s="4" t="n">
        <v>45974</v>
      </c>
      <c r="F15" s="4" t="n">
        <v>45972</v>
      </c>
      <c r="G15" t="n">
        <v>36</v>
      </c>
      <c r="H15" s="12">
        <f>INDEX(Items!$D$2:$D$25,MATCH(B15,Items!$A$2:$A$25,0))</f>
        <v/>
      </c>
      <c r="I15" s="12">
        <f>G15*H15</f>
        <v/>
      </c>
      <c r="J15">
        <f>IF(F15="","",F15-D15)</f>
        <v/>
      </c>
      <c r="K15">
        <f>IF(F15="","Open",IF(F15&lt;=E15,"Yes","No"))</f>
        <v/>
      </c>
      <c r="L15">
        <f>IF(F15="","",MAX(0,F15-E15))</f>
        <v/>
      </c>
      <c r="M15" s="13">
        <f>DATE(YEAR(D15),MONTH(D15),1)</f>
        <v/>
      </c>
    </row>
    <row r="16">
      <c r="A16" t="inlineStr">
        <is>
          <t>PO-24016</t>
        </is>
      </c>
      <c r="B16" t="inlineStr">
        <is>
          <t>MED-005</t>
        </is>
      </c>
      <c r="C16">
        <f>INDEX(Items!$C$2:$C$25,MATCH(B16,Items!$A$2:$A$25,0))</f>
        <v/>
      </c>
      <c r="D16" s="4" t="n">
        <v>45967</v>
      </c>
      <c r="E16" s="4" t="n">
        <v>45977</v>
      </c>
      <c r="F16" s="4" t="n">
        <v>45982</v>
      </c>
      <c r="G16" t="n">
        <v>25</v>
      </c>
      <c r="H16" s="12">
        <f>INDEX(Items!$D$2:$D$25,MATCH(B16,Items!$A$2:$A$25,0))</f>
        <v/>
      </c>
      <c r="I16" s="12">
        <f>G16*H16</f>
        <v/>
      </c>
      <c r="J16">
        <f>IF(F16="","",F16-D16)</f>
        <v/>
      </c>
      <c r="K16">
        <f>IF(F16="","Open",IF(F16&lt;=E16,"Yes","No"))</f>
        <v/>
      </c>
      <c r="L16">
        <f>IF(F16="","",MAX(0,F16-E16))</f>
        <v/>
      </c>
      <c r="M16" s="13">
        <f>DATE(YEAR(D16),MONTH(D16),1)</f>
        <v/>
      </c>
    </row>
    <row r="17">
      <c r="A17" t="inlineStr">
        <is>
          <t>PO-24017</t>
        </is>
      </c>
      <c r="B17" t="inlineStr">
        <is>
          <t>CON-002</t>
        </is>
      </c>
      <c r="C17">
        <f>INDEX(Items!$C$2:$C$25,MATCH(B17,Items!$A$2:$A$25,0))</f>
        <v/>
      </c>
      <c r="D17" s="4" t="n">
        <v>45968</v>
      </c>
      <c r="E17" s="4" t="n">
        <v>45975</v>
      </c>
      <c r="F17" s="4" t="n">
        <v>45977</v>
      </c>
      <c r="G17" t="n">
        <v>6</v>
      </c>
      <c r="H17" s="12">
        <f>INDEX(Items!$D$2:$D$25,MATCH(B17,Items!$A$2:$A$25,0))</f>
        <v/>
      </c>
      <c r="I17" s="12">
        <f>G17*H17</f>
        <v/>
      </c>
      <c r="J17">
        <f>IF(F17="","",F17-D17)</f>
        <v/>
      </c>
      <c r="K17">
        <f>IF(F17="","Open",IF(F17&lt;=E17,"Yes","No"))</f>
        <v/>
      </c>
      <c r="L17">
        <f>IF(F17="","",MAX(0,F17-E17))</f>
        <v/>
      </c>
      <c r="M17" s="13">
        <f>DATE(YEAR(D17),MONTH(D17),1)</f>
        <v/>
      </c>
    </row>
    <row r="18">
      <c r="A18" t="inlineStr">
        <is>
          <t>PO-24018</t>
        </is>
      </c>
      <c r="B18" t="inlineStr">
        <is>
          <t>GAS-001</t>
        </is>
      </c>
      <c r="C18">
        <f>INDEX(Items!$C$2:$C$25,MATCH(B18,Items!$A$2:$A$25,0))</f>
        <v/>
      </c>
      <c r="D18" s="4" t="n">
        <v>45968</v>
      </c>
      <c r="E18" s="4" t="n">
        <v>45973</v>
      </c>
      <c r="F18" s="4" t="n">
        <v>45970</v>
      </c>
      <c r="G18" t="n">
        <v>1</v>
      </c>
      <c r="H18" s="12">
        <f>INDEX(Items!$D$2:$D$25,MATCH(B18,Items!$A$2:$A$25,0))</f>
        <v/>
      </c>
      <c r="I18" s="12">
        <f>G18*H18</f>
        <v/>
      </c>
      <c r="J18">
        <f>IF(F18="","",F18-D18)</f>
        <v/>
      </c>
      <c r="K18">
        <f>IF(F18="","Open",IF(F18&lt;=E18,"Yes","No"))</f>
        <v/>
      </c>
      <c r="L18">
        <f>IF(F18="","",MAX(0,F18-E18))</f>
        <v/>
      </c>
      <c r="M18" s="13">
        <f>DATE(YEAR(D18),MONTH(D18),1)</f>
        <v/>
      </c>
    </row>
    <row r="19">
      <c r="A19" t="inlineStr">
        <is>
          <t>PO-24019</t>
        </is>
      </c>
      <c r="B19" t="inlineStr">
        <is>
          <t>STR-002</t>
        </is>
      </c>
      <c r="C19">
        <f>INDEX(Items!$C$2:$C$25,MATCH(B19,Items!$A$2:$A$25,0))</f>
        <v/>
      </c>
      <c r="D19" s="4" t="n">
        <v>45970</v>
      </c>
      <c r="E19" s="4" t="n">
        <v>45982</v>
      </c>
      <c r="F19" s="4" t="n">
        <v>45981</v>
      </c>
      <c r="G19" t="n">
        <v>6</v>
      </c>
      <c r="H19" s="12">
        <f>INDEX(Items!$D$2:$D$25,MATCH(B19,Items!$A$2:$A$25,0))</f>
        <v/>
      </c>
      <c r="I19" s="12">
        <f>G19*H19</f>
        <v/>
      </c>
      <c r="J19">
        <f>IF(F19="","",F19-D19)</f>
        <v/>
      </c>
      <c r="K19">
        <f>IF(F19="","Open",IF(F19&lt;=E19,"Yes","No"))</f>
        <v/>
      </c>
      <c r="L19">
        <f>IF(F19="","",MAX(0,F19-E19))</f>
        <v/>
      </c>
      <c r="M19" s="13">
        <f>DATE(YEAR(D19),MONTH(D19),1)</f>
        <v/>
      </c>
    </row>
    <row r="20">
      <c r="A20" t="inlineStr">
        <is>
          <t>PO-24020</t>
        </is>
      </c>
      <c r="B20" t="inlineStr">
        <is>
          <t>GAS-001</t>
        </is>
      </c>
      <c r="C20">
        <f>INDEX(Items!$C$2:$C$25,MATCH(B20,Items!$A$2:$A$25,0))</f>
        <v/>
      </c>
      <c r="D20" s="4" t="n">
        <v>45972</v>
      </c>
      <c r="E20" s="4" t="n">
        <v>45977</v>
      </c>
      <c r="F20" s="4" t="n">
        <v>45977</v>
      </c>
      <c r="G20" t="n">
        <v>5</v>
      </c>
      <c r="H20" s="12">
        <f>INDEX(Items!$D$2:$D$25,MATCH(B20,Items!$A$2:$A$25,0))</f>
        <v/>
      </c>
      <c r="I20" s="12">
        <f>G20*H20</f>
        <v/>
      </c>
      <c r="J20">
        <f>IF(F20="","",F20-D20)</f>
        <v/>
      </c>
      <c r="K20">
        <f>IF(F20="","Open",IF(F20&lt;=E20,"Yes","No"))</f>
        <v/>
      </c>
      <c r="L20">
        <f>IF(F20="","",MAX(0,F20-E20))</f>
        <v/>
      </c>
      <c r="M20" s="13">
        <f>DATE(YEAR(D20),MONTH(D20),1)</f>
        <v/>
      </c>
    </row>
    <row r="21">
      <c r="A21" t="inlineStr">
        <is>
          <t>PO-24021</t>
        </is>
      </c>
      <c r="B21" t="inlineStr">
        <is>
          <t>CAL-002</t>
        </is>
      </c>
      <c r="C21">
        <f>INDEX(Items!$C$2:$C$25,MATCH(B21,Items!$A$2:$A$25,0))</f>
        <v/>
      </c>
      <c r="D21" s="4" t="n">
        <v>45974</v>
      </c>
      <c r="E21" s="4" t="n">
        <v>45995</v>
      </c>
      <c r="F21" s="4" t="n">
        <v>45994</v>
      </c>
      <c r="G21" t="n">
        <v>2</v>
      </c>
      <c r="H21" s="12">
        <f>INDEX(Items!$D$2:$D$25,MATCH(B21,Items!$A$2:$A$25,0))</f>
        <v/>
      </c>
      <c r="I21" s="12">
        <f>G21*H21</f>
        <v/>
      </c>
      <c r="J21">
        <f>IF(F21="","",F21-D21)</f>
        <v/>
      </c>
      <c r="K21">
        <f>IF(F21="","Open",IF(F21&lt;=E21,"Yes","No"))</f>
        <v/>
      </c>
      <c r="L21">
        <f>IF(F21="","",MAX(0,F21-E21))</f>
        <v/>
      </c>
      <c r="M21" s="13">
        <f>DATE(YEAR(D21),MONTH(D21),1)</f>
        <v/>
      </c>
    </row>
    <row r="22">
      <c r="A22" t="inlineStr">
        <is>
          <t>PO-24022</t>
        </is>
      </c>
      <c r="B22" t="inlineStr">
        <is>
          <t>MED-003</t>
        </is>
      </c>
      <c r="C22">
        <f>INDEX(Items!$C$2:$C$25,MATCH(B22,Items!$A$2:$A$25,0))</f>
        <v/>
      </c>
      <c r="D22" s="4" t="n">
        <v>45974</v>
      </c>
      <c r="E22" s="4" t="n">
        <v>45984</v>
      </c>
      <c r="F22" s="4" t="n">
        <v>45984</v>
      </c>
      <c r="G22" t="n">
        <v>36</v>
      </c>
      <c r="H22" s="12">
        <f>INDEX(Items!$D$2:$D$25,MATCH(B22,Items!$A$2:$A$25,0))</f>
        <v/>
      </c>
      <c r="I22" s="12">
        <f>G22*H22</f>
        <v/>
      </c>
      <c r="J22">
        <f>IF(F22="","",F22-D22)</f>
        <v/>
      </c>
      <c r="K22">
        <f>IF(F22="","Open",IF(F22&lt;=E22,"Yes","No"))</f>
        <v/>
      </c>
      <c r="L22">
        <f>IF(F22="","",MAX(0,F22-E22))</f>
        <v/>
      </c>
      <c r="M22" s="13">
        <f>DATE(YEAR(D22),MONTH(D22),1)</f>
        <v/>
      </c>
    </row>
    <row r="23">
      <c r="A23" t="inlineStr">
        <is>
          <t>PO-24023</t>
        </is>
      </c>
      <c r="B23" t="inlineStr">
        <is>
          <t>RGT-002</t>
        </is>
      </c>
      <c r="C23">
        <f>INDEX(Items!$C$2:$C$25,MATCH(B23,Items!$A$2:$A$25,0))</f>
        <v/>
      </c>
      <c r="D23" s="4" t="n">
        <v>45974</v>
      </c>
      <c r="E23" s="4" t="n">
        <v>45988</v>
      </c>
      <c r="F23" s="4" t="n">
        <v>45985</v>
      </c>
      <c r="G23" t="n">
        <v>4</v>
      </c>
      <c r="H23" s="12">
        <f>INDEX(Items!$D$2:$D$25,MATCH(B23,Items!$A$2:$A$25,0))</f>
        <v/>
      </c>
      <c r="I23" s="12">
        <f>G23*H23</f>
        <v/>
      </c>
      <c r="J23">
        <f>IF(F23="","",F23-D23)</f>
        <v/>
      </c>
      <c r="K23">
        <f>IF(F23="","Open",IF(F23&lt;=E23,"Yes","No"))</f>
        <v/>
      </c>
      <c r="L23">
        <f>IF(F23="","",MAX(0,F23-E23))</f>
        <v/>
      </c>
      <c r="M23" s="13">
        <f>DATE(YEAR(D23),MONTH(D23),1)</f>
        <v/>
      </c>
    </row>
    <row r="24">
      <c r="A24" t="inlineStr">
        <is>
          <t>PO-24024</t>
        </is>
      </c>
      <c r="B24" t="inlineStr">
        <is>
          <t>RGT-003</t>
        </is>
      </c>
      <c r="C24">
        <f>INDEX(Items!$C$2:$C$25,MATCH(B24,Items!$A$2:$A$25,0))</f>
        <v/>
      </c>
      <c r="D24" s="4" t="n">
        <v>45975</v>
      </c>
      <c r="E24" s="4" t="n">
        <v>45989</v>
      </c>
      <c r="F24" s="4" t="n">
        <v>45986</v>
      </c>
      <c r="G24" t="n">
        <v>4</v>
      </c>
      <c r="H24" s="12">
        <f>INDEX(Items!$D$2:$D$25,MATCH(B24,Items!$A$2:$A$25,0))</f>
        <v/>
      </c>
      <c r="I24" s="12">
        <f>G24*H24</f>
        <v/>
      </c>
      <c r="J24">
        <f>IF(F24="","",F24-D24)</f>
        <v/>
      </c>
      <c r="K24">
        <f>IF(F24="","Open",IF(F24&lt;=E24,"Yes","No"))</f>
        <v/>
      </c>
      <c r="L24">
        <f>IF(F24="","",MAX(0,F24-E24))</f>
        <v/>
      </c>
      <c r="M24" s="13">
        <f>DATE(YEAR(D24),MONTH(D24),1)</f>
        <v/>
      </c>
    </row>
    <row r="25">
      <c r="A25" t="inlineStr">
        <is>
          <t>PO-24025</t>
        </is>
      </c>
      <c r="B25" t="inlineStr">
        <is>
          <t>CON-003</t>
        </is>
      </c>
      <c r="C25">
        <f>INDEX(Items!$C$2:$C$25,MATCH(B25,Items!$A$2:$A$25,0))</f>
        <v/>
      </c>
      <c r="D25" s="4" t="n">
        <v>45976</v>
      </c>
      <c r="E25" s="4" t="n">
        <v>45983</v>
      </c>
      <c r="F25" s="4" t="n">
        <v>45983</v>
      </c>
      <c r="G25" t="n">
        <v>6</v>
      </c>
      <c r="H25" s="12">
        <f>INDEX(Items!$D$2:$D$25,MATCH(B25,Items!$A$2:$A$25,0))</f>
        <v/>
      </c>
      <c r="I25" s="12">
        <f>G25*H25</f>
        <v/>
      </c>
      <c r="J25">
        <f>IF(F25="","",F25-D25)</f>
        <v/>
      </c>
      <c r="K25">
        <f>IF(F25="","Open",IF(F25&lt;=E25,"Yes","No"))</f>
        <v/>
      </c>
      <c r="L25">
        <f>IF(F25="","",MAX(0,F25-E25))</f>
        <v/>
      </c>
      <c r="M25" s="13">
        <f>DATE(YEAR(D25),MONTH(D25),1)</f>
        <v/>
      </c>
    </row>
    <row r="26">
      <c r="A26" t="inlineStr">
        <is>
          <t>PO-24026</t>
        </is>
      </c>
      <c r="B26" t="inlineStr">
        <is>
          <t>CON-003</t>
        </is>
      </c>
      <c r="C26">
        <f>INDEX(Items!$C$2:$C$25,MATCH(B26,Items!$A$2:$A$25,0))</f>
        <v/>
      </c>
      <c r="D26" s="4" t="n">
        <v>45977</v>
      </c>
      <c r="E26" s="4" t="n">
        <v>45984</v>
      </c>
      <c r="F26" s="4" t="n">
        <v>45984</v>
      </c>
      <c r="G26" t="n">
        <v>9</v>
      </c>
      <c r="H26" s="12">
        <f>INDEX(Items!$D$2:$D$25,MATCH(B26,Items!$A$2:$A$25,0))</f>
        <v/>
      </c>
      <c r="I26" s="12">
        <f>G26*H26</f>
        <v/>
      </c>
      <c r="J26">
        <f>IF(F26="","",F26-D26)</f>
        <v/>
      </c>
      <c r="K26">
        <f>IF(F26="","Open",IF(F26&lt;=E26,"Yes","No"))</f>
        <v/>
      </c>
      <c r="L26">
        <f>IF(F26="","",MAX(0,F26-E26))</f>
        <v/>
      </c>
      <c r="M26" s="13">
        <f>DATE(YEAR(D26),MONTH(D26),1)</f>
        <v/>
      </c>
    </row>
    <row r="27">
      <c r="A27" t="inlineStr">
        <is>
          <t>PO-24027</t>
        </is>
      </c>
      <c r="B27" t="inlineStr">
        <is>
          <t>GLS-002</t>
        </is>
      </c>
      <c r="C27">
        <f>INDEX(Items!$C$2:$C$25,MATCH(B27,Items!$A$2:$A$25,0))</f>
        <v/>
      </c>
      <c r="D27" s="4" t="n">
        <v>45977</v>
      </c>
      <c r="E27" s="4" t="n">
        <v>45986</v>
      </c>
      <c r="F27" s="4" t="n">
        <v>45986</v>
      </c>
      <c r="G27" t="n">
        <v>6</v>
      </c>
      <c r="H27" s="12">
        <f>INDEX(Items!$D$2:$D$25,MATCH(B27,Items!$A$2:$A$25,0))</f>
        <v/>
      </c>
      <c r="I27" s="12">
        <f>G27*H27</f>
        <v/>
      </c>
      <c r="J27">
        <f>IF(F27="","",F27-D27)</f>
        <v/>
      </c>
      <c r="K27">
        <f>IF(F27="","Open",IF(F27&lt;=E27,"Yes","No"))</f>
        <v/>
      </c>
      <c r="L27">
        <f>IF(F27="","",MAX(0,F27-E27))</f>
        <v/>
      </c>
      <c r="M27" s="13">
        <f>DATE(YEAR(D27),MONTH(D27),1)</f>
        <v/>
      </c>
    </row>
    <row r="28">
      <c r="A28" t="inlineStr">
        <is>
          <t>PO-24028</t>
        </is>
      </c>
      <c r="B28" t="inlineStr">
        <is>
          <t>MED-001</t>
        </is>
      </c>
      <c r="C28">
        <f>INDEX(Items!$C$2:$C$25,MATCH(B28,Items!$A$2:$A$25,0))</f>
        <v/>
      </c>
      <c r="D28" s="4" t="n">
        <v>45978</v>
      </c>
      <c r="E28" s="4" t="n">
        <v>45988</v>
      </c>
      <c r="F28" s="4" t="n">
        <v>45985</v>
      </c>
      <c r="G28" t="n">
        <v>90</v>
      </c>
      <c r="H28" s="12">
        <f>INDEX(Items!$D$2:$D$25,MATCH(B28,Items!$A$2:$A$25,0))</f>
        <v/>
      </c>
      <c r="I28" s="12">
        <f>G28*H28</f>
        <v/>
      </c>
      <c r="J28">
        <f>IF(F28="","",F28-D28)</f>
        <v/>
      </c>
      <c r="K28">
        <f>IF(F28="","Open",IF(F28&lt;=E28,"Yes","No"))</f>
        <v/>
      </c>
      <c r="L28">
        <f>IF(F28="","",MAX(0,F28-E28))</f>
        <v/>
      </c>
      <c r="M28" s="13">
        <f>DATE(YEAR(D28),MONTH(D28),1)</f>
        <v/>
      </c>
    </row>
    <row r="29">
      <c r="A29" t="inlineStr">
        <is>
          <t>PO-24029</t>
        </is>
      </c>
      <c r="B29" t="inlineStr">
        <is>
          <t>MED-002</t>
        </is>
      </c>
      <c r="C29">
        <f>INDEX(Items!$C$2:$C$25,MATCH(B29,Items!$A$2:$A$25,0))</f>
        <v/>
      </c>
      <c r="D29" s="4" t="n">
        <v>45978</v>
      </c>
      <c r="E29" s="4" t="n">
        <v>45988</v>
      </c>
      <c r="F29" s="4" t="n">
        <v>45986</v>
      </c>
      <c r="G29" t="n">
        <v>7</v>
      </c>
      <c r="H29" s="12">
        <f>INDEX(Items!$D$2:$D$25,MATCH(B29,Items!$A$2:$A$25,0))</f>
        <v/>
      </c>
      <c r="I29" s="12">
        <f>G29*H29</f>
        <v/>
      </c>
      <c r="J29">
        <f>IF(F29="","",F29-D29)</f>
        <v/>
      </c>
      <c r="K29">
        <f>IF(F29="","Open",IF(F29&lt;=E29,"Yes","No"))</f>
        <v/>
      </c>
      <c r="L29">
        <f>IF(F29="","",MAX(0,F29-E29))</f>
        <v/>
      </c>
      <c r="M29" s="13">
        <f>DATE(YEAR(D29),MONTH(D29),1)</f>
        <v/>
      </c>
    </row>
    <row r="30">
      <c r="A30" t="inlineStr">
        <is>
          <t>PO-24030</t>
        </is>
      </c>
      <c r="B30" t="inlineStr">
        <is>
          <t>CON-002</t>
        </is>
      </c>
      <c r="C30">
        <f>INDEX(Items!$C$2:$C$25,MATCH(B30,Items!$A$2:$A$25,0))</f>
        <v/>
      </c>
      <c r="D30" s="4" t="n">
        <v>45979</v>
      </c>
      <c r="E30" s="4" t="n">
        <v>45986</v>
      </c>
      <c r="F30" s="4" t="n">
        <v>45983</v>
      </c>
      <c r="G30" t="n">
        <v>18</v>
      </c>
      <c r="H30" s="12">
        <f>INDEX(Items!$D$2:$D$25,MATCH(B30,Items!$A$2:$A$25,0))</f>
        <v/>
      </c>
      <c r="I30" s="12">
        <f>G30*H30</f>
        <v/>
      </c>
      <c r="J30">
        <f>IF(F30="","",F30-D30)</f>
        <v/>
      </c>
      <c r="K30">
        <f>IF(F30="","Open",IF(F30&lt;=E30,"Yes","No"))</f>
        <v/>
      </c>
      <c r="L30">
        <f>IF(F30="","",MAX(0,F30-E30))</f>
        <v/>
      </c>
      <c r="M30" s="13">
        <f>DATE(YEAR(D30),MONTH(D30),1)</f>
        <v/>
      </c>
    </row>
    <row r="31">
      <c r="A31" t="inlineStr">
        <is>
          <t>PO-24031</t>
        </is>
      </c>
      <c r="B31" t="inlineStr">
        <is>
          <t>STR-001</t>
        </is>
      </c>
      <c r="C31">
        <f>INDEX(Items!$C$2:$C$25,MATCH(B31,Items!$A$2:$A$25,0))</f>
        <v/>
      </c>
      <c r="D31" s="4" t="n">
        <v>45979</v>
      </c>
      <c r="E31" s="4" t="n">
        <v>45991</v>
      </c>
      <c r="F31" s="4" t="n">
        <v>45989</v>
      </c>
      <c r="G31" t="n">
        <v>6</v>
      </c>
      <c r="H31" s="12">
        <f>INDEX(Items!$D$2:$D$25,MATCH(B31,Items!$A$2:$A$25,0))</f>
        <v/>
      </c>
      <c r="I31" s="12">
        <f>G31*H31</f>
        <v/>
      </c>
      <c r="J31">
        <f>IF(F31="","",F31-D31)</f>
        <v/>
      </c>
      <c r="K31">
        <f>IF(F31="","Open",IF(F31&lt;=E31,"Yes","No"))</f>
        <v/>
      </c>
      <c r="L31">
        <f>IF(F31="","",MAX(0,F31-E31))</f>
        <v/>
      </c>
      <c r="M31" s="13">
        <f>DATE(YEAR(D31),MONTH(D31),1)</f>
        <v/>
      </c>
    </row>
    <row r="32">
      <c r="A32" t="inlineStr">
        <is>
          <t>PO-24032</t>
        </is>
      </c>
      <c r="B32" t="inlineStr">
        <is>
          <t>CON-003</t>
        </is>
      </c>
      <c r="C32">
        <f>INDEX(Items!$C$2:$C$25,MATCH(B32,Items!$A$2:$A$25,0))</f>
        <v/>
      </c>
      <c r="D32" s="4" t="n">
        <v>45981</v>
      </c>
      <c r="E32" s="4" t="n">
        <v>45988</v>
      </c>
      <c r="F32" s="4" t="n">
        <v>45986</v>
      </c>
      <c r="G32" t="n">
        <v>15</v>
      </c>
      <c r="H32" s="12">
        <f>INDEX(Items!$D$2:$D$25,MATCH(B32,Items!$A$2:$A$25,0))</f>
        <v/>
      </c>
      <c r="I32" s="12">
        <f>G32*H32</f>
        <v/>
      </c>
      <c r="J32">
        <f>IF(F32="","",F32-D32)</f>
        <v/>
      </c>
      <c r="K32">
        <f>IF(F32="","Open",IF(F32&lt;=E32,"Yes","No"))</f>
        <v/>
      </c>
      <c r="L32">
        <f>IF(F32="","",MAX(0,F32-E32))</f>
        <v/>
      </c>
      <c r="M32" s="13">
        <f>DATE(YEAR(D32),MONTH(D32),1)</f>
        <v/>
      </c>
    </row>
    <row r="33">
      <c r="A33" t="inlineStr">
        <is>
          <t>PO-24033</t>
        </is>
      </c>
      <c r="B33" t="inlineStr">
        <is>
          <t>GAS-002</t>
        </is>
      </c>
      <c r="C33">
        <f>INDEX(Items!$C$2:$C$25,MATCH(B33,Items!$A$2:$A$25,0))</f>
        <v/>
      </c>
      <c r="D33" s="4" t="n">
        <v>45981</v>
      </c>
      <c r="E33" s="4" t="n">
        <v>45986</v>
      </c>
      <c r="F33" s="4" t="n">
        <v>45995</v>
      </c>
      <c r="G33" t="n">
        <v>1</v>
      </c>
      <c r="H33" s="12">
        <f>INDEX(Items!$D$2:$D$25,MATCH(B33,Items!$A$2:$A$25,0))</f>
        <v/>
      </c>
      <c r="I33" s="12">
        <f>G33*H33</f>
        <v/>
      </c>
      <c r="J33">
        <f>IF(F33="","",F33-D33)</f>
        <v/>
      </c>
      <c r="K33">
        <f>IF(F33="","Open",IF(F33&lt;=E33,"Yes","No"))</f>
        <v/>
      </c>
      <c r="L33">
        <f>IF(F33="","",MAX(0,F33-E33))</f>
        <v/>
      </c>
      <c r="M33" s="13">
        <f>DATE(YEAR(D33),MONTH(D33),1)</f>
        <v/>
      </c>
    </row>
    <row r="34">
      <c r="A34" t="inlineStr">
        <is>
          <t>PO-24034</t>
        </is>
      </c>
      <c r="B34" t="inlineStr">
        <is>
          <t>GLS-002</t>
        </is>
      </c>
      <c r="C34">
        <f>INDEX(Items!$C$2:$C$25,MATCH(B34,Items!$A$2:$A$25,0))</f>
        <v/>
      </c>
      <c r="D34" s="4" t="n">
        <v>45981</v>
      </c>
      <c r="E34" s="4" t="n">
        <v>45990</v>
      </c>
      <c r="F34" s="4" t="n">
        <v>45989</v>
      </c>
      <c r="G34" t="n">
        <v>6</v>
      </c>
      <c r="H34" s="12">
        <f>INDEX(Items!$D$2:$D$25,MATCH(B34,Items!$A$2:$A$25,0))</f>
        <v/>
      </c>
      <c r="I34" s="12">
        <f>G34*H34</f>
        <v/>
      </c>
      <c r="J34">
        <f>IF(F34="","",F34-D34)</f>
        <v/>
      </c>
      <c r="K34">
        <f>IF(F34="","Open",IF(F34&lt;=E34,"Yes","No"))</f>
        <v/>
      </c>
      <c r="L34">
        <f>IF(F34="","",MAX(0,F34-E34))</f>
        <v/>
      </c>
      <c r="M34" s="13">
        <f>DATE(YEAR(D34),MONTH(D34),1)</f>
        <v/>
      </c>
    </row>
    <row r="35">
      <c r="A35" t="inlineStr">
        <is>
          <t>PO-24035</t>
        </is>
      </c>
      <c r="B35" t="inlineStr">
        <is>
          <t>STR-001</t>
        </is>
      </c>
      <c r="C35">
        <f>INDEX(Items!$C$2:$C$25,MATCH(B35,Items!$A$2:$A$25,0))</f>
        <v/>
      </c>
      <c r="D35" s="4" t="n">
        <v>45981</v>
      </c>
      <c r="E35" s="4" t="n">
        <v>45993</v>
      </c>
      <c r="F35" s="4" t="n">
        <v>45993</v>
      </c>
      <c r="G35" t="n">
        <v>6</v>
      </c>
      <c r="H35" s="12">
        <f>INDEX(Items!$D$2:$D$25,MATCH(B35,Items!$A$2:$A$25,0))</f>
        <v/>
      </c>
      <c r="I35" s="12">
        <f>G35*H35</f>
        <v/>
      </c>
      <c r="J35">
        <f>IF(F35="","",F35-D35)</f>
        <v/>
      </c>
      <c r="K35">
        <f>IF(F35="","Open",IF(F35&lt;=E35,"Yes","No"))</f>
        <v/>
      </c>
      <c r="L35">
        <f>IF(F35="","",MAX(0,F35-E35))</f>
        <v/>
      </c>
      <c r="M35" s="13">
        <f>DATE(YEAR(D35),MONTH(D35),1)</f>
        <v/>
      </c>
    </row>
    <row r="36">
      <c r="A36" t="inlineStr">
        <is>
          <t>PO-24036</t>
        </is>
      </c>
      <c r="B36" t="inlineStr">
        <is>
          <t>GLS-001</t>
        </is>
      </c>
      <c r="C36">
        <f>INDEX(Items!$C$2:$C$25,MATCH(B36,Items!$A$2:$A$25,0))</f>
        <v/>
      </c>
      <c r="D36" s="4" t="n">
        <v>45982</v>
      </c>
      <c r="E36" s="4" t="n">
        <v>45991</v>
      </c>
      <c r="F36" s="4" t="n">
        <v>45989</v>
      </c>
      <c r="G36" t="n">
        <v>1</v>
      </c>
      <c r="H36" s="12">
        <f>INDEX(Items!$D$2:$D$25,MATCH(B36,Items!$A$2:$A$25,0))</f>
        <v/>
      </c>
      <c r="I36" s="12">
        <f>G36*H36</f>
        <v/>
      </c>
      <c r="J36">
        <f>IF(F36="","",F36-D36)</f>
        <v/>
      </c>
      <c r="K36">
        <f>IF(F36="","Open",IF(F36&lt;=E36,"Yes","No"))</f>
        <v/>
      </c>
      <c r="L36">
        <f>IF(F36="","",MAX(0,F36-E36))</f>
        <v/>
      </c>
      <c r="M36" s="13">
        <f>DATE(YEAR(D36),MONTH(D36),1)</f>
        <v/>
      </c>
    </row>
    <row r="37">
      <c r="A37" t="inlineStr">
        <is>
          <t>PO-24037</t>
        </is>
      </c>
      <c r="B37" t="inlineStr">
        <is>
          <t>STR-002</t>
        </is>
      </c>
      <c r="C37">
        <f>INDEX(Items!$C$2:$C$25,MATCH(B37,Items!$A$2:$A$25,0))</f>
        <v/>
      </c>
      <c r="D37" s="4" t="n">
        <v>45982</v>
      </c>
      <c r="E37" s="4" t="n">
        <v>45994</v>
      </c>
      <c r="F37" s="4" t="n">
        <v>45991</v>
      </c>
      <c r="G37" t="n">
        <v>2</v>
      </c>
      <c r="H37" s="12">
        <f>INDEX(Items!$D$2:$D$25,MATCH(B37,Items!$A$2:$A$25,0))</f>
        <v/>
      </c>
      <c r="I37" s="12">
        <f>G37*H37</f>
        <v/>
      </c>
      <c r="J37">
        <f>IF(F37="","",F37-D37)</f>
        <v/>
      </c>
      <c r="K37">
        <f>IF(F37="","Open",IF(F37&lt;=E37,"Yes","No"))</f>
        <v/>
      </c>
      <c r="L37">
        <f>IF(F37="","",MAX(0,F37-E37))</f>
        <v/>
      </c>
      <c r="M37" s="13">
        <f>DATE(YEAR(D37),MONTH(D37),1)</f>
        <v/>
      </c>
    </row>
    <row r="38">
      <c r="A38" t="inlineStr">
        <is>
          <t>PO-24038</t>
        </is>
      </c>
      <c r="B38" t="inlineStr">
        <is>
          <t>CON-002</t>
        </is>
      </c>
      <c r="C38">
        <f>INDEX(Items!$C$2:$C$25,MATCH(B38,Items!$A$2:$A$25,0))</f>
        <v/>
      </c>
      <c r="D38" s="4" t="n">
        <v>45983</v>
      </c>
      <c r="E38" s="4" t="n">
        <v>45990</v>
      </c>
      <c r="F38" s="4" t="n">
        <v>45990</v>
      </c>
      <c r="G38" t="n">
        <v>18</v>
      </c>
      <c r="H38" s="12">
        <f>INDEX(Items!$D$2:$D$25,MATCH(B38,Items!$A$2:$A$25,0))</f>
        <v/>
      </c>
      <c r="I38" s="12">
        <f>G38*H38</f>
        <v/>
      </c>
      <c r="J38">
        <f>IF(F38="","",F38-D38)</f>
        <v/>
      </c>
      <c r="K38">
        <f>IF(F38="","Open",IF(F38&lt;=E38,"Yes","No"))</f>
        <v/>
      </c>
      <c r="L38">
        <f>IF(F38="","",MAX(0,F38-E38))</f>
        <v/>
      </c>
      <c r="M38" s="13">
        <f>DATE(YEAR(D38),MONTH(D38),1)</f>
        <v/>
      </c>
    </row>
    <row r="39">
      <c r="A39" t="inlineStr">
        <is>
          <t>PO-24039</t>
        </is>
      </c>
      <c r="B39" t="inlineStr">
        <is>
          <t>STR-003</t>
        </is>
      </c>
      <c r="C39">
        <f>INDEX(Items!$C$2:$C$25,MATCH(B39,Items!$A$2:$A$25,0))</f>
        <v/>
      </c>
      <c r="D39" s="4" t="n">
        <v>45983</v>
      </c>
      <c r="E39" s="4" t="n">
        <v>45995</v>
      </c>
      <c r="F39" s="4" t="n">
        <v>45993</v>
      </c>
      <c r="G39" t="n">
        <v>8</v>
      </c>
      <c r="H39" s="12">
        <f>INDEX(Items!$D$2:$D$25,MATCH(B39,Items!$A$2:$A$25,0))</f>
        <v/>
      </c>
      <c r="I39" s="12">
        <f>G39*H39</f>
        <v/>
      </c>
      <c r="J39">
        <f>IF(F39="","",F39-D39)</f>
        <v/>
      </c>
      <c r="K39">
        <f>IF(F39="","Open",IF(F39&lt;=E39,"Yes","No"))</f>
        <v/>
      </c>
      <c r="L39">
        <f>IF(F39="","",MAX(0,F39-E39))</f>
        <v/>
      </c>
      <c r="M39" s="13">
        <f>DATE(YEAR(D39),MONTH(D39),1)</f>
        <v/>
      </c>
    </row>
    <row r="40">
      <c r="A40" t="inlineStr">
        <is>
          <t>PO-24040</t>
        </is>
      </c>
      <c r="B40" t="inlineStr">
        <is>
          <t>STR-003</t>
        </is>
      </c>
      <c r="C40">
        <f>INDEX(Items!$C$2:$C$25,MATCH(B40,Items!$A$2:$A$25,0))</f>
        <v/>
      </c>
      <c r="D40" s="4" t="n">
        <v>45985</v>
      </c>
      <c r="E40" s="4" t="n">
        <v>45997</v>
      </c>
      <c r="F40" s="4" t="n">
        <v>45995</v>
      </c>
      <c r="G40" t="n">
        <v>10</v>
      </c>
      <c r="H40" s="12">
        <f>INDEX(Items!$D$2:$D$25,MATCH(B40,Items!$A$2:$A$25,0))</f>
        <v/>
      </c>
      <c r="I40" s="12">
        <f>G40*H40</f>
        <v/>
      </c>
      <c r="J40">
        <f>IF(F40="","",F40-D40)</f>
        <v/>
      </c>
      <c r="K40">
        <f>IF(F40="","Open",IF(F40&lt;=E40,"Yes","No"))</f>
        <v/>
      </c>
      <c r="L40">
        <f>IF(F40="","",MAX(0,F40-E40))</f>
        <v/>
      </c>
      <c r="M40" s="13">
        <f>DATE(YEAR(D40),MONTH(D40),1)</f>
        <v/>
      </c>
    </row>
    <row r="41">
      <c r="A41" t="inlineStr">
        <is>
          <t>PO-24041</t>
        </is>
      </c>
      <c r="B41" t="inlineStr">
        <is>
          <t>STR-001</t>
        </is>
      </c>
      <c r="C41">
        <f>INDEX(Items!$C$2:$C$25,MATCH(B41,Items!$A$2:$A$25,0))</f>
        <v/>
      </c>
      <c r="D41" s="4" t="n">
        <v>45987</v>
      </c>
      <c r="E41" s="4" t="n">
        <v>45999</v>
      </c>
      <c r="F41" s="4" t="n">
        <v>45996</v>
      </c>
      <c r="G41" t="n">
        <v>5</v>
      </c>
      <c r="H41" s="12">
        <f>INDEX(Items!$D$2:$D$25,MATCH(B41,Items!$A$2:$A$25,0))</f>
        <v/>
      </c>
      <c r="I41" s="12">
        <f>G41*H41</f>
        <v/>
      </c>
      <c r="J41">
        <f>IF(F41="","",F41-D41)</f>
        <v/>
      </c>
      <c r="K41">
        <f>IF(F41="","Open",IF(F41&lt;=E41,"Yes","No"))</f>
        <v/>
      </c>
      <c r="L41">
        <f>IF(F41="","",MAX(0,F41-E41))</f>
        <v/>
      </c>
      <c r="M41" s="13">
        <f>DATE(YEAR(D41),MONTH(D41),1)</f>
        <v/>
      </c>
    </row>
    <row r="42">
      <c r="A42" t="inlineStr">
        <is>
          <t>PO-24042</t>
        </is>
      </c>
      <c r="B42" t="inlineStr">
        <is>
          <t>BIO-001</t>
        </is>
      </c>
      <c r="C42">
        <f>INDEX(Items!$C$2:$C$25,MATCH(B42,Items!$A$2:$A$25,0))</f>
        <v/>
      </c>
      <c r="D42" s="4" t="n">
        <v>45988</v>
      </c>
      <c r="E42" s="4" t="n">
        <v>46006</v>
      </c>
      <c r="F42" s="4" t="n">
        <v>46011</v>
      </c>
      <c r="G42" t="n">
        <v>2</v>
      </c>
      <c r="H42" s="12">
        <f>INDEX(Items!$D$2:$D$25,MATCH(B42,Items!$A$2:$A$25,0))</f>
        <v/>
      </c>
      <c r="I42" s="12">
        <f>G42*H42</f>
        <v/>
      </c>
      <c r="J42">
        <f>IF(F42="","",F42-D42)</f>
        <v/>
      </c>
      <c r="K42">
        <f>IF(F42="","Open",IF(F42&lt;=E42,"Yes","No"))</f>
        <v/>
      </c>
      <c r="L42">
        <f>IF(F42="","",MAX(0,F42-E42))</f>
        <v/>
      </c>
      <c r="M42" s="13">
        <f>DATE(YEAR(D42),MONTH(D42),1)</f>
        <v/>
      </c>
    </row>
    <row r="43">
      <c r="A43" t="inlineStr">
        <is>
          <t>PO-24043</t>
        </is>
      </c>
      <c r="B43" t="inlineStr">
        <is>
          <t>CON-002</t>
        </is>
      </c>
      <c r="C43">
        <f>INDEX(Items!$C$2:$C$25,MATCH(B43,Items!$A$2:$A$25,0))</f>
        <v/>
      </c>
      <c r="D43" s="4" t="n">
        <v>45988</v>
      </c>
      <c r="E43" s="4" t="n">
        <v>45995</v>
      </c>
      <c r="F43" s="4" t="n">
        <v>45994</v>
      </c>
      <c r="G43" t="n">
        <v>24</v>
      </c>
      <c r="H43" s="12">
        <f>INDEX(Items!$D$2:$D$25,MATCH(B43,Items!$A$2:$A$25,0))</f>
        <v/>
      </c>
      <c r="I43" s="12">
        <f>G43*H43</f>
        <v/>
      </c>
      <c r="J43">
        <f>IF(F43="","",F43-D43)</f>
        <v/>
      </c>
      <c r="K43">
        <f>IF(F43="","Open",IF(F43&lt;=E43,"Yes","No"))</f>
        <v/>
      </c>
      <c r="L43">
        <f>IF(F43="","",MAX(0,F43-E43))</f>
        <v/>
      </c>
      <c r="M43" s="13">
        <f>DATE(YEAR(D43),MONTH(D43),1)</f>
        <v/>
      </c>
    </row>
    <row r="44">
      <c r="A44" t="inlineStr">
        <is>
          <t>PO-24044</t>
        </is>
      </c>
      <c r="B44" t="inlineStr">
        <is>
          <t>MED-001</t>
        </is>
      </c>
      <c r="C44">
        <f>INDEX(Items!$C$2:$C$25,MATCH(B44,Items!$A$2:$A$25,0))</f>
        <v/>
      </c>
      <c r="D44" s="4" t="n">
        <v>45988</v>
      </c>
      <c r="E44" s="4" t="n">
        <v>45998</v>
      </c>
      <c r="F44" s="4" t="n">
        <v>45997</v>
      </c>
      <c r="G44" t="n">
        <v>75</v>
      </c>
      <c r="H44" s="12">
        <f>INDEX(Items!$D$2:$D$25,MATCH(B44,Items!$A$2:$A$25,0))</f>
        <v/>
      </c>
      <c r="I44" s="12">
        <f>G44*H44</f>
        <v/>
      </c>
      <c r="J44">
        <f>IF(F44="","",F44-D44)</f>
        <v/>
      </c>
      <c r="K44">
        <f>IF(F44="","Open",IF(F44&lt;=E44,"Yes","No"))</f>
        <v/>
      </c>
      <c r="L44">
        <f>IF(F44="","",MAX(0,F44-E44))</f>
        <v/>
      </c>
      <c r="M44" s="13">
        <f>DATE(YEAR(D44),MONTH(D44),1)</f>
        <v/>
      </c>
    </row>
    <row r="45">
      <c r="A45" t="inlineStr">
        <is>
          <t>PO-24045</t>
        </is>
      </c>
      <c r="B45" t="inlineStr">
        <is>
          <t>CAL-002</t>
        </is>
      </c>
      <c r="C45">
        <f>INDEX(Items!$C$2:$C$25,MATCH(B45,Items!$A$2:$A$25,0))</f>
        <v/>
      </c>
      <c r="D45" s="4" t="n">
        <v>45989</v>
      </c>
      <c r="E45" s="4" t="n">
        <v>46010</v>
      </c>
      <c r="F45" s="4" t="n">
        <v>46009</v>
      </c>
      <c r="G45" t="n">
        <v>3</v>
      </c>
      <c r="H45" s="12">
        <f>INDEX(Items!$D$2:$D$25,MATCH(B45,Items!$A$2:$A$25,0))</f>
        <v/>
      </c>
      <c r="I45" s="12">
        <f>G45*H45</f>
        <v/>
      </c>
      <c r="J45">
        <f>IF(F45="","",F45-D45)</f>
        <v/>
      </c>
      <c r="K45">
        <f>IF(F45="","Open",IF(F45&lt;=E45,"Yes","No"))</f>
        <v/>
      </c>
      <c r="L45">
        <f>IF(F45="","",MAX(0,F45-E45))</f>
        <v/>
      </c>
      <c r="M45" s="13">
        <f>DATE(YEAR(D45),MONTH(D45),1)</f>
        <v/>
      </c>
    </row>
    <row r="46">
      <c r="A46" t="inlineStr">
        <is>
          <t>PO-24046</t>
        </is>
      </c>
      <c r="B46" t="inlineStr">
        <is>
          <t>GLS-002</t>
        </is>
      </c>
      <c r="C46">
        <f>INDEX(Items!$C$2:$C$25,MATCH(B46,Items!$A$2:$A$25,0))</f>
        <v/>
      </c>
      <c r="D46" s="4" t="n">
        <v>45989</v>
      </c>
      <c r="E46" s="4" t="n">
        <v>45998</v>
      </c>
      <c r="F46" s="4" t="n">
        <v>45996</v>
      </c>
      <c r="G46" t="n">
        <v>6</v>
      </c>
      <c r="H46" s="12">
        <f>INDEX(Items!$D$2:$D$25,MATCH(B46,Items!$A$2:$A$25,0))</f>
        <v/>
      </c>
      <c r="I46" s="12">
        <f>G46*H46</f>
        <v/>
      </c>
      <c r="J46">
        <f>IF(F46="","",F46-D46)</f>
        <v/>
      </c>
      <c r="K46">
        <f>IF(F46="","Open",IF(F46&lt;=E46,"Yes","No"))</f>
        <v/>
      </c>
      <c r="L46">
        <f>IF(F46="","",MAX(0,F46-E46))</f>
        <v/>
      </c>
      <c r="M46" s="13">
        <f>DATE(YEAR(D46),MONTH(D46),1)</f>
        <v/>
      </c>
    </row>
    <row r="47">
      <c r="A47" t="inlineStr">
        <is>
          <t>PO-24047</t>
        </is>
      </c>
      <c r="B47" t="inlineStr">
        <is>
          <t>STR-003</t>
        </is>
      </c>
      <c r="C47">
        <f>INDEX(Items!$C$2:$C$25,MATCH(B47,Items!$A$2:$A$25,0))</f>
        <v/>
      </c>
      <c r="D47" s="4" t="n">
        <v>45989</v>
      </c>
      <c r="E47" s="4" t="n">
        <v>46001</v>
      </c>
      <c r="F47" s="4" t="n">
        <v>45998</v>
      </c>
      <c r="G47" t="n">
        <v>8</v>
      </c>
      <c r="H47" s="12">
        <f>INDEX(Items!$D$2:$D$25,MATCH(B47,Items!$A$2:$A$25,0))</f>
        <v/>
      </c>
      <c r="I47" s="12">
        <f>G47*H47</f>
        <v/>
      </c>
      <c r="J47">
        <f>IF(F47="","",F47-D47)</f>
        <v/>
      </c>
      <c r="K47">
        <f>IF(F47="","Open",IF(F47&lt;=E47,"Yes","No"))</f>
        <v/>
      </c>
      <c r="L47">
        <f>IF(F47="","",MAX(0,F47-E47))</f>
        <v/>
      </c>
      <c r="M47" s="13">
        <f>DATE(YEAR(D47),MONTH(D47),1)</f>
        <v/>
      </c>
    </row>
    <row r="48">
      <c r="A48" t="inlineStr">
        <is>
          <t>PO-24048</t>
        </is>
      </c>
      <c r="B48" t="inlineStr">
        <is>
          <t>RGT-004</t>
        </is>
      </c>
      <c r="C48">
        <f>INDEX(Items!$C$2:$C$25,MATCH(B48,Items!$A$2:$A$25,0))</f>
        <v/>
      </c>
      <c r="D48" s="4" t="n">
        <v>45990</v>
      </c>
      <c r="E48" s="4" t="n">
        <v>46004</v>
      </c>
      <c r="F48" s="4" t="n">
        <v>46003</v>
      </c>
      <c r="G48" t="n">
        <v>6</v>
      </c>
      <c r="H48" s="12">
        <f>INDEX(Items!$D$2:$D$25,MATCH(B48,Items!$A$2:$A$25,0))</f>
        <v/>
      </c>
      <c r="I48" s="12">
        <f>G48*H48</f>
        <v/>
      </c>
      <c r="J48">
        <f>IF(F48="","",F48-D48)</f>
        <v/>
      </c>
      <c r="K48">
        <f>IF(F48="","Open",IF(F48&lt;=E48,"Yes","No"))</f>
        <v/>
      </c>
      <c r="L48">
        <f>IF(F48="","",MAX(0,F48-E48))</f>
        <v/>
      </c>
      <c r="M48" s="13">
        <f>DATE(YEAR(D48),MONTH(D48),1)</f>
        <v/>
      </c>
    </row>
    <row r="49">
      <c r="A49" t="inlineStr">
        <is>
          <t>PO-24049</t>
        </is>
      </c>
      <c r="B49" t="inlineStr">
        <is>
          <t>STR-002</t>
        </is>
      </c>
      <c r="C49">
        <f>INDEX(Items!$C$2:$C$25,MATCH(B49,Items!$A$2:$A$25,0))</f>
        <v/>
      </c>
      <c r="D49" s="4" t="n">
        <v>45991</v>
      </c>
      <c r="E49" s="4" t="n">
        <v>46003</v>
      </c>
      <c r="F49" s="4" t="n">
        <v>46002</v>
      </c>
      <c r="G49" t="n">
        <v>8</v>
      </c>
      <c r="H49" s="12">
        <f>INDEX(Items!$D$2:$D$25,MATCH(B49,Items!$A$2:$A$25,0))</f>
        <v/>
      </c>
      <c r="I49" s="12">
        <f>G49*H49</f>
        <v/>
      </c>
      <c r="J49">
        <f>IF(F49="","",F49-D49)</f>
        <v/>
      </c>
      <c r="K49">
        <f>IF(F49="","Open",IF(F49&lt;=E49,"Yes","No"))</f>
        <v/>
      </c>
      <c r="L49">
        <f>IF(F49="","",MAX(0,F49-E49))</f>
        <v/>
      </c>
      <c r="M49" s="13">
        <f>DATE(YEAR(D49),MONTH(D49),1)</f>
        <v/>
      </c>
    </row>
    <row r="50">
      <c r="A50" t="inlineStr">
        <is>
          <t>PO-24050</t>
        </is>
      </c>
      <c r="B50" t="inlineStr">
        <is>
          <t>GAS-002</t>
        </is>
      </c>
      <c r="C50">
        <f>INDEX(Items!$C$2:$C$25,MATCH(B50,Items!$A$2:$A$25,0))</f>
        <v/>
      </c>
      <c r="D50" s="4" t="n">
        <v>45994</v>
      </c>
      <c r="E50" s="4" t="n">
        <v>45999</v>
      </c>
      <c r="F50" s="4" t="n">
        <v>45997</v>
      </c>
      <c r="G50" t="n">
        <v>5</v>
      </c>
      <c r="H50" s="12">
        <f>INDEX(Items!$D$2:$D$25,MATCH(B50,Items!$A$2:$A$25,0))</f>
        <v/>
      </c>
      <c r="I50" s="12">
        <f>G50*H50</f>
        <v/>
      </c>
      <c r="J50">
        <f>IF(F50="","",F50-D50)</f>
        <v/>
      </c>
      <c r="K50">
        <f>IF(F50="","Open",IF(F50&lt;=E50,"Yes","No"))</f>
        <v/>
      </c>
      <c r="L50">
        <f>IF(F50="","",MAX(0,F50-E50))</f>
        <v/>
      </c>
      <c r="M50" s="13">
        <f>DATE(YEAR(D50),MONTH(D50),1)</f>
        <v/>
      </c>
    </row>
    <row r="51">
      <c r="A51" t="inlineStr">
        <is>
          <t>PO-24051</t>
        </is>
      </c>
      <c r="B51" t="inlineStr">
        <is>
          <t>RGT-003</t>
        </is>
      </c>
      <c r="C51">
        <f>INDEX(Items!$C$2:$C$25,MATCH(B51,Items!$A$2:$A$25,0))</f>
        <v/>
      </c>
      <c r="D51" s="4" t="n">
        <v>45995</v>
      </c>
      <c r="E51" s="4" t="n">
        <v>46009</v>
      </c>
      <c r="F51" s="4" t="n">
        <v>46008</v>
      </c>
      <c r="G51" t="n">
        <v>2</v>
      </c>
      <c r="H51" s="12">
        <f>INDEX(Items!$D$2:$D$25,MATCH(B51,Items!$A$2:$A$25,0))</f>
        <v/>
      </c>
      <c r="I51" s="12">
        <f>G51*H51</f>
        <v/>
      </c>
      <c r="J51">
        <f>IF(F51="","",F51-D51)</f>
        <v/>
      </c>
      <c r="K51">
        <f>IF(F51="","Open",IF(F51&lt;=E51,"Yes","No"))</f>
        <v/>
      </c>
      <c r="L51">
        <f>IF(F51="","",MAX(0,F51-E51))</f>
        <v/>
      </c>
      <c r="M51" s="13">
        <f>DATE(YEAR(D51),MONTH(D51),1)</f>
        <v/>
      </c>
    </row>
    <row r="52">
      <c r="A52" t="inlineStr">
        <is>
          <t>PO-24052</t>
        </is>
      </c>
      <c r="B52" t="inlineStr">
        <is>
          <t>CON-004</t>
        </is>
      </c>
      <c r="C52">
        <f>INDEX(Items!$C$2:$C$25,MATCH(B52,Items!$A$2:$A$25,0))</f>
        <v/>
      </c>
      <c r="D52" s="4" t="n">
        <v>45998</v>
      </c>
      <c r="E52" s="4" t="n">
        <v>46005</v>
      </c>
      <c r="F52" s="4" t="n">
        <v>46003</v>
      </c>
      <c r="G52" t="n">
        <v>8</v>
      </c>
      <c r="H52" s="12">
        <f>INDEX(Items!$D$2:$D$25,MATCH(B52,Items!$A$2:$A$25,0))</f>
        <v/>
      </c>
      <c r="I52" s="12">
        <f>G52*H52</f>
        <v/>
      </c>
      <c r="J52">
        <f>IF(F52="","",F52-D52)</f>
        <v/>
      </c>
      <c r="K52">
        <f>IF(F52="","Open",IF(F52&lt;=E52,"Yes","No"))</f>
        <v/>
      </c>
      <c r="L52">
        <f>IF(F52="","",MAX(0,F52-E52))</f>
        <v/>
      </c>
      <c r="M52" s="13">
        <f>DATE(YEAR(D52),MONTH(D52),1)</f>
        <v/>
      </c>
    </row>
    <row r="53">
      <c r="A53" t="inlineStr">
        <is>
          <t>PO-24053</t>
        </is>
      </c>
      <c r="B53" t="inlineStr">
        <is>
          <t>MED-001</t>
        </is>
      </c>
      <c r="C53">
        <f>INDEX(Items!$C$2:$C$25,MATCH(B53,Items!$A$2:$A$25,0))</f>
        <v/>
      </c>
      <c r="D53" s="4" t="n">
        <v>45998</v>
      </c>
      <c r="E53" s="4" t="n">
        <v>46008</v>
      </c>
      <c r="F53" s="4" t="n">
        <v>46012</v>
      </c>
      <c r="G53" t="n">
        <v>75</v>
      </c>
      <c r="H53" s="12">
        <f>INDEX(Items!$D$2:$D$25,MATCH(B53,Items!$A$2:$A$25,0))</f>
        <v/>
      </c>
      <c r="I53" s="12">
        <f>G53*H53</f>
        <v/>
      </c>
      <c r="J53">
        <f>IF(F53="","",F53-D53)</f>
        <v/>
      </c>
      <c r="K53">
        <f>IF(F53="","Open",IF(F53&lt;=E53,"Yes","No"))</f>
        <v/>
      </c>
      <c r="L53">
        <f>IF(F53="","",MAX(0,F53-E53))</f>
        <v/>
      </c>
      <c r="M53" s="13">
        <f>DATE(YEAR(D53),MONTH(D53),1)</f>
        <v/>
      </c>
    </row>
    <row r="54">
      <c r="A54" t="inlineStr">
        <is>
          <t>PO-24054</t>
        </is>
      </c>
      <c r="B54" t="inlineStr">
        <is>
          <t>STR-001</t>
        </is>
      </c>
      <c r="C54">
        <f>INDEX(Items!$C$2:$C$25,MATCH(B54,Items!$A$2:$A$25,0))</f>
        <v/>
      </c>
      <c r="D54" s="4" t="n">
        <v>46000</v>
      </c>
      <c r="E54" s="4" t="n">
        <v>46012</v>
      </c>
      <c r="F54" s="4" t="n">
        <v>46011</v>
      </c>
      <c r="G54" t="n">
        <v>1</v>
      </c>
      <c r="H54" s="12">
        <f>INDEX(Items!$D$2:$D$25,MATCH(B54,Items!$A$2:$A$25,0))</f>
        <v/>
      </c>
      <c r="I54" s="12">
        <f>G54*H54</f>
        <v/>
      </c>
      <c r="J54">
        <f>IF(F54="","",F54-D54)</f>
        <v/>
      </c>
      <c r="K54">
        <f>IF(F54="","Open",IF(F54&lt;=E54,"Yes","No"))</f>
        <v/>
      </c>
      <c r="L54">
        <f>IF(F54="","",MAX(0,F54-E54))</f>
        <v/>
      </c>
      <c r="M54" s="13">
        <f>DATE(YEAR(D54),MONTH(D54),1)</f>
        <v/>
      </c>
    </row>
    <row r="55">
      <c r="A55" t="inlineStr">
        <is>
          <t>PO-24055</t>
        </is>
      </c>
      <c r="B55" t="inlineStr">
        <is>
          <t>RGT-003</t>
        </is>
      </c>
      <c r="C55">
        <f>INDEX(Items!$C$2:$C$25,MATCH(B55,Items!$A$2:$A$25,0))</f>
        <v/>
      </c>
      <c r="D55" s="4" t="n">
        <v>46001</v>
      </c>
      <c r="E55" s="4" t="n">
        <v>46015</v>
      </c>
      <c r="F55" s="4" t="n">
        <v>46015</v>
      </c>
      <c r="G55" t="n">
        <v>2</v>
      </c>
      <c r="H55" s="12">
        <f>INDEX(Items!$D$2:$D$25,MATCH(B55,Items!$A$2:$A$25,0))</f>
        <v/>
      </c>
      <c r="I55" s="12">
        <f>G55*H55</f>
        <v/>
      </c>
      <c r="J55">
        <f>IF(F55="","",F55-D55)</f>
        <v/>
      </c>
      <c r="K55">
        <f>IF(F55="","Open",IF(F55&lt;=E55,"Yes","No"))</f>
        <v/>
      </c>
      <c r="L55">
        <f>IF(F55="","",MAX(0,F55-E55))</f>
        <v/>
      </c>
      <c r="M55" s="13">
        <f>DATE(YEAR(D55),MONTH(D55),1)</f>
        <v/>
      </c>
    </row>
    <row r="56">
      <c r="A56" t="inlineStr">
        <is>
          <t>PO-24056</t>
        </is>
      </c>
      <c r="B56" t="inlineStr">
        <is>
          <t>RGT-003</t>
        </is>
      </c>
      <c r="C56">
        <f>INDEX(Items!$C$2:$C$25,MATCH(B56,Items!$A$2:$A$25,0))</f>
        <v/>
      </c>
      <c r="D56" s="4" t="n">
        <v>46002</v>
      </c>
      <c r="E56" s="4" t="n">
        <v>46016</v>
      </c>
      <c r="F56" s="4" t="n">
        <v>46016</v>
      </c>
      <c r="G56" t="n">
        <v>10</v>
      </c>
      <c r="H56" s="12">
        <f>INDEX(Items!$D$2:$D$25,MATCH(B56,Items!$A$2:$A$25,0))</f>
        <v/>
      </c>
      <c r="I56" s="12">
        <f>G56*H56</f>
        <v/>
      </c>
      <c r="J56">
        <f>IF(F56="","",F56-D56)</f>
        <v/>
      </c>
      <c r="K56">
        <f>IF(F56="","Open",IF(F56&lt;=E56,"Yes","No"))</f>
        <v/>
      </c>
      <c r="L56">
        <f>IF(F56="","",MAX(0,F56-E56))</f>
        <v/>
      </c>
      <c r="M56" s="13">
        <f>DATE(YEAR(D56),MONTH(D56),1)</f>
        <v/>
      </c>
    </row>
    <row r="57">
      <c r="A57" t="inlineStr">
        <is>
          <t>PO-24057</t>
        </is>
      </c>
      <c r="B57" t="inlineStr">
        <is>
          <t>RGT-004</t>
        </is>
      </c>
      <c r="C57">
        <f>INDEX(Items!$C$2:$C$25,MATCH(B57,Items!$A$2:$A$25,0))</f>
        <v/>
      </c>
      <c r="D57" s="4" t="n">
        <v>46002</v>
      </c>
      <c r="E57" s="4" t="n">
        <v>46016</v>
      </c>
      <c r="F57" s="4" t="n">
        <v>46014</v>
      </c>
      <c r="G57" t="n">
        <v>12</v>
      </c>
      <c r="H57" s="12">
        <f>INDEX(Items!$D$2:$D$25,MATCH(B57,Items!$A$2:$A$25,0))</f>
        <v/>
      </c>
      <c r="I57" s="12">
        <f>G57*H57</f>
        <v/>
      </c>
      <c r="J57">
        <f>IF(F57="","",F57-D57)</f>
        <v/>
      </c>
      <c r="K57">
        <f>IF(F57="","Open",IF(F57&lt;=E57,"Yes","No"))</f>
        <v/>
      </c>
      <c r="L57">
        <f>IF(F57="","",MAX(0,F57-E57))</f>
        <v/>
      </c>
      <c r="M57" s="13">
        <f>DATE(YEAR(D57),MONTH(D57),1)</f>
        <v/>
      </c>
    </row>
    <row r="58">
      <c r="A58" t="inlineStr">
        <is>
          <t>PO-24058</t>
        </is>
      </c>
      <c r="B58" t="inlineStr">
        <is>
          <t>GLS-002</t>
        </is>
      </c>
      <c r="C58">
        <f>INDEX(Items!$C$2:$C$25,MATCH(B58,Items!$A$2:$A$25,0))</f>
        <v/>
      </c>
      <c r="D58" s="4" t="n">
        <v>46004</v>
      </c>
      <c r="E58" s="4" t="n">
        <v>46013</v>
      </c>
      <c r="F58" s="4" t="n">
        <v>46012</v>
      </c>
      <c r="G58" t="n">
        <v>1</v>
      </c>
      <c r="H58" s="12">
        <f>INDEX(Items!$D$2:$D$25,MATCH(B58,Items!$A$2:$A$25,0))</f>
        <v/>
      </c>
      <c r="I58" s="12">
        <f>G58*H58</f>
        <v/>
      </c>
      <c r="J58">
        <f>IF(F58="","",F58-D58)</f>
        <v/>
      </c>
      <c r="K58">
        <f>IF(F58="","Open",IF(F58&lt;=E58,"Yes","No"))</f>
        <v/>
      </c>
      <c r="L58">
        <f>IF(F58="","",MAX(0,F58-E58))</f>
        <v/>
      </c>
      <c r="M58" s="13">
        <f>DATE(YEAR(D58),MONTH(D58),1)</f>
        <v/>
      </c>
    </row>
    <row r="59">
      <c r="A59" t="inlineStr">
        <is>
          <t>PO-24059</t>
        </is>
      </c>
      <c r="B59" t="inlineStr">
        <is>
          <t>RGT-001</t>
        </is>
      </c>
      <c r="C59">
        <f>INDEX(Items!$C$2:$C$25,MATCH(B59,Items!$A$2:$A$25,0))</f>
        <v/>
      </c>
      <c r="D59" s="4" t="n">
        <v>46004</v>
      </c>
      <c r="E59" s="4" t="n">
        <v>46018</v>
      </c>
      <c r="F59" s="4" t="n">
        <v>46015</v>
      </c>
      <c r="G59" t="n">
        <v>1</v>
      </c>
      <c r="H59" s="12">
        <f>INDEX(Items!$D$2:$D$25,MATCH(B59,Items!$A$2:$A$25,0))</f>
        <v/>
      </c>
      <c r="I59" s="12">
        <f>G59*H59</f>
        <v/>
      </c>
      <c r="J59">
        <f>IF(F59="","",F59-D59)</f>
        <v/>
      </c>
      <c r="K59">
        <f>IF(F59="","Open",IF(F59&lt;=E59,"Yes","No"))</f>
        <v/>
      </c>
      <c r="L59">
        <f>IF(F59="","",MAX(0,F59-E59))</f>
        <v/>
      </c>
      <c r="M59" s="13">
        <f>DATE(YEAR(D59),MONTH(D59),1)</f>
        <v/>
      </c>
    </row>
    <row r="60">
      <c r="A60" t="inlineStr">
        <is>
          <t>PO-24060</t>
        </is>
      </c>
      <c r="B60" t="inlineStr">
        <is>
          <t>MED-004</t>
        </is>
      </c>
      <c r="C60">
        <f>INDEX(Items!$C$2:$C$25,MATCH(B60,Items!$A$2:$A$25,0))</f>
        <v/>
      </c>
      <c r="D60" s="4" t="n">
        <v>46005</v>
      </c>
      <c r="E60" s="4" t="n">
        <v>46015</v>
      </c>
      <c r="F60" s="4" t="n">
        <v>46014</v>
      </c>
      <c r="G60" t="n">
        <v>50</v>
      </c>
      <c r="H60" s="12">
        <f>INDEX(Items!$D$2:$D$25,MATCH(B60,Items!$A$2:$A$25,0))</f>
        <v/>
      </c>
      <c r="I60" s="12">
        <f>G60*H60</f>
        <v/>
      </c>
      <c r="J60">
        <f>IF(F60="","",F60-D60)</f>
        <v/>
      </c>
      <c r="K60">
        <f>IF(F60="","Open",IF(F60&lt;=E60,"Yes","No"))</f>
        <v/>
      </c>
      <c r="L60">
        <f>IF(F60="","",MAX(0,F60-E60))</f>
        <v/>
      </c>
      <c r="M60" s="13">
        <f>DATE(YEAR(D60),MONTH(D60),1)</f>
        <v/>
      </c>
    </row>
    <row r="61">
      <c r="A61" t="inlineStr">
        <is>
          <t>PO-24061</t>
        </is>
      </c>
      <c r="B61" t="inlineStr">
        <is>
          <t>CAL-002</t>
        </is>
      </c>
      <c r="C61">
        <f>INDEX(Items!$C$2:$C$25,MATCH(B61,Items!$A$2:$A$25,0))</f>
        <v/>
      </c>
      <c r="D61" s="4" t="n">
        <v>46006</v>
      </c>
      <c r="E61" s="4" t="n">
        <v>46027</v>
      </c>
      <c r="F61" s="4" t="n">
        <v>46032</v>
      </c>
      <c r="G61" t="n">
        <v>5</v>
      </c>
      <c r="H61" s="12">
        <f>INDEX(Items!$D$2:$D$25,MATCH(B61,Items!$A$2:$A$25,0))</f>
        <v/>
      </c>
      <c r="I61" s="12">
        <f>G61*H61</f>
        <v/>
      </c>
      <c r="J61">
        <f>IF(F61="","",F61-D61)</f>
        <v/>
      </c>
      <c r="K61">
        <f>IF(F61="","Open",IF(F61&lt;=E61,"Yes","No"))</f>
        <v/>
      </c>
      <c r="L61">
        <f>IF(F61="","",MAX(0,F61-E61))</f>
        <v/>
      </c>
      <c r="M61" s="13">
        <f>DATE(YEAR(D61),MONTH(D61),1)</f>
        <v/>
      </c>
    </row>
    <row r="62">
      <c r="A62" t="inlineStr">
        <is>
          <t>PO-24062</t>
        </is>
      </c>
      <c r="B62" t="inlineStr">
        <is>
          <t>CON-002</t>
        </is>
      </c>
      <c r="C62">
        <f>INDEX(Items!$C$2:$C$25,MATCH(B62,Items!$A$2:$A$25,0))</f>
        <v/>
      </c>
      <c r="D62" s="4" t="n">
        <v>46008</v>
      </c>
      <c r="E62" s="4" t="n">
        <v>46015</v>
      </c>
      <c r="F62" s="4" t="n">
        <v>46012</v>
      </c>
      <c r="G62" t="n">
        <v>24</v>
      </c>
      <c r="H62" s="12">
        <f>INDEX(Items!$D$2:$D$25,MATCH(B62,Items!$A$2:$A$25,0))</f>
        <v/>
      </c>
      <c r="I62" s="12">
        <f>G62*H62</f>
        <v/>
      </c>
      <c r="J62">
        <f>IF(F62="","",F62-D62)</f>
        <v/>
      </c>
      <c r="K62">
        <f>IF(F62="","Open",IF(F62&lt;=E62,"Yes","No"))</f>
        <v/>
      </c>
      <c r="L62">
        <f>IF(F62="","",MAX(0,F62-E62))</f>
        <v/>
      </c>
      <c r="M62" s="13">
        <f>DATE(YEAR(D62),MONTH(D62),1)</f>
        <v/>
      </c>
    </row>
    <row r="63">
      <c r="A63" t="inlineStr">
        <is>
          <t>PO-24063</t>
        </is>
      </c>
      <c r="B63" t="inlineStr">
        <is>
          <t>MED-004</t>
        </is>
      </c>
      <c r="C63">
        <f>INDEX(Items!$C$2:$C$25,MATCH(B63,Items!$A$2:$A$25,0))</f>
        <v/>
      </c>
      <c r="D63" s="4" t="n">
        <v>46009</v>
      </c>
      <c r="E63" s="4" t="n">
        <v>46019</v>
      </c>
      <c r="F63" s="4" t="n">
        <v>46016</v>
      </c>
      <c r="G63" t="n">
        <v>50</v>
      </c>
      <c r="H63" s="12">
        <f>INDEX(Items!$D$2:$D$25,MATCH(B63,Items!$A$2:$A$25,0))</f>
        <v/>
      </c>
      <c r="I63" s="12">
        <f>G63*H63</f>
        <v/>
      </c>
      <c r="J63">
        <f>IF(F63="","",F63-D63)</f>
        <v/>
      </c>
      <c r="K63">
        <f>IF(F63="","Open",IF(F63&lt;=E63,"Yes","No"))</f>
        <v/>
      </c>
      <c r="L63">
        <f>IF(F63="","",MAX(0,F63-E63))</f>
        <v/>
      </c>
      <c r="M63" s="13">
        <f>DATE(YEAR(D63),MONTH(D63),1)</f>
        <v/>
      </c>
    </row>
    <row r="64">
      <c r="A64" t="inlineStr">
        <is>
          <t>PO-24064</t>
        </is>
      </c>
      <c r="B64" t="inlineStr">
        <is>
          <t>GLS-002</t>
        </is>
      </c>
      <c r="C64">
        <f>INDEX(Items!$C$2:$C$25,MATCH(B64,Items!$A$2:$A$25,0))</f>
        <v/>
      </c>
      <c r="D64" s="4" t="n">
        <v>46010</v>
      </c>
      <c r="E64" s="4" t="n">
        <v>46019</v>
      </c>
      <c r="F64" s="4" t="n">
        <v>46019</v>
      </c>
      <c r="G64" t="n">
        <v>4</v>
      </c>
      <c r="H64" s="12">
        <f>INDEX(Items!$D$2:$D$25,MATCH(B64,Items!$A$2:$A$25,0))</f>
        <v/>
      </c>
      <c r="I64" s="12">
        <f>G64*H64</f>
        <v/>
      </c>
      <c r="J64">
        <f>IF(F64="","",F64-D64)</f>
        <v/>
      </c>
      <c r="K64">
        <f>IF(F64="","Open",IF(F64&lt;=E64,"Yes","No"))</f>
        <v/>
      </c>
      <c r="L64">
        <f>IF(F64="","",MAX(0,F64-E64))</f>
        <v/>
      </c>
      <c r="M64" s="13">
        <f>DATE(YEAR(D64),MONTH(D64),1)</f>
        <v/>
      </c>
    </row>
    <row r="65">
      <c r="A65" t="inlineStr">
        <is>
          <t>PO-24065</t>
        </is>
      </c>
      <c r="B65" t="inlineStr">
        <is>
          <t>CON-003</t>
        </is>
      </c>
      <c r="C65">
        <f>INDEX(Items!$C$2:$C$25,MATCH(B65,Items!$A$2:$A$25,0))</f>
        <v/>
      </c>
      <c r="D65" s="4" t="n">
        <v>46013</v>
      </c>
      <c r="E65" s="4" t="n">
        <v>46020</v>
      </c>
      <c r="F65" s="4" t="n">
        <v>46020</v>
      </c>
      <c r="G65" t="n">
        <v>15</v>
      </c>
      <c r="H65" s="12">
        <f>INDEX(Items!$D$2:$D$25,MATCH(B65,Items!$A$2:$A$25,0))</f>
        <v/>
      </c>
      <c r="I65" s="12">
        <f>G65*H65</f>
        <v/>
      </c>
      <c r="J65">
        <f>IF(F65="","",F65-D65)</f>
        <v/>
      </c>
      <c r="K65">
        <f>IF(F65="","Open",IF(F65&lt;=E65,"Yes","No"))</f>
        <v/>
      </c>
      <c r="L65">
        <f>IF(F65="","",MAX(0,F65-E65))</f>
        <v/>
      </c>
      <c r="M65" s="13">
        <f>DATE(YEAR(D65),MONTH(D65),1)</f>
        <v/>
      </c>
    </row>
    <row r="66">
      <c r="A66" t="inlineStr">
        <is>
          <t>PO-24066</t>
        </is>
      </c>
      <c r="B66" t="inlineStr">
        <is>
          <t>MED-004</t>
        </is>
      </c>
      <c r="C66">
        <f>INDEX(Items!$C$2:$C$25,MATCH(B66,Items!$A$2:$A$25,0))</f>
        <v/>
      </c>
      <c r="D66" s="4" t="n">
        <v>46013</v>
      </c>
      <c r="E66" s="4" t="n">
        <v>46023</v>
      </c>
      <c r="F66" s="4" t="n">
        <v>46020</v>
      </c>
      <c r="G66" t="n">
        <v>30</v>
      </c>
      <c r="H66" s="12">
        <f>INDEX(Items!$D$2:$D$25,MATCH(B66,Items!$A$2:$A$25,0))</f>
        <v/>
      </c>
      <c r="I66" s="12">
        <f>G66*H66</f>
        <v/>
      </c>
      <c r="J66">
        <f>IF(F66="","",F66-D66)</f>
        <v/>
      </c>
      <c r="K66">
        <f>IF(F66="","Open",IF(F66&lt;=E66,"Yes","No"))</f>
        <v/>
      </c>
      <c r="L66">
        <f>IF(F66="","",MAX(0,F66-E66))</f>
        <v/>
      </c>
      <c r="M66" s="13">
        <f>DATE(YEAR(D66),MONTH(D66),1)</f>
        <v/>
      </c>
    </row>
    <row r="67">
      <c r="A67" t="inlineStr">
        <is>
          <t>PO-24067</t>
        </is>
      </c>
      <c r="B67" t="inlineStr">
        <is>
          <t>BIO-001</t>
        </is>
      </c>
      <c r="C67">
        <f>INDEX(Items!$C$2:$C$25,MATCH(B67,Items!$A$2:$A$25,0))</f>
        <v/>
      </c>
      <c r="D67" s="4" t="n">
        <v>46018</v>
      </c>
      <c r="E67" s="4" t="n">
        <v>46036</v>
      </c>
      <c r="F67" s="4" t="n">
        <v>46035</v>
      </c>
      <c r="G67" t="n">
        <v>2</v>
      </c>
      <c r="H67" s="12">
        <f>INDEX(Items!$D$2:$D$25,MATCH(B67,Items!$A$2:$A$25,0))</f>
        <v/>
      </c>
      <c r="I67" s="12">
        <f>G67*H67</f>
        <v/>
      </c>
      <c r="J67">
        <f>IF(F67="","",F67-D67)</f>
        <v/>
      </c>
      <c r="K67">
        <f>IF(F67="","Open",IF(F67&lt;=E67,"Yes","No"))</f>
        <v/>
      </c>
      <c r="L67">
        <f>IF(F67="","",MAX(0,F67-E67))</f>
        <v/>
      </c>
      <c r="M67" s="13">
        <f>DATE(YEAR(D67),MONTH(D67),1)</f>
        <v/>
      </c>
    </row>
    <row r="68">
      <c r="A68" t="inlineStr">
        <is>
          <t>PO-24068</t>
        </is>
      </c>
      <c r="B68" t="inlineStr">
        <is>
          <t>CON-002</t>
        </is>
      </c>
      <c r="C68">
        <f>INDEX(Items!$C$2:$C$25,MATCH(B68,Items!$A$2:$A$25,0))</f>
        <v/>
      </c>
      <c r="D68" s="4" t="n">
        <v>46018</v>
      </c>
      <c r="E68" s="4" t="n">
        <v>46025</v>
      </c>
      <c r="F68" s="4" t="n">
        <v>46022</v>
      </c>
      <c r="G68" t="n">
        <v>36</v>
      </c>
      <c r="H68" s="12">
        <f>INDEX(Items!$D$2:$D$25,MATCH(B68,Items!$A$2:$A$25,0))</f>
        <v/>
      </c>
      <c r="I68" s="12">
        <f>G68*H68</f>
        <v/>
      </c>
      <c r="J68">
        <f>IF(F68="","",F68-D68)</f>
        <v/>
      </c>
      <c r="K68">
        <f>IF(F68="","Open",IF(F68&lt;=E68,"Yes","No"))</f>
        <v/>
      </c>
      <c r="L68">
        <f>IF(F68="","",MAX(0,F68-E68))</f>
        <v/>
      </c>
      <c r="M68" s="13">
        <f>DATE(YEAR(D68),MONTH(D68),1)</f>
        <v/>
      </c>
    </row>
    <row r="69">
      <c r="A69" t="inlineStr">
        <is>
          <t>PO-24069</t>
        </is>
      </c>
      <c r="B69" t="inlineStr">
        <is>
          <t>RGT-001</t>
        </is>
      </c>
      <c r="C69">
        <f>INDEX(Items!$C$2:$C$25,MATCH(B69,Items!$A$2:$A$25,0))</f>
        <v/>
      </c>
      <c r="D69" s="4" t="n">
        <v>46021</v>
      </c>
      <c r="E69" s="4" t="n">
        <v>46035</v>
      </c>
      <c r="F69" s="4" t="n">
        <v>46035</v>
      </c>
      <c r="G69" t="n">
        <v>2</v>
      </c>
      <c r="H69" s="12">
        <f>INDEX(Items!$D$2:$D$25,MATCH(B69,Items!$A$2:$A$25,0))</f>
        <v/>
      </c>
      <c r="I69" s="12">
        <f>G69*H69</f>
        <v/>
      </c>
      <c r="J69">
        <f>IF(F69="","",F69-D69)</f>
        <v/>
      </c>
      <c r="K69">
        <f>IF(F69="","Open",IF(F69&lt;=E69,"Yes","No"))</f>
        <v/>
      </c>
      <c r="L69">
        <f>IF(F69="","",MAX(0,F69-E69))</f>
        <v/>
      </c>
      <c r="M69" s="13">
        <f>DATE(YEAR(D69),MONTH(D69),1)</f>
        <v/>
      </c>
    </row>
    <row r="70">
      <c r="A70" t="inlineStr">
        <is>
          <t>PO-24070</t>
        </is>
      </c>
      <c r="B70" t="inlineStr">
        <is>
          <t>BIO-002</t>
        </is>
      </c>
      <c r="C70">
        <f>INDEX(Items!$C$2:$C$25,MATCH(B70,Items!$A$2:$A$25,0))</f>
        <v/>
      </c>
      <c r="D70" s="4" t="n">
        <v>46023</v>
      </c>
      <c r="E70" s="4" t="n">
        <v>46041</v>
      </c>
      <c r="F70" s="4" t="n">
        <v>46041</v>
      </c>
      <c r="G70" t="n">
        <v>5</v>
      </c>
      <c r="H70" s="12">
        <f>INDEX(Items!$D$2:$D$25,MATCH(B70,Items!$A$2:$A$25,0))</f>
        <v/>
      </c>
      <c r="I70" s="12">
        <f>G70*H70</f>
        <v/>
      </c>
      <c r="J70">
        <f>IF(F70="","",F70-D70)</f>
        <v/>
      </c>
      <c r="K70">
        <f>IF(F70="","Open",IF(F70&lt;=E70,"Yes","No"))</f>
        <v/>
      </c>
      <c r="L70">
        <f>IF(F70="","",MAX(0,F70-E70))</f>
        <v/>
      </c>
      <c r="M70" s="13">
        <f>DATE(YEAR(D70),MONTH(D70),1)</f>
        <v/>
      </c>
    </row>
    <row r="71">
      <c r="A71" t="inlineStr">
        <is>
          <t>PO-24071</t>
        </is>
      </c>
      <c r="B71" t="inlineStr">
        <is>
          <t>MED-002</t>
        </is>
      </c>
      <c r="C71">
        <f>INDEX(Items!$C$2:$C$25,MATCH(B71,Items!$A$2:$A$25,0))</f>
        <v/>
      </c>
      <c r="D71" s="4" t="n">
        <v>46027</v>
      </c>
      <c r="E71" s="4" t="n">
        <v>46037</v>
      </c>
      <c r="F71" s="4" t="n">
        <v>46034</v>
      </c>
      <c r="G71" t="n">
        <v>42</v>
      </c>
      <c r="H71" s="12">
        <f>INDEX(Items!$D$2:$D$25,MATCH(B71,Items!$A$2:$A$25,0))</f>
        <v/>
      </c>
      <c r="I71" s="12">
        <f>G71*H71</f>
        <v/>
      </c>
      <c r="J71">
        <f>IF(F71="","",F71-D71)</f>
        <v/>
      </c>
      <c r="K71">
        <f>IF(F71="","Open",IF(F71&lt;=E71,"Yes","No"))</f>
        <v/>
      </c>
      <c r="L71">
        <f>IF(F71="","",MAX(0,F71-E71))</f>
        <v/>
      </c>
      <c r="M71" s="13">
        <f>DATE(YEAR(D71),MONTH(D71),1)</f>
        <v/>
      </c>
    </row>
    <row r="72">
      <c r="A72" t="inlineStr">
        <is>
          <t>PO-24072</t>
        </is>
      </c>
      <c r="B72" t="inlineStr">
        <is>
          <t>RGT-002</t>
        </is>
      </c>
      <c r="C72">
        <f>INDEX(Items!$C$2:$C$25,MATCH(B72,Items!$A$2:$A$25,0))</f>
        <v/>
      </c>
      <c r="D72" s="4" t="n">
        <v>46028</v>
      </c>
      <c r="E72" s="4" t="n">
        <v>46042</v>
      </c>
      <c r="F72" s="4" t="n">
        <v>46041</v>
      </c>
      <c r="G72" t="n">
        <v>4</v>
      </c>
      <c r="H72" s="12">
        <f>INDEX(Items!$D$2:$D$25,MATCH(B72,Items!$A$2:$A$25,0))</f>
        <v/>
      </c>
      <c r="I72" s="12">
        <f>G72*H72</f>
        <v/>
      </c>
      <c r="J72">
        <f>IF(F72="","",F72-D72)</f>
        <v/>
      </c>
      <c r="K72">
        <f>IF(F72="","Open",IF(F72&lt;=E72,"Yes","No"))</f>
        <v/>
      </c>
      <c r="L72">
        <f>IF(F72="","",MAX(0,F72-E72))</f>
        <v/>
      </c>
      <c r="M72" s="13">
        <f>DATE(YEAR(D72),MONTH(D72),1)</f>
        <v/>
      </c>
    </row>
    <row r="73">
      <c r="A73" t="inlineStr">
        <is>
          <t>PO-24073</t>
        </is>
      </c>
      <c r="B73" t="inlineStr">
        <is>
          <t>MED-004</t>
        </is>
      </c>
      <c r="C73">
        <f>INDEX(Items!$C$2:$C$25,MATCH(B73,Items!$A$2:$A$25,0))</f>
        <v/>
      </c>
      <c r="D73" s="4" t="n">
        <v>46029</v>
      </c>
      <c r="E73" s="4" t="n">
        <v>46039</v>
      </c>
      <c r="F73" s="4" t="n">
        <v>46038</v>
      </c>
      <c r="G73" t="n">
        <v>20</v>
      </c>
      <c r="H73" s="12">
        <f>INDEX(Items!$D$2:$D$25,MATCH(B73,Items!$A$2:$A$25,0))</f>
        <v/>
      </c>
      <c r="I73" s="12">
        <f>G73*H73</f>
        <v/>
      </c>
      <c r="J73">
        <f>IF(F73="","",F73-D73)</f>
        <v/>
      </c>
      <c r="K73">
        <f>IF(F73="","Open",IF(F73&lt;=E73,"Yes","No"))</f>
        <v/>
      </c>
      <c r="L73">
        <f>IF(F73="","",MAX(0,F73-E73))</f>
        <v/>
      </c>
      <c r="M73" s="13">
        <f>DATE(YEAR(D73),MONTH(D73),1)</f>
        <v/>
      </c>
    </row>
    <row r="74">
      <c r="A74" t="inlineStr">
        <is>
          <t>PO-24074</t>
        </is>
      </c>
      <c r="B74" t="inlineStr">
        <is>
          <t>RGT-003</t>
        </is>
      </c>
      <c r="C74">
        <f>INDEX(Items!$C$2:$C$25,MATCH(B74,Items!$A$2:$A$25,0))</f>
        <v/>
      </c>
      <c r="D74" s="4" t="n">
        <v>46033</v>
      </c>
      <c r="E74" s="4" t="n">
        <v>46047</v>
      </c>
      <c r="F74" s="4" t="n">
        <v>46046</v>
      </c>
      <c r="G74" t="n">
        <v>4</v>
      </c>
      <c r="H74" s="12">
        <f>INDEX(Items!$D$2:$D$25,MATCH(B74,Items!$A$2:$A$25,0))</f>
        <v/>
      </c>
      <c r="I74" s="12">
        <f>G74*H74</f>
        <v/>
      </c>
      <c r="J74">
        <f>IF(F74="","",F74-D74)</f>
        <v/>
      </c>
      <c r="K74">
        <f>IF(F74="","Open",IF(F74&lt;=E74,"Yes","No"))</f>
        <v/>
      </c>
      <c r="L74">
        <f>IF(F74="","",MAX(0,F74-E74))</f>
        <v/>
      </c>
      <c r="M74" s="13">
        <f>DATE(YEAR(D74),MONTH(D74),1)</f>
        <v/>
      </c>
    </row>
    <row r="75">
      <c r="A75" t="inlineStr">
        <is>
          <t>PO-24075</t>
        </is>
      </c>
      <c r="B75" t="inlineStr">
        <is>
          <t>GAS-002</t>
        </is>
      </c>
      <c r="C75">
        <f>INDEX(Items!$C$2:$C$25,MATCH(B75,Items!$A$2:$A$25,0))</f>
        <v/>
      </c>
      <c r="D75" s="4" t="n">
        <v>46037</v>
      </c>
      <c r="E75" s="4" t="n">
        <v>46042</v>
      </c>
      <c r="F75" s="4" t="n">
        <v>46041</v>
      </c>
      <c r="G75" t="n">
        <v>3</v>
      </c>
      <c r="H75" s="12">
        <f>INDEX(Items!$D$2:$D$25,MATCH(B75,Items!$A$2:$A$25,0))</f>
        <v/>
      </c>
      <c r="I75" s="12">
        <f>G75*H75</f>
        <v/>
      </c>
      <c r="J75">
        <f>IF(F75="","",F75-D75)</f>
        <v/>
      </c>
      <c r="K75">
        <f>IF(F75="","Open",IF(F75&lt;=E75,"Yes","No"))</f>
        <v/>
      </c>
      <c r="L75">
        <f>IF(F75="","",MAX(0,F75-E75))</f>
        <v/>
      </c>
      <c r="M75" s="13">
        <f>DATE(YEAR(D75),MONTH(D75),1)</f>
        <v/>
      </c>
    </row>
    <row r="76">
      <c r="A76" t="inlineStr">
        <is>
          <t>PO-24076</t>
        </is>
      </c>
      <c r="B76" t="inlineStr">
        <is>
          <t>CON-001</t>
        </is>
      </c>
      <c r="C76">
        <f>INDEX(Items!$C$2:$C$25,MATCH(B76,Items!$A$2:$A$25,0))</f>
        <v/>
      </c>
      <c r="D76" s="4" t="n">
        <v>46038</v>
      </c>
      <c r="E76" s="4" t="n">
        <v>46045</v>
      </c>
      <c r="F76" s="4" t="n">
        <v>46043</v>
      </c>
      <c r="G76" t="n">
        <v>12</v>
      </c>
      <c r="H76" s="12">
        <f>INDEX(Items!$D$2:$D$25,MATCH(B76,Items!$A$2:$A$25,0))</f>
        <v/>
      </c>
      <c r="I76" s="12">
        <f>G76*H76</f>
        <v/>
      </c>
      <c r="J76">
        <f>IF(F76="","",F76-D76)</f>
        <v/>
      </c>
      <c r="K76">
        <f>IF(F76="","Open",IF(F76&lt;=E76,"Yes","No"))</f>
        <v/>
      </c>
      <c r="L76">
        <f>IF(F76="","",MAX(0,F76-E76))</f>
        <v/>
      </c>
      <c r="M76" s="13">
        <f>DATE(YEAR(D76),MONTH(D76),1)</f>
        <v/>
      </c>
    </row>
    <row r="77">
      <c r="A77" t="inlineStr">
        <is>
          <t>PO-24077</t>
        </is>
      </c>
      <c r="B77" t="inlineStr">
        <is>
          <t>CON-003</t>
        </is>
      </c>
      <c r="C77">
        <f>INDEX(Items!$C$2:$C$25,MATCH(B77,Items!$A$2:$A$25,0))</f>
        <v/>
      </c>
      <c r="D77" s="4" t="n">
        <v>46038</v>
      </c>
      <c r="E77" s="4" t="n">
        <v>46045</v>
      </c>
      <c r="F77" s="4" t="n">
        <v>46045</v>
      </c>
      <c r="G77" t="n">
        <v>15</v>
      </c>
      <c r="H77" s="12">
        <f>INDEX(Items!$D$2:$D$25,MATCH(B77,Items!$A$2:$A$25,0))</f>
        <v/>
      </c>
      <c r="I77" s="12">
        <f>G77*H77</f>
        <v/>
      </c>
      <c r="J77">
        <f>IF(F77="","",F77-D77)</f>
        <v/>
      </c>
      <c r="K77">
        <f>IF(F77="","Open",IF(F77&lt;=E77,"Yes","No"))</f>
        <v/>
      </c>
      <c r="L77">
        <f>IF(F77="","",MAX(0,F77-E77))</f>
        <v/>
      </c>
      <c r="M77" s="13">
        <f>DATE(YEAR(D77),MONTH(D77),1)</f>
        <v/>
      </c>
    </row>
    <row r="78">
      <c r="A78" t="inlineStr">
        <is>
          <t>PO-24078</t>
        </is>
      </c>
      <c r="B78" t="inlineStr">
        <is>
          <t>GAS-002</t>
        </is>
      </c>
      <c r="C78">
        <f>INDEX(Items!$C$2:$C$25,MATCH(B78,Items!$A$2:$A$25,0))</f>
        <v/>
      </c>
      <c r="D78" s="4" t="n">
        <v>46040</v>
      </c>
      <c r="E78" s="4" t="n">
        <v>46045</v>
      </c>
      <c r="F78" s="4" t="n">
        <v>46044</v>
      </c>
      <c r="G78" t="n">
        <v>3</v>
      </c>
      <c r="H78" s="12">
        <f>INDEX(Items!$D$2:$D$25,MATCH(B78,Items!$A$2:$A$25,0))</f>
        <v/>
      </c>
      <c r="I78" s="12">
        <f>G78*H78</f>
        <v/>
      </c>
      <c r="J78">
        <f>IF(F78="","",F78-D78)</f>
        <v/>
      </c>
      <c r="K78">
        <f>IF(F78="","Open",IF(F78&lt;=E78,"Yes","No"))</f>
        <v/>
      </c>
      <c r="L78">
        <f>IF(F78="","",MAX(0,F78-E78))</f>
        <v/>
      </c>
      <c r="M78" s="13">
        <f>DATE(YEAR(D78),MONTH(D78),1)</f>
        <v/>
      </c>
    </row>
    <row r="79">
      <c r="A79" t="inlineStr">
        <is>
          <t>PO-24079</t>
        </is>
      </c>
      <c r="B79" t="inlineStr">
        <is>
          <t>STR-003</t>
        </is>
      </c>
      <c r="C79">
        <f>INDEX(Items!$C$2:$C$25,MATCH(B79,Items!$A$2:$A$25,0))</f>
        <v/>
      </c>
      <c r="D79" s="4" t="n">
        <v>46040</v>
      </c>
      <c r="E79" s="4" t="n">
        <v>46052</v>
      </c>
      <c r="F79" s="4" t="n">
        <v>46049</v>
      </c>
      <c r="G79" t="n">
        <v>4</v>
      </c>
      <c r="H79" s="12">
        <f>INDEX(Items!$D$2:$D$25,MATCH(B79,Items!$A$2:$A$25,0))</f>
        <v/>
      </c>
      <c r="I79" s="12">
        <f>G79*H79</f>
        <v/>
      </c>
      <c r="J79">
        <f>IF(F79="","",F79-D79)</f>
        <v/>
      </c>
      <c r="K79">
        <f>IF(F79="","Open",IF(F79&lt;=E79,"Yes","No"))</f>
        <v/>
      </c>
      <c r="L79">
        <f>IF(F79="","",MAX(0,F79-E79))</f>
        <v/>
      </c>
      <c r="M79" s="13">
        <f>DATE(YEAR(D79),MONTH(D79),1)</f>
        <v/>
      </c>
    </row>
    <row r="80">
      <c r="A80" t="inlineStr">
        <is>
          <t>PO-24080</t>
        </is>
      </c>
      <c r="B80" t="inlineStr">
        <is>
          <t>GAS-001</t>
        </is>
      </c>
      <c r="C80">
        <f>INDEX(Items!$C$2:$C$25,MATCH(B80,Items!$A$2:$A$25,0))</f>
        <v/>
      </c>
      <c r="D80" s="4" t="n">
        <v>46041</v>
      </c>
      <c r="E80" s="4" t="n">
        <v>46046</v>
      </c>
      <c r="F80" s="4" t="n">
        <v>46043</v>
      </c>
      <c r="G80" t="n">
        <v>3</v>
      </c>
      <c r="H80" s="12">
        <f>INDEX(Items!$D$2:$D$25,MATCH(B80,Items!$A$2:$A$25,0))</f>
        <v/>
      </c>
      <c r="I80" s="12">
        <f>G80*H80</f>
        <v/>
      </c>
      <c r="J80">
        <f>IF(F80="","",F80-D80)</f>
        <v/>
      </c>
      <c r="K80">
        <f>IF(F80="","Open",IF(F80&lt;=E80,"Yes","No"))</f>
        <v/>
      </c>
      <c r="L80">
        <f>IF(F80="","",MAX(0,F80-E80))</f>
        <v/>
      </c>
      <c r="M80" s="13">
        <f>DATE(YEAR(D80),MONTH(D80),1)</f>
        <v/>
      </c>
    </row>
    <row r="81">
      <c r="A81" t="inlineStr">
        <is>
          <t>PO-24081</t>
        </is>
      </c>
      <c r="B81" t="inlineStr">
        <is>
          <t>RGT-004</t>
        </is>
      </c>
      <c r="C81">
        <f>INDEX(Items!$C$2:$C$25,MATCH(B81,Items!$A$2:$A$25,0))</f>
        <v/>
      </c>
      <c r="D81" s="4" t="n">
        <v>46041</v>
      </c>
      <c r="E81" s="4" t="n">
        <v>46055</v>
      </c>
      <c r="F81" s="4" t="n">
        <v>46055</v>
      </c>
      <c r="G81" t="n">
        <v>6</v>
      </c>
      <c r="H81" s="12">
        <f>INDEX(Items!$D$2:$D$25,MATCH(B81,Items!$A$2:$A$25,0))</f>
        <v/>
      </c>
      <c r="I81" s="12">
        <f>G81*H81</f>
        <v/>
      </c>
      <c r="J81">
        <f>IF(F81="","",F81-D81)</f>
        <v/>
      </c>
      <c r="K81">
        <f>IF(F81="","Open",IF(F81&lt;=E81,"Yes","No"))</f>
        <v/>
      </c>
      <c r="L81">
        <f>IF(F81="","",MAX(0,F81-E81))</f>
        <v/>
      </c>
      <c r="M81" s="13">
        <f>DATE(YEAR(D81),MONTH(D81),1)</f>
        <v/>
      </c>
    </row>
    <row r="82">
      <c r="A82" t="inlineStr">
        <is>
          <t>PO-24082</t>
        </is>
      </c>
      <c r="B82" t="inlineStr">
        <is>
          <t>STR-001</t>
        </is>
      </c>
      <c r="C82">
        <f>INDEX(Items!$C$2:$C$25,MATCH(B82,Items!$A$2:$A$25,0))</f>
        <v/>
      </c>
      <c r="D82" s="4" t="n">
        <v>46043</v>
      </c>
      <c r="E82" s="4" t="n">
        <v>46055</v>
      </c>
      <c r="F82" s="4" t="n">
        <v>46052</v>
      </c>
      <c r="G82" t="n">
        <v>1</v>
      </c>
      <c r="H82" s="12">
        <f>INDEX(Items!$D$2:$D$25,MATCH(B82,Items!$A$2:$A$25,0))</f>
        <v/>
      </c>
      <c r="I82" s="12">
        <f>G82*H82</f>
        <v/>
      </c>
      <c r="J82">
        <f>IF(F82="","",F82-D82)</f>
        <v/>
      </c>
      <c r="K82">
        <f>IF(F82="","Open",IF(F82&lt;=E82,"Yes","No"))</f>
        <v/>
      </c>
      <c r="L82">
        <f>IF(F82="","",MAX(0,F82-E82))</f>
        <v/>
      </c>
      <c r="M82" s="13">
        <f>DATE(YEAR(D82),MONTH(D82),1)</f>
        <v/>
      </c>
    </row>
    <row r="83">
      <c r="A83" t="inlineStr">
        <is>
          <t>PO-24083</t>
        </is>
      </c>
      <c r="B83" t="inlineStr">
        <is>
          <t>CAL-002</t>
        </is>
      </c>
      <c r="C83">
        <f>INDEX(Items!$C$2:$C$25,MATCH(B83,Items!$A$2:$A$25,0))</f>
        <v/>
      </c>
      <c r="D83" s="4" t="n">
        <v>46044</v>
      </c>
      <c r="E83" s="4" t="n">
        <v>46065</v>
      </c>
      <c r="F83" s="4" t="n">
        <v>46062</v>
      </c>
      <c r="G83" t="n">
        <v>6</v>
      </c>
      <c r="H83" s="12">
        <f>INDEX(Items!$D$2:$D$25,MATCH(B83,Items!$A$2:$A$25,0))</f>
        <v/>
      </c>
      <c r="I83" s="12">
        <f>G83*H83</f>
        <v/>
      </c>
      <c r="J83">
        <f>IF(F83="","",F83-D83)</f>
        <v/>
      </c>
      <c r="K83">
        <f>IF(F83="","Open",IF(F83&lt;=E83,"Yes","No"))</f>
        <v/>
      </c>
      <c r="L83">
        <f>IF(F83="","",MAX(0,F83-E83))</f>
        <v/>
      </c>
      <c r="M83" s="13">
        <f>DATE(YEAR(D83),MONTH(D83),1)</f>
        <v/>
      </c>
    </row>
    <row r="84">
      <c r="A84" t="inlineStr">
        <is>
          <t>PO-24084</t>
        </is>
      </c>
      <c r="B84" t="inlineStr">
        <is>
          <t>GAS-001</t>
        </is>
      </c>
      <c r="C84">
        <f>INDEX(Items!$C$2:$C$25,MATCH(B84,Items!$A$2:$A$25,0))</f>
        <v/>
      </c>
      <c r="D84" s="4" t="n">
        <v>46044</v>
      </c>
      <c r="E84" s="4" t="n">
        <v>46049</v>
      </c>
      <c r="F84" s="4" t="n">
        <v>46049</v>
      </c>
      <c r="G84" t="n">
        <v>6</v>
      </c>
      <c r="H84" s="12">
        <f>INDEX(Items!$D$2:$D$25,MATCH(B84,Items!$A$2:$A$25,0))</f>
        <v/>
      </c>
      <c r="I84" s="12">
        <f>G84*H84</f>
        <v/>
      </c>
      <c r="J84">
        <f>IF(F84="","",F84-D84)</f>
        <v/>
      </c>
      <c r="K84">
        <f>IF(F84="","Open",IF(F84&lt;=E84,"Yes","No"))</f>
        <v/>
      </c>
      <c r="L84">
        <f>IF(F84="","",MAX(0,F84-E84))</f>
        <v/>
      </c>
      <c r="M84" s="13">
        <f>DATE(YEAR(D84),MONTH(D84),1)</f>
        <v/>
      </c>
    </row>
    <row r="85">
      <c r="A85" t="inlineStr">
        <is>
          <t>PO-24085</t>
        </is>
      </c>
      <c r="B85" t="inlineStr">
        <is>
          <t>CON-003</t>
        </is>
      </c>
      <c r="C85">
        <f>INDEX(Items!$C$2:$C$25,MATCH(B85,Items!$A$2:$A$25,0))</f>
        <v/>
      </c>
      <c r="D85" s="4" t="n">
        <v>46045</v>
      </c>
      <c r="E85" s="4" t="n">
        <v>46052</v>
      </c>
      <c r="F85" s="4" t="n">
        <v>46052</v>
      </c>
      <c r="G85" t="n">
        <v>3</v>
      </c>
      <c r="H85" s="12">
        <f>INDEX(Items!$D$2:$D$25,MATCH(B85,Items!$A$2:$A$25,0))</f>
        <v/>
      </c>
      <c r="I85" s="12">
        <f>G85*H85</f>
        <v/>
      </c>
      <c r="J85">
        <f>IF(F85="","",F85-D85)</f>
        <v/>
      </c>
      <c r="K85">
        <f>IF(F85="","Open",IF(F85&lt;=E85,"Yes","No"))</f>
        <v/>
      </c>
      <c r="L85">
        <f>IF(F85="","",MAX(0,F85-E85))</f>
        <v/>
      </c>
      <c r="M85" s="13">
        <f>DATE(YEAR(D85),MONTH(D85),1)</f>
        <v/>
      </c>
    </row>
    <row r="86">
      <c r="A86" t="inlineStr">
        <is>
          <t>PO-24086</t>
        </is>
      </c>
      <c r="B86" t="inlineStr">
        <is>
          <t>CON-001</t>
        </is>
      </c>
      <c r="C86">
        <f>INDEX(Items!$C$2:$C$25,MATCH(B86,Items!$A$2:$A$25,0))</f>
        <v/>
      </c>
      <c r="D86" s="4" t="n">
        <v>46046</v>
      </c>
      <c r="E86" s="4" t="n">
        <v>46053</v>
      </c>
      <c r="F86" s="4" t="n">
        <v>46052</v>
      </c>
      <c r="G86" t="n">
        <v>3</v>
      </c>
      <c r="H86" s="12">
        <f>INDEX(Items!$D$2:$D$25,MATCH(B86,Items!$A$2:$A$25,0))</f>
        <v/>
      </c>
      <c r="I86" s="12">
        <f>G86*H86</f>
        <v/>
      </c>
      <c r="J86">
        <f>IF(F86="","",F86-D86)</f>
        <v/>
      </c>
      <c r="K86">
        <f>IF(F86="","Open",IF(F86&lt;=E86,"Yes","No"))</f>
        <v/>
      </c>
      <c r="L86">
        <f>IF(F86="","",MAX(0,F86-E86))</f>
        <v/>
      </c>
      <c r="M86" s="13">
        <f>DATE(YEAR(D86),MONTH(D86),1)</f>
        <v/>
      </c>
    </row>
    <row r="87">
      <c r="A87" t="inlineStr">
        <is>
          <t>PO-24087</t>
        </is>
      </c>
      <c r="B87" t="inlineStr">
        <is>
          <t>MED-005</t>
        </is>
      </c>
      <c r="C87">
        <f>INDEX(Items!$C$2:$C$25,MATCH(B87,Items!$A$2:$A$25,0))</f>
        <v/>
      </c>
      <c r="D87" s="4" t="n">
        <v>46046</v>
      </c>
      <c r="E87" s="4" t="n">
        <v>46056</v>
      </c>
      <c r="F87" s="4" t="n">
        <v>46053</v>
      </c>
      <c r="G87" t="n">
        <v>25</v>
      </c>
      <c r="H87" s="12">
        <f>INDEX(Items!$D$2:$D$25,MATCH(B87,Items!$A$2:$A$25,0))</f>
        <v/>
      </c>
      <c r="I87" s="12">
        <f>G87*H87</f>
        <v/>
      </c>
      <c r="J87">
        <f>IF(F87="","",F87-D87)</f>
        <v/>
      </c>
      <c r="K87">
        <f>IF(F87="","Open",IF(F87&lt;=E87,"Yes","No"))</f>
        <v/>
      </c>
      <c r="L87">
        <f>IF(F87="","",MAX(0,F87-E87))</f>
        <v/>
      </c>
      <c r="M87" s="13">
        <f>DATE(YEAR(D87),MONTH(D87),1)</f>
        <v/>
      </c>
    </row>
    <row r="88">
      <c r="A88" t="inlineStr">
        <is>
          <t>PO-24088</t>
        </is>
      </c>
      <c r="B88" t="inlineStr">
        <is>
          <t>RGT-003</t>
        </is>
      </c>
      <c r="C88">
        <f>INDEX(Items!$C$2:$C$25,MATCH(B88,Items!$A$2:$A$25,0))</f>
        <v/>
      </c>
      <c r="D88" s="4" t="n">
        <v>46046</v>
      </c>
      <c r="E88" s="4" t="n">
        <v>46060</v>
      </c>
      <c r="F88" s="4" t="n">
        <v>46061</v>
      </c>
      <c r="G88" t="n">
        <v>10</v>
      </c>
      <c r="H88" s="12">
        <f>INDEX(Items!$D$2:$D$25,MATCH(B88,Items!$A$2:$A$25,0))</f>
        <v/>
      </c>
      <c r="I88" s="12">
        <f>G88*H88</f>
        <v/>
      </c>
      <c r="J88">
        <f>IF(F88="","",F88-D88)</f>
        <v/>
      </c>
      <c r="K88">
        <f>IF(F88="","Open",IF(F88&lt;=E88,"Yes","No"))</f>
        <v/>
      </c>
      <c r="L88">
        <f>IF(F88="","",MAX(0,F88-E88))</f>
        <v/>
      </c>
      <c r="M88" s="13">
        <f>DATE(YEAR(D88),MONTH(D88),1)</f>
        <v/>
      </c>
    </row>
    <row r="89">
      <c r="A89" t="inlineStr">
        <is>
          <t>PO-24089</t>
        </is>
      </c>
      <c r="B89" t="inlineStr">
        <is>
          <t>CON-001</t>
        </is>
      </c>
      <c r="C89">
        <f>INDEX(Items!$C$2:$C$25,MATCH(B89,Items!$A$2:$A$25,0))</f>
        <v/>
      </c>
      <c r="D89" s="4" t="n">
        <v>46047</v>
      </c>
      <c r="E89" s="4" t="n">
        <v>46054</v>
      </c>
      <c r="F89" s="4" t="n">
        <v>46053</v>
      </c>
      <c r="G89" t="n">
        <v>12</v>
      </c>
      <c r="H89" s="12">
        <f>INDEX(Items!$D$2:$D$25,MATCH(B89,Items!$A$2:$A$25,0))</f>
        <v/>
      </c>
      <c r="I89" s="12">
        <f>G89*H89</f>
        <v/>
      </c>
      <c r="J89">
        <f>IF(F89="","",F89-D89)</f>
        <v/>
      </c>
      <c r="K89">
        <f>IF(F89="","Open",IF(F89&lt;=E89,"Yes","No"))</f>
        <v/>
      </c>
      <c r="L89">
        <f>IF(F89="","",MAX(0,F89-E89))</f>
        <v/>
      </c>
      <c r="M89" s="13">
        <f>DATE(YEAR(D89),MONTH(D89),1)</f>
        <v/>
      </c>
    </row>
    <row r="90">
      <c r="A90" t="inlineStr">
        <is>
          <t>PO-24090</t>
        </is>
      </c>
      <c r="B90" t="inlineStr">
        <is>
          <t>STR-002</t>
        </is>
      </c>
      <c r="C90">
        <f>INDEX(Items!$C$2:$C$25,MATCH(B90,Items!$A$2:$A$25,0))</f>
        <v/>
      </c>
      <c r="D90" s="4" t="n">
        <v>46047</v>
      </c>
      <c r="E90" s="4" t="n">
        <v>46059</v>
      </c>
      <c r="F90" s="4" t="n">
        <v>46056</v>
      </c>
      <c r="G90" t="n">
        <v>8</v>
      </c>
      <c r="H90" s="12">
        <f>INDEX(Items!$D$2:$D$25,MATCH(B90,Items!$A$2:$A$25,0))</f>
        <v/>
      </c>
      <c r="I90" s="12">
        <f>G90*H90</f>
        <v/>
      </c>
      <c r="J90">
        <f>IF(F90="","",F90-D90)</f>
        <v/>
      </c>
      <c r="K90">
        <f>IF(F90="","Open",IF(F90&lt;=E90,"Yes","No"))</f>
        <v/>
      </c>
      <c r="L90">
        <f>IF(F90="","",MAX(0,F90-E90))</f>
        <v/>
      </c>
      <c r="M90" s="13">
        <f>DATE(YEAR(D90),MONTH(D90),1)</f>
        <v/>
      </c>
    </row>
    <row r="91">
      <c r="A91" t="inlineStr">
        <is>
          <t>PO-24091</t>
        </is>
      </c>
      <c r="B91" t="inlineStr">
        <is>
          <t>GAS-002</t>
        </is>
      </c>
      <c r="C91">
        <f>INDEX(Items!$C$2:$C$25,MATCH(B91,Items!$A$2:$A$25,0))</f>
        <v/>
      </c>
      <c r="D91" s="4" t="n">
        <v>46048</v>
      </c>
      <c r="E91" s="4" t="n">
        <v>46053</v>
      </c>
      <c r="F91" s="4" t="n">
        <v>46053</v>
      </c>
      <c r="G91" t="n">
        <v>1</v>
      </c>
      <c r="H91" s="12">
        <f>INDEX(Items!$D$2:$D$25,MATCH(B91,Items!$A$2:$A$25,0))</f>
        <v/>
      </c>
      <c r="I91" s="12">
        <f>G91*H91</f>
        <v/>
      </c>
      <c r="J91">
        <f>IF(F91="","",F91-D91)</f>
        <v/>
      </c>
      <c r="K91">
        <f>IF(F91="","Open",IF(F91&lt;=E91,"Yes","No"))</f>
        <v/>
      </c>
      <c r="L91">
        <f>IF(F91="","",MAX(0,F91-E91))</f>
        <v/>
      </c>
      <c r="M91" s="13">
        <f>DATE(YEAR(D91),MONTH(D91),1)</f>
        <v/>
      </c>
    </row>
    <row r="92">
      <c r="A92" t="inlineStr">
        <is>
          <t>PO-24092</t>
        </is>
      </c>
      <c r="B92" t="inlineStr">
        <is>
          <t>GLS-001</t>
        </is>
      </c>
      <c r="C92">
        <f>INDEX(Items!$C$2:$C$25,MATCH(B92,Items!$A$2:$A$25,0))</f>
        <v/>
      </c>
      <c r="D92" s="4" t="n">
        <v>46048</v>
      </c>
      <c r="E92" s="4" t="n">
        <v>46057</v>
      </c>
      <c r="F92" s="4" t="n">
        <v>46055</v>
      </c>
      <c r="G92" t="n">
        <v>1</v>
      </c>
      <c r="H92" s="12">
        <f>INDEX(Items!$D$2:$D$25,MATCH(B92,Items!$A$2:$A$25,0))</f>
        <v/>
      </c>
      <c r="I92" s="12">
        <f>G92*H92</f>
        <v/>
      </c>
      <c r="J92">
        <f>IF(F92="","",F92-D92)</f>
        <v/>
      </c>
      <c r="K92">
        <f>IF(F92="","Open",IF(F92&lt;=E92,"Yes","No"))</f>
        <v/>
      </c>
      <c r="L92">
        <f>IF(F92="","",MAX(0,F92-E92))</f>
        <v/>
      </c>
      <c r="M92" s="13">
        <f>DATE(YEAR(D92),MONTH(D92),1)</f>
        <v/>
      </c>
    </row>
    <row r="93">
      <c r="A93" t="inlineStr">
        <is>
          <t>PO-24093</t>
        </is>
      </c>
      <c r="B93" t="inlineStr">
        <is>
          <t>MED-003</t>
        </is>
      </c>
      <c r="C93">
        <f>INDEX(Items!$C$2:$C$25,MATCH(B93,Items!$A$2:$A$25,0))</f>
        <v/>
      </c>
      <c r="D93" s="4" t="n">
        <v>46048</v>
      </c>
      <c r="E93" s="4" t="n">
        <v>46058</v>
      </c>
      <c r="F93" s="4" t="n">
        <v>46058</v>
      </c>
      <c r="G93" t="n">
        <v>36</v>
      </c>
      <c r="H93" s="12">
        <f>INDEX(Items!$D$2:$D$25,MATCH(B93,Items!$A$2:$A$25,0))</f>
        <v/>
      </c>
      <c r="I93" s="12">
        <f>G93*H93</f>
        <v/>
      </c>
      <c r="J93">
        <f>IF(F93="","",F93-D93)</f>
        <v/>
      </c>
      <c r="K93">
        <f>IF(F93="","Open",IF(F93&lt;=E93,"Yes","No"))</f>
        <v/>
      </c>
      <c r="L93">
        <f>IF(F93="","",MAX(0,F93-E93))</f>
        <v/>
      </c>
      <c r="M93" s="13">
        <f>DATE(YEAR(D93),MONTH(D93),1)</f>
        <v/>
      </c>
    </row>
    <row r="94">
      <c r="A94" t="inlineStr">
        <is>
          <t>PO-24094</t>
        </is>
      </c>
      <c r="B94" t="inlineStr">
        <is>
          <t>MED-005</t>
        </is>
      </c>
      <c r="C94">
        <f>INDEX(Items!$C$2:$C$25,MATCH(B94,Items!$A$2:$A$25,0))</f>
        <v/>
      </c>
      <c r="D94" s="4" t="n">
        <v>46049</v>
      </c>
      <c r="E94" s="4" t="n">
        <v>46059</v>
      </c>
      <c r="F94" s="4" t="n">
        <v>46057</v>
      </c>
      <c r="G94" t="n">
        <v>20</v>
      </c>
      <c r="H94" s="12">
        <f>INDEX(Items!$D$2:$D$25,MATCH(B94,Items!$A$2:$A$25,0))</f>
        <v/>
      </c>
      <c r="I94" s="12">
        <f>G94*H94</f>
        <v/>
      </c>
      <c r="J94">
        <f>IF(F94="","",F94-D94)</f>
        <v/>
      </c>
      <c r="K94">
        <f>IF(F94="","Open",IF(F94&lt;=E94,"Yes","No"))</f>
        <v/>
      </c>
      <c r="L94">
        <f>IF(F94="","",MAX(0,F94-E94))</f>
        <v/>
      </c>
      <c r="M94" s="13">
        <f>DATE(YEAR(D94),MONTH(D94),1)</f>
        <v/>
      </c>
    </row>
    <row r="95">
      <c r="A95" t="inlineStr">
        <is>
          <t>PO-24095</t>
        </is>
      </c>
      <c r="B95" t="inlineStr">
        <is>
          <t>MED-005</t>
        </is>
      </c>
      <c r="C95">
        <f>INDEX(Items!$C$2:$C$25,MATCH(B95,Items!$A$2:$A$25,0))</f>
        <v/>
      </c>
      <c r="D95" s="4" t="n">
        <v>46049</v>
      </c>
      <c r="E95" s="4" t="n">
        <v>46059</v>
      </c>
      <c r="F95" s="4" t="n">
        <v>46058</v>
      </c>
      <c r="G95" t="n">
        <v>30</v>
      </c>
      <c r="H95" s="12">
        <f>INDEX(Items!$D$2:$D$25,MATCH(B95,Items!$A$2:$A$25,0))</f>
        <v/>
      </c>
      <c r="I95" s="12">
        <f>G95*H95</f>
        <v/>
      </c>
      <c r="J95">
        <f>IF(F95="","",F95-D95)</f>
        <v/>
      </c>
      <c r="K95">
        <f>IF(F95="","Open",IF(F95&lt;=E95,"Yes","No"))</f>
        <v/>
      </c>
      <c r="L95">
        <f>IF(F95="","",MAX(0,F95-E95))</f>
        <v/>
      </c>
      <c r="M95" s="13">
        <f>DATE(YEAR(D95),MONTH(D95),1)</f>
        <v/>
      </c>
    </row>
    <row r="96">
      <c r="A96" t="inlineStr">
        <is>
          <t>PO-24096</t>
        </is>
      </c>
      <c r="B96" t="inlineStr">
        <is>
          <t>BIO-002</t>
        </is>
      </c>
      <c r="C96">
        <f>INDEX(Items!$C$2:$C$25,MATCH(B96,Items!$A$2:$A$25,0))</f>
        <v/>
      </c>
      <c r="D96" s="4" t="n">
        <v>46050</v>
      </c>
      <c r="E96" s="4" t="n">
        <v>46068</v>
      </c>
      <c r="F96" s="4" t="n">
        <v>46067</v>
      </c>
      <c r="G96" t="n">
        <v>4</v>
      </c>
      <c r="H96" s="12">
        <f>INDEX(Items!$D$2:$D$25,MATCH(B96,Items!$A$2:$A$25,0))</f>
        <v/>
      </c>
      <c r="I96" s="12">
        <f>G96*H96</f>
        <v/>
      </c>
      <c r="J96">
        <f>IF(F96="","",F96-D96)</f>
        <v/>
      </c>
      <c r="K96">
        <f>IF(F96="","Open",IF(F96&lt;=E96,"Yes","No"))</f>
        <v/>
      </c>
      <c r="L96">
        <f>IF(F96="","",MAX(0,F96-E96))</f>
        <v/>
      </c>
      <c r="M96" s="13">
        <f>DATE(YEAR(D96),MONTH(D96),1)</f>
        <v/>
      </c>
    </row>
    <row r="97">
      <c r="A97" t="inlineStr">
        <is>
          <t>PO-24097</t>
        </is>
      </c>
      <c r="B97" t="inlineStr">
        <is>
          <t>MED-003</t>
        </is>
      </c>
      <c r="C97">
        <f>INDEX(Items!$C$2:$C$25,MATCH(B97,Items!$A$2:$A$25,0))</f>
        <v/>
      </c>
      <c r="D97" s="4" t="n">
        <v>46050</v>
      </c>
      <c r="E97" s="4" t="n">
        <v>46060</v>
      </c>
      <c r="F97" s="4" t="n">
        <v>46057</v>
      </c>
      <c r="G97" t="n">
        <v>18</v>
      </c>
      <c r="H97" s="12">
        <f>INDEX(Items!$D$2:$D$25,MATCH(B97,Items!$A$2:$A$25,0))</f>
        <v/>
      </c>
      <c r="I97" s="12">
        <f>G97*H97</f>
        <v/>
      </c>
      <c r="J97">
        <f>IF(F97="","",F97-D97)</f>
        <v/>
      </c>
      <c r="K97">
        <f>IF(F97="","Open",IF(F97&lt;=E97,"Yes","No"))</f>
        <v/>
      </c>
      <c r="L97">
        <f>IF(F97="","",MAX(0,F97-E97))</f>
        <v/>
      </c>
      <c r="M97" s="13">
        <f>DATE(YEAR(D97),MONTH(D97),1)</f>
        <v/>
      </c>
    </row>
    <row r="98">
      <c r="A98" t="inlineStr">
        <is>
          <t>PO-24098</t>
        </is>
      </c>
      <c r="B98" t="inlineStr">
        <is>
          <t>MED-003</t>
        </is>
      </c>
      <c r="C98">
        <f>INDEX(Items!$C$2:$C$25,MATCH(B98,Items!$A$2:$A$25,0))</f>
        <v/>
      </c>
      <c r="D98" s="4" t="n">
        <v>46051</v>
      </c>
      <c r="E98" s="4" t="n">
        <v>46061</v>
      </c>
      <c r="F98" s="4" t="n">
        <v>46059</v>
      </c>
      <c r="G98" t="n">
        <v>12</v>
      </c>
      <c r="H98" s="12">
        <f>INDEX(Items!$D$2:$D$25,MATCH(B98,Items!$A$2:$A$25,0))</f>
        <v/>
      </c>
      <c r="I98" s="12">
        <f>G98*H98</f>
        <v/>
      </c>
      <c r="J98">
        <f>IF(F98="","",F98-D98)</f>
        <v/>
      </c>
      <c r="K98">
        <f>IF(F98="","Open",IF(F98&lt;=E98,"Yes","No"))</f>
        <v/>
      </c>
      <c r="L98">
        <f>IF(F98="","",MAX(0,F98-E98))</f>
        <v/>
      </c>
      <c r="M98" s="13">
        <f>DATE(YEAR(D98),MONTH(D98),1)</f>
        <v/>
      </c>
    </row>
    <row r="99">
      <c r="A99" t="inlineStr">
        <is>
          <t>PO-24099</t>
        </is>
      </c>
      <c r="B99" t="inlineStr">
        <is>
          <t>MED-003</t>
        </is>
      </c>
      <c r="C99">
        <f>INDEX(Items!$C$2:$C$25,MATCH(B99,Items!$A$2:$A$25,0))</f>
        <v/>
      </c>
      <c r="D99" s="4" t="n">
        <v>46052</v>
      </c>
      <c r="E99" s="4" t="n">
        <v>46062</v>
      </c>
      <c r="F99" s="4" t="n">
        <v>46059</v>
      </c>
      <c r="G99" t="n">
        <v>24</v>
      </c>
      <c r="H99" s="12">
        <f>INDEX(Items!$D$2:$D$25,MATCH(B99,Items!$A$2:$A$25,0))</f>
        <v/>
      </c>
      <c r="I99" s="12">
        <f>G99*H99</f>
        <v/>
      </c>
      <c r="J99">
        <f>IF(F99="","",F99-D99)</f>
        <v/>
      </c>
      <c r="K99">
        <f>IF(F99="","Open",IF(F99&lt;=E99,"Yes","No"))</f>
        <v/>
      </c>
      <c r="L99">
        <f>IF(F99="","",MAX(0,F99-E99))</f>
        <v/>
      </c>
      <c r="M99" s="13">
        <f>DATE(YEAR(D99),MONTH(D99),1)</f>
        <v/>
      </c>
    </row>
    <row r="100">
      <c r="A100" t="inlineStr">
        <is>
          <t>PO-24100</t>
        </is>
      </c>
      <c r="B100" t="inlineStr">
        <is>
          <t>CAL-002</t>
        </is>
      </c>
      <c r="C100">
        <f>INDEX(Items!$C$2:$C$25,MATCH(B100,Items!$A$2:$A$25,0))</f>
        <v/>
      </c>
      <c r="D100" s="4" t="n">
        <v>46053</v>
      </c>
      <c r="E100" s="4" t="n">
        <v>46074</v>
      </c>
      <c r="F100" s="4" t="n">
        <v>46072</v>
      </c>
      <c r="G100" t="n">
        <v>5</v>
      </c>
      <c r="H100" s="12">
        <f>INDEX(Items!$D$2:$D$25,MATCH(B100,Items!$A$2:$A$25,0))</f>
        <v/>
      </c>
      <c r="I100" s="12">
        <f>G100*H100</f>
        <v/>
      </c>
      <c r="J100">
        <f>IF(F100="","",F100-D100)</f>
        <v/>
      </c>
      <c r="K100">
        <f>IF(F100="","Open",IF(F100&lt;=E100,"Yes","No"))</f>
        <v/>
      </c>
      <c r="L100">
        <f>IF(F100="","",MAX(0,F100-E100))</f>
        <v/>
      </c>
      <c r="M100" s="13">
        <f>DATE(YEAR(D100),MONTH(D100),1)</f>
        <v/>
      </c>
    </row>
    <row r="101">
      <c r="A101" t="inlineStr">
        <is>
          <t>PO-24101</t>
        </is>
      </c>
      <c r="B101" t="inlineStr">
        <is>
          <t>GLS-001</t>
        </is>
      </c>
      <c r="C101">
        <f>INDEX(Items!$C$2:$C$25,MATCH(B101,Items!$A$2:$A$25,0))</f>
        <v/>
      </c>
      <c r="D101" s="4" t="n">
        <v>46053</v>
      </c>
      <c r="E101" s="4" t="n">
        <v>46062</v>
      </c>
      <c r="F101" s="4" t="n">
        <v>46061</v>
      </c>
      <c r="G101" t="n">
        <v>4</v>
      </c>
      <c r="H101" s="12">
        <f>INDEX(Items!$D$2:$D$25,MATCH(B101,Items!$A$2:$A$25,0))</f>
        <v/>
      </c>
      <c r="I101" s="12">
        <f>G101*H101</f>
        <v/>
      </c>
      <c r="J101">
        <f>IF(F101="","",F101-D101)</f>
        <v/>
      </c>
      <c r="K101">
        <f>IF(F101="","Open",IF(F101&lt;=E101,"Yes","No"))</f>
        <v/>
      </c>
      <c r="L101">
        <f>IF(F101="","",MAX(0,F101-E101))</f>
        <v/>
      </c>
      <c r="M101" s="13">
        <f>DATE(YEAR(D101),MONTH(D101),1)</f>
        <v/>
      </c>
    </row>
    <row r="102">
      <c r="A102" t="inlineStr">
        <is>
          <t>PO-24102</t>
        </is>
      </c>
      <c r="B102" t="inlineStr">
        <is>
          <t>GAS-002</t>
        </is>
      </c>
      <c r="C102">
        <f>INDEX(Items!$C$2:$C$25,MATCH(B102,Items!$A$2:$A$25,0))</f>
        <v/>
      </c>
      <c r="D102" s="4" t="n">
        <v>46054</v>
      </c>
      <c r="E102" s="4" t="n">
        <v>46059</v>
      </c>
      <c r="F102" s="4" t="n">
        <v>46056</v>
      </c>
      <c r="G102" t="n">
        <v>4</v>
      </c>
      <c r="H102" s="12">
        <f>INDEX(Items!$D$2:$D$25,MATCH(B102,Items!$A$2:$A$25,0))</f>
        <v/>
      </c>
      <c r="I102" s="12">
        <f>G102*H102</f>
        <v/>
      </c>
      <c r="J102">
        <f>IF(F102="","",F102-D102)</f>
        <v/>
      </c>
      <c r="K102">
        <f>IF(F102="","Open",IF(F102&lt;=E102,"Yes","No"))</f>
        <v/>
      </c>
      <c r="L102">
        <f>IF(F102="","",MAX(0,F102-E102))</f>
        <v/>
      </c>
      <c r="M102" s="13">
        <f>DATE(YEAR(D102),MONTH(D102),1)</f>
        <v/>
      </c>
    </row>
    <row r="103">
      <c r="A103" t="inlineStr">
        <is>
          <t>PO-24103</t>
        </is>
      </c>
      <c r="B103" t="inlineStr">
        <is>
          <t>CON-004</t>
        </is>
      </c>
      <c r="C103">
        <f>INDEX(Items!$C$2:$C$25,MATCH(B103,Items!$A$2:$A$25,0))</f>
        <v/>
      </c>
      <c r="D103" s="4" t="n">
        <v>46055</v>
      </c>
      <c r="E103" s="4" t="n">
        <v>46062</v>
      </c>
      <c r="F103" s="4" t="n">
        <v>46062</v>
      </c>
      <c r="G103" t="n">
        <v>2</v>
      </c>
      <c r="H103" s="12">
        <f>INDEX(Items!$D$2:$D$25,MATCH(B103,Items!$A$2:$A$25,0))</f>
        <v/>
      </c>
      <c r="I103" s="12">
        <f>G103*H103</f>
        <v/>
      </c>
      <c r="J103">
        <f>IF(F103="","",F103-D103)</f>
        <v/>
      </c>
      <c r="K103">
        <f>IF(F103="","Open",IF(F103&lt;=E103,"Yes","No"))</f>
        <v/>
      </c>
      <c r="L103">
        <f>IF(F103="","",MAX(0,F103-E103))</f>
        <v/>
      </c>
      <c r="M103" s="13">
        <f>DATE(YEAR(D103),MONTH(D103),1)</f>
        <v/>
      </c>
    </row>
    <row r="104">
      <c r="A104" t="inlineStr">
        <is>
          <t>PO-24104</t>
        </is>
      </c>
      <c r="B104" t="inlineStr">
        <is>
          <t>MED-002</t>
        </is>
      </c>
      <c r="C104">
        <f>INDEX(Items!$C$2:$C$25,MATCH(B104,Items!$A$2:$A$25,0))</f>
        <v/>
      </c>
      <c r="D104" s="4" t="n">
        <v>46056</v>
      </c>
      <c r="E104" s="4" t="n">
        <v>46066</v>
      </c>
      <c r="F104" s="4" t="n">
        <v>46066</v>
      </c>
      <c r="G104" t="n">
        <v>28</v>
      </c>
      <c r="H104" s="12">
        <f>INDEX(Items!$D$2:$D$25,MATCH(B104,Items!$A$2:$A$25,0))</f>
        <v/>
      </c>
      <c r="I104" s="12">
        <f>G104*H104</f>
        <v/>
      </c>
      <c r="J104">
        <f>IF(F104="","",F104-D104)</f>
        <v/>
      </c>
      <c r="K104">
        <f>IF(F104="","Open",IF(F104&lt;=E104,"Yes","No"))</f>
        <v/>
      </c>
      <c r="L104">
        <f>IF(F104="","",MAX(0,F104-E104))</f>
        <v/>
      </c>
      <c r="M104" s="13">
        <f>DATE(YEAR(D104),MONTH(D104),1)</f>
        <v/>
      </c>
    </row>
    <row r="105">
      <c r="A105" t="inlineStr">
        <is>
          <t>PO-24105</t>
        </is>
      </c>
      <c r="B105" t="inlineStr">
        <is>
          <t>MED-003</t>
        </is>
      </c>
      <c r="C105">
        <f>INDEX(Items!$C$2:$C$25,MATCH(B105,Items!$A$2:$A$25,0))</f>
        <v/>
      </c>
      <c r="D105" s="4" t="n">
        <v>46056</v>
      </c>
      <c r="E105" s="4" t="n">
        <v>46066</v>
      </c>
      <c r="F105" s="4" t="n">
        <v>46065</v>
      </c>
      <c r="G105" t="n">
        <v>24</v>
      </c>
      <c r="H105" s="12">
        <f>INDEX(Items!$D$2:$D$25,MATCH(B105,Items!$A$2:$A$25,0))</f>
        <v/>
      </c>
      <c r="I105" s="12">
        <f>G105*H105</f>
        <v/>
      </c>
      <c r="J105">
        <f>IF(F105="","",F105-D105)</f>
        <v/>
      </c>
      <c r="K105">
        <f>IF(F105="","Open",IF(F105&lt;=E105,"Yes","No"))</f>
        <v/>
      </c>
      <c r="L105">
        <f>IF(F105="","",MAX(0,F105-E105))</f>
        <v/>
      </c>
      <c r="M105" s="13">
        <f>DATE(YEAR(D105),MONTH(D105),1)</f>
        <v/>
      </c>
    </row>
    <row r="106">
      <c r="A106" t="inlineStr">
        <is>
          <t>PO-24106</t>
        </is>
      </c>
      <c r="B106" t="inlineStr">
        <is>
          <t>CAL-001</t>
        </is>
      </c>
      <c r="C106">
        <f>INDEX(Items!$C$2:$C$25,MATCH(B106,Items!$A$2:$A$25,0))</f>
        <v/>
      </c>
      <c r="D106" s="4" t="n">
        <v>46057</v>
      </c>
      <c r="E106" s="4" t="n">
        <v>46078</v>
      </c>
      <c r="F106" s="4" t="n">
        <v>46078</v>
      </c>
      <c r="G106" t="n">
        <v>25</v>
      </c>
      <c r="H106" s="12">
        <f>INDEX(Items!$D$2:$D$25,MATCH(B106,Items!$A$2:$A$25,0))</f>
        <v/>
      </c>
      <c r="I106" s="12">
        <f>G106*H106</f>
        <v/>
      </c>
      <c r="J106">
        <f>IF(F106="","",F106-D106)</f>
        <v/>
      </c>
      <c r="K106">
        <f>IF(F106="","Open",IF(F106&lt;=E106,"Yes","No"))</f>
        <v/>
      </c>
      <c r="L106">
        <f>IF(F106="","",MAX(0,F106-E106))</f>
        <v/>
      </c>
      <c r="M106" s="13">
        <f>DATE(YEAR(D106),MONTH(D106),1)</f>
        <v/>
      </c>
    </row>
    <row r="107">
      <c r="A107" t="inlineStr">
        <is>
          <t>PO-24107</t>
        </is>
      </c>
      <c r="B107" t="inlineStr">
        <is>
          <t>GAS-002</t>
        </is>
      </c>
      <c r="C107">
        <f>INDEX(Items!$C$2:$C$25,MATCH(B107,Items!$A$2:$A$25,0))</f>
        <v/>
      </c>
      <c r="D107" s="4" t="n">
        <v>46058</v>
      </c>
      <c r="E107" s="4" t="n">
        <v>46063</v>
      </c>
      <c r="F107" s="4" t="n">
        <v>46063</v>
      </c>
      <c r="G107" t="n">
        <v>4</v>
      </c>
      <c r="H107" s="12">
        <f>INDEX(Items!$D$2:$D$25,MATCH(B107,Items!$A$2:$A$25,0))</f>
        <v/>
      </c>
      <c r="I107" s="12">
        <f>G107*H107</f>
        <v/>
      </c>
      <c r="J107">
        <f>IF(F107="","",F107-D107)</f>
        <v/>
      </c>
      <c r="K107">
        <f>IF(F107="","Open",IF(F107&lt;=E107,"Yes","No"))</f>
        <v/>
      </c>
      <c r="L107">
        <f>IF(F107="","",MAX(0,F107-E107))</f>
        <v/>
      </c>
      <c r="M107" s="13">
        <f>DATE(YEAR(D107),MONTH(D107),1)</f>
        <v/>
      </c>
    </row>
    <row r="108">
      <c r="A108" t="inlineStr">
        <is>
          <t>PO-24108</t>
        </is>
      </c>
      <c r="B108" t="inlineStr">
        <is>
          <t>GLS-002</t>
        </is>
      </c>
      <c r="C108">
        <f>INDEX(Items!$C$2:$C$25,MATCH(B108,Items!$A$2:$A$25,0))</f>
        <v/>
      </c>
      <c r="D108" s="4" t="n">
        <v>46058</v>
      </c>
      <c r="E108" s="4" t="n">
        <v>46067</v>
      </c>
      <c r="F108" s="4" t="n">
        <v>46067</v>
      </c>
      <c r="G108" t="n">
        <v>4</v>
      </c>
      <c r="H108" s="12">
        <f>INDEX(Items!$D$2:$D$25,MATCH(B108,Items!$A$2:$A$25,0))</f>
        <v/>
      </c>
      <c r="I108" s="12">
        <f>G108*H108</f>
        <v/>
      </c>
      <c r="J108">
        <f>IF(F108="","",F108-D108)</f>
        <v/>
      </c>
      <c r="K108">
        <f>IF(F108="","Open",IF(F108&lt;=E108,"Yes","No"))</f>
        <v/>
      </c>
      <c r="L108">
        <f>IF(F108="","",MAX(0,F108-E108))</f>
        <v/>
      </c>
      <c r="M108" s="13">
        <f>DATE(YEAR(D108),MONTH(D108),1)</f>
        <v/>
      </c>
    </row>
    <row r="109">
      <c r="A109" t="inlineStr">
        <is>
          <t>PO-24109</t>
        </is>
      </c>
      <c r="B109" t="inlineStr">
        <is>
          <t>GAS-002</t>
        </is>
      </c>
      <c r="C109">
        <f>INDEX(Items!$C$2:$C$25,MATCH(B109,Items!$A$2:$A$25,0))</f>
        <v/>
      </c>
      <c r="D109" s="4" t="n">
        <v>46059</v>
      </c>
      <c r="E109" s="4" t="n">
        <v>46064</v>
      </c>
      <c r="F109" s="4" t="n">
        <v>46064</v>
      </c>
      <c r="G109" t="n">
        <v>6</v>
      </c>
      <c r="H109" s="12">
        <f>INDEX(Items!$D$2:$D$25,MATCH(B109,Items!$A$2:$A$25,0))</f>
        <v/>
      </c>
      <c r="I109" s="12">
        <f>G109*H109</f>
        <v/>
      </c>
      <c r="J109">
        <f>IF(F109="","",F109-D109)</f>
        <v/>
      </c>
      <c r="K109">
        <f>IF(F109="","Open",IF(F109&lt;=E109,"Yes","No"))</f>
        <v/>
      </c>
      <c r="L109">
        <f>IF(F109="","",MAX(0,F109-E109))</f>
        <v/>
      </c>
      <c r="M109" s="13">
        <f>DATE(YEAR(D109),MONTH(D109),1)</f>
        <v/>
      </c>
    </row>
    <row r="110">
      <c r="A110" t="inlineStr">
        <is>
          <t>PO-24110</t>
        </is>
      </c>
      <c r="B110" t="inlineStr">
        <is>
          <t>GLS-001</t>
        </is>
      </c>
      <c r="C110">
        <f>INDEX(Items!$C$2:$C$25,MATCH(B110,Items!$A$2:$A$25,0))</f>
        <v/>
      </c>
      <c r="D110" s="4" t="n">
        <v>46062</v>
      </c>
      <c r="E110" s="4" t="n">
        <v>46071</v>
      </c>
      <c r="F110" s="4" t="n">
        <v>46070</v>
      </c>
      <c r="G110" t="n">
        <v>5</v>
      </c>
      <c r="H110" s="12">
        <f>INDEX(Items!$D$2:$D$25,MATCH(B110,Items!$A$2:$A$25,0))</f>
        <v/>
      </c>
      <c r="I110" s="12">
        <f>G110*H110</f>
        <v/>
      </c>
      <c r="J110">
        <f>IF(F110="","",F110-D110)</f>
        <v/>
      </c>
      <c r="K110">
        <f>IF(F110="","Open",IF(F110&lt;=E110,"Yes","No"))</f>
        <v/>
      </c>
      <c r="L110">
        <f>IF(F110="","",MAX(0,F110-E110))</f>
        <v/>
      </c>
      <c r="M110" s="13">
        <f>DATE(YEAR(D110),MONTH(D110),1)</f>
        <v/>
      </c>
    </row>
    <row r="111">
      <c r="A111" t="inlineStr">
        <is>
          <t>PO-24111</t>
        </is>
      </c>
      <c r="B111" t="inlineStr">
        <is>
          <t>MED-004</t>
        </is>
      </c>
      <c r="C111">
        <f>INDEX(Items!$C$2:$C$25,MATCH(B111,Items!$A$2:$A$25,0))</f>
        <v/>
      </c>
      <c r="D111" s="4" t="n">
        <v>46064</v>
      </c>
      <c r="E111" s="4" t="n">
        <v>46074</v>
      </c>
      <c r="F111" s="4" t="n">
        <v>46072</v>
      </c>
      <c r="G111" t="n">
        <v>10</v>
      </c>
      <c r="H111" s="12">
        <f>INDEX(Items!$D$2:$D$25,MATCH(B111,Items!$A$2:$A$25,0))</f>
        <v/>
      </c>
      <c r="I111" s="12">
        <f>G111*H111</f>
        <v/>
      </c>
      <c r="J111">
        <f>IF(F111="","",F111-D111)</f>
        <v/>
      </c>
      <c r="K111">
        <f>IF(F111="","Open",IF(F111&lt;=E111,"Yes","No"))</f>
        <v/>
      </c>
      <c r="L111">
        <f>IF(F111="","",MAX(0,F111-E111))</f>
        <v/>
      </c>
      <c r="M111" s="13">
        <f>DATE(YEAR(D111),MONTH(D111),1)</f>
        <v/>
      </c>
    </row>
    <row r="112">
      <c r="A112" t="inlineStr">
        <is>
          <t>PO-24112</t>
        </is>
      </c>
      <c r="B112" t="inlineStr">
        <is>
          <t>MED-001</t>
        </is>
      </c>
      <c r="C112">
        <f>INDEX(Items!$C$2:$C$25,MATCH(B112,Items!$A$2:$A$25,0))</f>
        <v/>
      </c>
      <c r="D112" s="4" t="n">
        <v>46065</v>
      </c>
      <c r="E112" s="4" t="n">
        <v>46075</v>
      </c>
      <c r="F112" s="4" t="n">
        <v>46074</v>
      </c>
      <c r="G112" t="n">
        <v>75</v>
      </c>
      <c r="H112" s="12">
        <f>INDEX(Items!$D$2:$D$25,MATCH(B112,Items!$A$2:$A$25,0))</f>
        <v/>
      </c>
      <c r="I112" s="12">
        <f>G112*H112</f>
        <v/>
      </c>
      <c r="J112">
        <f>IF(F112="","",F112-D112)</f>
        <v/>
      </c>
      <c r="K112">
        <f>IF(F112="","Open",IF(F112&lt;=E112,"Yes","No"))</f>
        <v/>
      </c>
      <c r="L112">
        <f>IF(F112="","",MAX(0,F112-E112))</f>
        <v/>
      </c>
      <c r="M112" s="13">
        <f>DATE(YEAR(D112),MONTH(D112),1)</f>
        <v/>
      </c>
    </row>
    <row r="113">
      <c r="A113" t="inlineStr">
        <is>
          <t>PO-24113</t>
        </is>
      </c>
      <c r="B113" t="inlineStr">
        <is>
          <t>RGT-002</t>
        </is>
      </c>
      <c r="C113">
        <f>INDEX(Items!$C$2:$C$25,MATCH(B113,Items!$A$2:$A$25,0))</f>
        <v/>
      </c>
      <c r="D113" s="4" t="n">
        <v>46066</v>
      </c>
      <c r="E113" s="4" t="n">
        <v>46080</v>
      </c>
      <c r="F113" s="4" t="n">
        <v>46079</v>
      </c>
      <c r="G113" t="n">
        <v>2</v>
      </c>
      <c r="H113" s="12">
        <f>INDEX(Items!$D$2:$D$25,MATCH(B113,Items!$A$2:$A$25,0))</f>
        <v/>
      </c>
      <c r="I113" s="12">
        <f>G113*H113</f>
        <v/>
      </c>
      <c r="J113">
        <f>IF(F113="","",F113-D113)</f>
        <v/>
      </c>
      <c r="K113">
        <f>IF(F113="","Open",IF(F113&lt;=E113,"Yes","No"))</f>
        <v/>
      </c>
      <c r="L113">
        <f>IF(F113="","",MAX(0,F113-E113))</f>
        <v/>
      </c>
      <c r="M113" s="13">
        <f>DATE(YEAR(D113),MONTH(D113),1)</f>
        <v/>
      </c>
    </row>
    <row r="114">
      <c r="A114" t="inlineStr">
        <is>
          <t>PO-24114</t>
        </is>
      </c>
      <c r="B114" t="inlineStr">
        <is>
          <t>STR-003</t>
        </is>
      </c>
      <c r="C114">
        <f>INDEX(Items!$C$2:$C$25,MATCH(B114,Items!$A$2:$A$25,0))</f>
        <v/>
      </c>
      <c r="D114" s="4" t="n">
        <v>46066</v>
      </c>
      <c r="E114" s="4" t="n">
        <v>46078</v>
      </c>
      <c r="F114" s="4" t="n">
        <v>46075</v>
      </c>
      <c r="G114" t="n">
        <v>12</v>
      </c>
      <c r="H114" s="12">
        <f>INDEX(Items!$D$2:$D$25,MATCH(B114,Items!$A$2:$A$25,0))</f>
        <v/>
      </c>
      <c r="I114" s="12">
        <f>G114*H114</f>
        <v/>
      </c>
      <c r="J114">
        <f>IF(F114="","",F114-D114)</f>
        <v/>
      </c>
      <c r="K114">
        <f>IF(F114="","Open",IF(F114&lt;=E114,"Yes","No"))</f>
        <v/>
      </c>
      <c r="L114">
        <f>IF(F114="","",MAX(0,F114-E114))</f>
        <v/>
      </c>
      <c r="M114" s="13">
        <f>DATE(YEAR(D114),MONTH(D114),1)</f>
        <v/>
      </c>
    </row>
    <row r="115">
      <c r="A115" t="inlineStr">
        <is>
          <t>PO-24115</t>
        </is>
      </c>
      <c r="B115" t="inlineStr">
        <is>
          <t>CON-004</t>
        </is>
      </c>
      <c r="C115">
        <f>INDEX(Items!$C$2:$C$25,MATCH(B115,Items!$A$2:$A$25,0))</f>
        <v/>
      </c>
      <c r="D115" s="4" t="n">
        <v>46068</v>
      </c>
      <c r="E115" s="4" t="n">
        <v>46075</v>
      </c>
      <c r="F115" s="4" t="n">
        <v>46073</v>
      </c>
      <c r="G115" t="n">
        <v>4</v>
      </c>
      <c r="H115" s="12">
        <f>INDEX(Items!$D$2:$D$25,MATCH(B115,Items!$A$2:$A$25,0))</f>
        <v/>
      </c>
      <c r="I115" s="12">
        <f>G115*H115</f>
        <v/>
      </c>
      <c r="J115">
        <f>IF(F115="","",F115-D115)</f>
        <v/>
      </c>
      <c r="K115">
        <f>IF(F115="","Open",IF(F115&lt;=E115,"Yes","No"))</f>
        <v/>
      </c>
      <c r="L115">
        <f>IF(F115="","",MAX(0,F115-E115))</f>
        <v/>
      </c>
      <c r="M115" s="13">
        <f>DATE(YEAR(D115),MONTH(D115),1)</f>
        <v/>
      </c>
    </row>
    <row r="116">
      <c r="A116" t="inlineStr">
        <is>
          <t>PO-24116</t>
        </is>
      </c>
      <c r="B116" t="inlineStr">
        <is>
          <t>GAS-001</t>
        </is>
      </c>
      <c r="C116">
        <f>INDEX(Items!$C$2:$C$25,MATCH(B116,Items!$A$2:$A$25,0))</f>
        <v/>
      </c>
      <c r="D116" s="4" t="n">
        <v>46070</v>
      </c>
      <c r="E116" s="4" t="n">
        <v>46075</v>
      </c>
      <c r="F116" s="4" t="n">
        <v>46073</v>
      </c>
      <c r="G116" t="n">
        <v>4</v>
      </c>
      <c r="H116" s="12">
        <f>INDEX(Items!$D$2:$D$25,MATCH(B116,Items!$A$2:$A$25,0))</f>
        <v/>
      </c>
      <c r="I116" s="12">
        <f>G116*H116</f>
        <v/>
      </c>
      <c r="J116">
        <f>IF(F116="","",F116-D116)</f>
        <v/>
      </c>
      <c r="K116">
        <f>IF(F116="","Open",IF(F116&lt;=E116,"Yes","No"))</f>
        <v/>
      </c>
      <c r="L116">
        <f>IF(F116="","",MAX(0,F116-E116))</f>
        <v/>
      </c>
      <c r="M116" s="13">
        <f>DATE(YEAR(D116),MONTH(D116),1)</f>
        <v/>
      </c>
    </row>
    <row r="117">
      <c r="A117" t="inlineStr">
        <is>
          <t>PO-24117</t>
        </is>
      </c>
      <c r="B117" t="inlineStr">
        <is>
          <t>RGT-003</t>
        </is>
      </c>
      <c r="C117">
        <f>INDEX(Items!$C$2:$C$25,MATCH(B117,Items!$A$2:$A$25,0))</f>
        <v/>
      </c>
      <c r="D117" s="4" t="n">
        <v>46070</v>
      </c>
      <c r="E117" s="4" t="n">
        <v>46084</v>
      </c>
      <c r="F117" s="4" t="n">
        <v>46084</v>
      </c>
      <c r="G117" t="n">
        <v>8</v>
      </c>
      <c r="H117" s="12">
        <f>INDEX(Items!$D$2:$D$25,MATCH(B117,Items!$A$2:$A$25,0))</f>
        <v/>
      </c>
      <c r="I117" s="12">
        <f>G117*H117</f>
        <v/>
      </c>
      <c r="J117">
        <f>IF(F117="","",F117-D117)</f>
        <v/>
      </c>
      <c r="K117">
        <f>IF(F117="","Open",IF(F117&lt;=E117,"Yes","No"))</f>
        <v/>
      </c>
      <c r="L117">
        <f>IF(F117="","",MAX(0,F117-E117))</f>
        <v/>
      </c>
      <c r="M117" s="13">
        <f>DATE(YEAR(D117),MONTH(D117),1)</f>
        <v/>
      </c>
    </row>
    <row r="118">
      <c r="A118" t="inlineStr">
        <is>
          <t>PO-24118</t>
        </is>
      </c>
      <c r="B118" t="inlineStr">
        <is>
          <t>CAL-001</t>
        </is>
      </c>
      <c r="C118">
        <f>INDEX(Items!$C$2:$C$25,MATCH(B118,Items!$A$2:$A$25,0))</f>
        <v/>
      </c>
      <c r="D118" s="4" t="n">
        <v>46073</v>
      </c>
      <c r="E118" s="4" t="n">
        <v>46094</v>
      </c>
      <c r="F118" s="4" t="n">
        <v>46094</v>
      </c>
      <c r="G118" t="n">
        <v>10</v>
      </c>
      <c r="H118" s="12">
        <f>INDEX(Items!$D$2:$D$25,MATCH(B118,Items!$A$2:$A$25,0))</f>
        <v/>
      </c>
      <c r="I118" s="12">
        <f>G118*H118</f>
        <v/>
      </c>
      <c r="J118">
        <f>IF(F118="","",F118-D118)</f>
        <v/>
      </c>
      <c r="K118">
        <f>IF(F118="","Open",IF(F118&lt;=E118,"Yes","No"))</f>
        <v/>
      </c>
      <c r="L118">
        <f>IF(F118="","",MAX(0,F118-E118))</f>
        <v/>
      </c>
      <c r="M118" s="13">
        <f>DATE(YEAR(D118),MONTH(D118),1)</f>
        <v/>
      </c>
    </row>
    <row r="119">
      <c r="A119" t="inlineStr">
        <is>
          <t>PO-24119</t>
        </is>
      </c>
      <c r="B119" t="inlineStr">
        <is>
          <t>CON-002</t>
        </is>
      </c>
      <c r="C119">
        <f>INDEX(Items!$C$2:$C$25,MATCH(B119,Items!$A$2:$A$25,0))</f>
        <v/>
      </c>
      <c r="D119" s="4" t="n">
        <v>46073</v>
      </c>
      <c r="E119" s="4" t="n">
        <v>46080</v>
      </c>
      <c r="F119" s="4" t="n">
        <v>46078</v>
      </c>
      <c r="G119" t="n">
        <v>18</v>
      </c>
      <c r="H119" s="12">
        <f>INDEX(Items!$D$2:$D$25,MATCH(B119,Items!$A$2:$A$25,0))</f>
        <v/>
      </c>
      <c r="I119" s="12">
        <f>G119*H119</f>
        <v/>
      </c>
      <c r="J119">
        <f>IF(F119="","",F119-D119)</f>
        <v/>
      </c>
      <c r="K119">
        <f>IF(F119="","Open",IF(F119&lt;=E119,"Yes","No"))</f>
        <v/>
      </c>
      <c r="L119">
        <f>IF(F119="","",MAX(0,F119-E119))</f>
        <v/>
      </c>
      <c r="M119" s="13">
        <f>DATE(YEAR(D119),MONTH(D119),1)</f>
        <v/>
      </c>
    </row>
    <row r="120">
      <c r="A120" t="inlineStr">
        <is>
          <t>PO-24120</t>
        </is>
      </c>
      <c r="B120" t="inlineStr">
        <is>
          <t>RGT-001</t>
        </is>
      </c>
      <c r="C120">
        <f>INDEX(Items!$C$2:$C$25,MATCH(B120,Items!$A$2:$A$25,0))</f>
        <v/>
      </c>
      <c r="D120" s="4" t="n">
        <v>46073</v>
      </c>
      <c r="E120" s="4" t="n">
        <v>46087</v>
      </c>
      <c r="F120" s="4" t="n">
        <v>46087</v>
      </c>
      <c r="G120" t="n">
        <v>4</v>
      </c>
      <c r="H120" s="12">
        <f>INDEX(Items!$D$2:$D$25,MATCH(B120,Items!$A$2:$A$25,0))</f>
        <v/>
      </c>
      <c r="I120" s="12">
        <f>G120*H120</f>
        <v/>
      </c>
      <c r="J120">
        <f>IF(F120="","",F120-D120)</f>
        <v/>
      </c>
      <c r="K120">
        <f>IF(F120="","Open",IF(F120&lt;=E120,"Yes","No"))</f>
        <v/>
      </c>
      <c r="L120">
        <f>IF(F120="","",MAX(0,F120-E120))</f>
        <v/>
      </c>
      <c r="M120" s="13">
        <f>DATE(YEAR(D120),MONTH(D120),1)</f>
        <v/>
      </c>
    </row>
    <row r="121">
      <c r="A121" t="inlineStr">
        <is>
          <t>PO-24121</t>
        </is>
      </c>
      <c r="B121" t="inlineStr">
        <is>
          <t>CON-003</t>
        </is>
      </c>
      <c r="C121">
        <f>INDEX(Items!$C$2:$C$25,MATCH(B121,Items!$A$2:$A$25,0))</f>
        <v/>
      </c>
      <c r="D121" s="4" t="n">
        <v>46075</v>
      </c>
      <c r="E121" s="4" t="n">
        <v>46082</v>
      </c>
      <c r="F121" s="4" t="n">
        <v>46080</v>
      </c>
      <c r="G121" t="n">
        <v>18</v>
      </c>
      <c r="H121" s="12">
        <f>INDEX(Items!$D$2:$D$25,MATCH(B121,Items!$A$2:$A$25,0))</f>
        <v/>
      </c>
      <c r="I121" s="12">
        <f>G121*H121</f>
        <v/>
      </c>
      <c r="J121">
        <f>IF(F121="","",F121-D121)</f>
        <v/>
      </c>
      <c r="K121">
        <f>IF(F121="","Open",IF(F121&lt;=E121,"Yes","No"))</f>
        <v/>
      </c>
      <c r="L121">
        <f>IF(F121="","",MAX(0,F121-E121))</f>
        <v/>
      </c>
      <c r="M121" s="13">
        <f>DATE(YEAR(D121),MONTH(D121),1)</f>
        <v/>
      </c>
    </row>
    <row r="122">
      <c r="A122" t="inlineStr">
        <is>
          <t>PO-24122</t>
        </is>
      </c>
      <c r="B122" t="inlineStr">
        <is>
          <t>MED-002</t>
        </is>
      </c>
      <c r="C122">
        <f>INDEX(Items!$C$2:$C$25,MATCH(B122,Items!$A$2:$A$25,0))</f>
        <v/>
      </c>
      <c r="D122" s="4" t="n">
        <v>46078</v>
      </c>
      <c r="E122" s="4" t="n">
        <v>46088</v>
      </c>
      <c r="F122" s="4" t="n">
        <v>46086</v>
      </c>
      <c r="G122" t="n">
        <v>7</v>
      </c>
      <c r="H122" s="12">
        <f>INDEX(Items!$D$2:$D$25,MATCH(B122,Items!$A$2:$A$25,0))</f>
        <v/>
      </c>
      <c r="I122" s="12">
        <f>G122*H122</f>
        <v/>
      </c>
      <c r="J122">
        <f>IF(F122="","",F122-D122)</f>
        <v/>
      </c>
      <c r="K122">
        <f>IF(F122="","Open",IF(F122&lt;=E122,"Yes","No"))</f>
        <v/>
      </c>
      <c r="L122">
        <f>IF(F122="","",MAX(0,F122-E122))</f>
        <v/>
      </c>
      <c r="M122" s="13">
        <f>DATE(YEAR(D122),MONTH(D122),1)</f>
        <v/>
      </c>
    </row>
    <row r="123">
      <c r="A123" t="inlineStr">
        <is>
          <t>PO-24123</t>
        </is>
      </c>
      <c r="B123" t="inlineStr">
        <is>
          <t>RGT-003</t>
        </is>
      </c>
      <c r="C123">
        <f>INDEX(Items!$C$2:$C$25,MATCH(B123,Items!$A$2:$A$25,0))</f>
        <v/>
      </c>
      <c r="D123" s="4" t="n">
        <v>46078</v>
      </c>
      <c r="E123" s="4" t="n">
        <v>46092</v>
      </c>
      <c r="F123" s="4" t="n">
        <v>46089</v>
      </c>
      <c r="G123" t="n">
        <v>2</v>
      </c>
      <c r="H123" s="12">
        <f>INDEX(Items!$D$2:$D$25,MATCH(B123,Items!$A$2:$A$25,0))</f>
        <v/>
      </c>
      <c r="I123" s="12">
        <f>G123*H123</f>
        <v/>
      </c>
      <c r="J123">
        <f>IF(F123="","",F123-D123)</f>
        <v/>
      </c>
      <c r="K123">
        <f>IF(F123="","Open",IF(F123&lt;=E123,"Yes","No"))</f>
        <v/>
      </c>
      <c r="L123">
        <f>IF(F123="","",MAX(0,F123-E123))</f>
        <v/>
      </c>
      <c r="M123" s="13">
        <f>DATE(YEAR(D123),MONTH(D123),1)</f>
        <v/>
      </c>
    </row>
    <row r="124">
      <c r="A124" t="inlineStr">
        <is>
          <t>PO-24124</t>
        </is>
      </c>
      <c r="B124" t="inlineStr">
        <is>
          <t>RGT-004</t>
        </is>
      </c>
      <c r="C124">
        <f>INDEX(Items!$C$2:$C$25,MATCH(B124,Items!$A$2:$A$25,0))</f>
        <v/>
      </c>
      <c r="D124" s="4" t="n">
        <v>46079</v>
      </c>
      <c r="E124" s="4" t="n">
        <v>46093</v>
      </c>
      <c r="F124" s="4" t="n">
        <v>46093</v>
      </c>
      <c r="G124" t="n">
        <v>8</v>
      </c>
      <c r="H124" s="12">
        <f>INDEX(Items!$D$2:$D$25,MATCH(B124,Items!$A$2:$A$25,0))</f>
        <v/>
      </c>
      <c r="I124" s="12">
        <f>G124*H124</f>
        <v/>
      </c>
      <c r="J124">
        <f>IF(F124="","",F124-D124)</f>
        <v/>
      </c>
      <c r="K124">
        <f>IF(F124="","Open",IF(F124&lt;=E124,"Yes","No"))</f>
        <v/>
      </c>
      <c r="L124">
        <f>IF(F124="","",MAX(0,F124-E124))</f>
        <v/>
      </c>
      <c r="M124" s="13">
        <f>DATE(YEAR(D124),MONTH(D124),1)</f>
        <v/>
      </c>
    </row>
    <row r="125">
      <c r="A125" t="inlineStr">
        <is>
          <t>PO-24125</t>
        </is>
      </c>
      <c r="B125" t="inlineStr">
        <is>
          <t>GAS-002</t>
        </is>
      </c>
      <c r="C125">
        <f>INDEX(Items!$C$2:$C$25,MATCH(B125,Items!$A$2:$A$25,0))</f>
        <v/>
      </c>
      <c r="D125" s="4" t="n">
        <v>46080</v>
      </c>
      <c r="E125" s="4" t="n">
        <v>46085</v>
      </c>
      <c r="F125" s="4" t="n">
        <v>46084</v>
      </c>
      <c r="G125" t="n">
        <v>6</v>
      </c>
      <c r="H125" s="12">
        <f>INDEX(Items!$D$2:$D$25,MATCH(B125,Items!$A$2:$A$25,0))</f>
        <v/>
      </c>
      <c r="I125" s="12">
        <f>G125*H125</f>
        <v/>
      </c>
      <c r="J125">
        <f>IF(F125="","",F125-D125)</f>
        <v/>
      </c>
      <c r="K125">
        <f>IF(F125="","Open",IF(F125&lt;=E125,"Yes","No"))</f>
        <v/>
      </c>
      <c r="L125">
        <f>IF(F125="","",MAX(0,F125-E125))</f>
        <v/>
      </c>
      <c r="M125" s="13">
        <f>DATE(YEAR(D125),MONTH(D125),1)</f>
        <v/>
      </c>
    </row>
    <row r="126">
      <c r="A126" t="inlineStr">
        <is>
          <t>PO-24126</t>
        </is>
      </c>
      <c r="B126" t="inlineStr">
        <is>
          <t>GLS-001</t>
        </is>
      </c>
      <c r="C126">
        <f>INDEX(Items!$C$2:$C$25,MATCH(B126,Items!$A$2:$A$25,0))</f>
        <v/>
      </c>
      <c r="D126" s="4" t="n">
        <v>46080</v>
      </c>
      <c r="E126" s="4" t="n">
        <v>46089</v>
      </c>
      <c r="F126" s="4" t="n">
        <v>46087</v>
      </c>
      <c r="G126" t="n">
        <v>4</v>
      </c>
      <c r="H126" s="12">
        <f>INDEX(Items!$D$2:$D$25,MATCH(B126,Items!$A$2:$A$25,0))</f>
        <v/>
      </c>
      <c r="I126" s="12">
        <f>G126*H126</f>
        <v/>
      </c>
      <c r="J126">
        <f>IF(F126="","",F126-D126)</f>
        <v/>
      </c>
      <c r="K126">
        <f>IF(F126="","Open",IF(F126&lt;=E126,"Yes","No"))</f>
        <v/>
      </c>
      <c r="L126">
        <f>IF(F126="","",MAX(0,F126-E126))</f>
        <v/>
      </c>
      <c r="M126" s="13">
        <f>DATE(YEAR(D126),MONTH(D126),1)</f>
        <v/>
      </c>
    </row>
    <row r="127">
      <c r="A127" t="inlineStr">
        <is>
          <t>PO-24127</t>
        </is>
      </c>
      <c r="B127" t="inlineStr">
        <is>
          <t>GAS-002</t>
        </is>
      </c>
      <c r="C127">
        <f>INDEX(Items!$C$2:$C$25,MATCH(B127,Items!$A$2:$A$25,0))</f>
        <v/>
      </c>
      <c r="D127" s="4" t="n">
        <v>46081</v>
      </c>
      <c r="E127" s="4" t="n">
        <v>46086</v>
      </c>
      <c r="F127" s="4" t="n">
        <v>46084</v>
      </c>
      <c r="G127" t="n">
        <v>5</v>
      </c>
      <c r="H127" s="12">
        <f>INDEX(Items!$D$2:$D$25,MATCH(B127,Items!$A$2:$A$25,0))</f>
        <v/>
      </c>
      <c r="I127" s="12">
        <f>G127*H127</f>
        <v/>
      </c>
      <c r="J127">
        <f>IF(F127="","",F127-D127)</f>
        <v/>
      </c>
      <c r="K127">
        <f>IF(F127="","Open",IF(F127&lt;=E127,"Yes","No"))</f>
        <v/>
      </c>
      <c r="L127">
        <f>IF(F127="","",MAX(0,F127-E127))</f>
        <v/>
      </c>
      <c r="M127" s="13">
        <f>DATE(YEAR(D127),MONTH(D127),1)</f>
        <v/>
      </c>
    </row>
    <row r="128">
      <c r="A128" t="inlineStr">
        <is>
          <t>PO-24128</t>
        </is>
      </c>
      <c r="B128" t="inlineStr">
        <is>
          <t>RGT-002</t>
        </is>
      </c>
      <c r="C128">
        <f>INDEX(Items!$C$2:$C$25,MATCH(B128,Items!$A$2:$A$25,0))</f>
        <v/>
      </c>
      <c r="D128" s="4" t="n">
        <v>46082</v>
      </c>
      <c r="E128" s="4" t="n">
        <v>46096</v>
      </c>
      <c r="F128" s="4" t="n">
        <v>46095</v>
      </c>
      <c r="G128" t="n">
        <v>3</v>
      </c>
      <c r="H128" s="12">
        <f>INDEX(Items!$D$2:$D$25,MATCH(B128,Items!$A$2:$A$25,0))</f>
        <v/>
      </c>
      <c r="I128" s="12">
        <f>G128*H128</f>
        <v/>
      </c>
      <c r="J128">
        <f>IF(F128="","",F128-D128)</f>
        <v/>
      </c>
      <c r="K128">
        <f>IF(F128="","Open",IF(F128&lt;=E128,"Yes","No"))</f>
        <v/>
      </c>
      <c r="L128">
        <f>IF(F128="","",MAX(0,F128-E128))</f>
        <v/>
      </c>
      <c r="M128" s="13">
        <f>DATE(YEAR(D128),MONTH(D128),1)</f>
        <v/>
      </c>
    </row>
    <row r="129">
      <c r="A129" t="inlineStr">
        <is>
          <t>PO-24129</t>
        </is>
      </c>
      <c r="B129" t="inlineStr">
        <is>
          <t>RGT-002</t>
        </is>
      </c>
      <c r="C129">
        <f>INDEX(Items!$C$2:$C$25,MATCH(B129,Items!$A$2:$A$25,0))</f>
        <v/>
      </c>
      <c r="D129" s="4" t="n">
        <v>46082</v>
      </c>
      <c r="E129" s="4" t="n">
        <v>46096</v>
      </c>
      <c r="F129" s="4" t="n">
        <v>46096</v>
      </c>
      <c r="G129" t="n">
        <v>5</v>
      </c>
      <c r="H129" s="12">
        <f>INDEX(Items!$D$2:$D$25,MATCH(B129,Items!$A$2:$A$25,0))</f>
        <v/>
      </c>
      <c r="I129" s="12">
        <f>G129*H129</f>
        <v/>
      </c>
      <c r="J129">
        <f>IF(F129="","",F129-D129)</f>
        <v/>
      </c>
      <c r="K129">
        <f>IF(F129="","Open",IF(F129&lt;=E129,"Yes","No"))</f>
        <v/>
      </c>
      <c r="L129">
        <f>IF(F129="","",MAX(0,F129-E129))</f>
        <v/>
      </c>
      <c r="M129" s="13">
        <f>DATE(YEAR(D129),MONTH(D129),1)</f>
        <v/>
      </c>
    </row>
    <row r="130">
      <c r="A130" t="inlineStr">
        <is>
          <t>PO-24130</t>
        </is>
      </c>
      <c r="B130" t="inlineStr">
        <is>
          <t>CON-001</t>
        </is>
      </c>
      <c r="C130">
        <f>INDEX(Items!$C$2:$C$25,MATCH(B130,Items!$A$2:$A$25,0))</f>
        <v/>
      </c>
      <c r="D130" s="4" t="n">
        <v>46083</v>
      </c>
      <c r="E130" s="4" t="n">
        <v>46090</v>
      </c>
      <c r="F130" s="4" t="n">
        <v>46087</v>
      </c>
      <c r="G130" t="n">
        <v>6</v>
      </c>
      <c r="H130" s="12">
        <f>INDEX(Items!$D$2:$D$25,MATCH(B130,Items!$A$2:$A$25,0))</f>
        <v/>
      </c>
      <c r="I130" s="12">
        <f>G130*H130</f>
        <v/>
      </c>
      <c r="J130">
        <f>IF(F130="","",F130-D130)</f>
        <v/>
      </c>
      <c r="K130">
        <f>IF(F130="","Open",IF(F130&lt;=E130,"Yes","No"))</f>
        <v/>
      </c>
      <c r="L130">
        <f>IF(F130="","",MAX(0,F130-E130))</f>
        <v/>
      </c>
      <c r="M130" s="13">
        <f>DATE(YEAR(D130),MONTH(D130),1)</f>
        <v/>
      </c>
    </row>
    <row r="131">
      <c r="A131" t="inlineStr">
        <is>
          <t>PO-24131</t>
        </is>
      </c>
      <c r="B131" t="inlineStr">
        <is>
          <t>CAL-001</t>
        </is>
      </c>
      <c r="C131">
        <f>INDEX(Items!$C$2:$C$25,MATCH(B131,Items!$A$2:$A$25,0))</f>
        <v/>
      </c>
      <c r="D131" s="4" t="n">
        <v>46084</v>
      </c>
      <c r="E131" s="4" t="n">
        <v>46105</v>
      </c>
      <c r="F131" s="4" t="n">
        <v>46102</v>
      </c>
      <c r="G131" t="n">
        <v>30</v>
      </c>
      <c r="H131" s="12">
        <f>INDEX(Items!$D$2:$D$25,MATCH(B131,Items!$A$2:$A$25,0))</f>
        <v/>
      </c>
      <c r="I131" s="12">
        <f>G131*H131</f>
        <v/>
      </c>
      <c r="J131">
        <f>IF(F131="","",F131-D131)</f>
        <v/>
      </c>
      <c r="K131">
        <f>IF(F131="","Open",IF(F131&lt;=E131,"Yes","No"))</f>
        <v/>
      </c>
      <c r="L131">
        <f>IF(F131="","",MAX(0,F131-E131))</f>
        <v/>
      </c>
      <c r="M131" s="13">
        <f>DATE(YEAR(D131),MONTH(D131),1)</f>
        <v/>
      </c>
    </row>
    <row r="132">
      <c r="A132" t="inlineStr">
        <is>
          <t>PO-24132</t>
        </is>
      </c>
      <c r="B132" t="inlineStr">
        <is>
          <t>GAS-002</t>
        </is>
      </c>
      <c r="C132">
        <f>INDEX(Items!$C$2:$C$25,MATCH(B132,Items!$A$2:$A$25,0))</f>
        <v/>
      </c>
      <c r="D132" s="4" t="n">
        <v>46084</v>
      </c>
      <c r="E132" s="4" t="n">
        <v>46089</v>
      </c>
      <c r="F132" s="4" t="n">
        <v>46089</v>
      </c>
      <c r="G132" t="n">
        <v>2</v>
      </c>
      <c r="H132" s="12">
        <f>INDEX(Items!$D$2:$D$25,MATCH(B132,Items!$A$2:$A$25,0))</f>
        <v/>
      </c>
      <c r="I132" s="12">
        <f>G132*H132</f>
        <v/>
      </c>
      <c r="J132">
        <f>IF(F132="","",F132-D132)</f>
        <v/>
      </c>
      <c r="K132">
        <f>IF(F132="","Open",IF(F132&lt;=E132,"Yes","No"))</f>
        <v/>
      </c>
      <c r="L132">
        <f>IF(F132="","",MAX(0,F132-E132))</f>
        <v/>
      </c>
      <c r="M132" s="13">
        <f>DATE(YEAR(D132),MONTH(D132),1)</f>
        <v/>
      </c>
    </row>
    <row r="133">
      <c r="A133" t="inlineStr">
        <is>
          <t>PO-24133</t>
        </is>
      </c>
      <c r="B133" t="inlineStr">
        <is>
          <t>CAL-001</t>
        </is>
      </c>
      <c r="C133">
        <f>INDEX(Items!$C$2:$C$25,MATCH(B133,Items!$A$2:$A$25,0))</f>
        <v/>
      </c>
      <c r="D133" s="4" t="n">
        <v>46085</v>
      </c>
      <c r="E133" s="4" t="n">
        <v>46106</v>
      </c>
      <c r="F133" s="4" t="n">
        <v>46106</v>
      </c>
      <c r="G133" t="n">
        <v>15</v>
      </c>
      <c r="H133" s="12">
        <f>INDEX(Items!$D$2:$D$25,MATCH(B133,Items!$A$2:$A$25,0))</f>
        <v/>
      </c>
      <c r="I133" s="12">
        <f>G133*H133</f>
        <v/>
      </c>
      <c r="J133">
        <f>IF(F133="","",F133-D133)</f>
        <v/>
      </c>
      <c r="K133">
        <f>IF(F133="","Open",IF(F133&lt;=E133,"Yes","No"))</f>
        <v/>
      </c>
      <c r="L133">
        <f>IF(F133="","",MAX(0,F133-E133))</f>
        <v/>
      </c>
      <c r="M133" s="13">
        <f>DATE(YEAR(D133),MONTH(D133),1)</f>
        <v/>
      </c>
    </row>
    <row r="134">
      <c r="A134" t="inlineStr">
        <is>
          <t>PO-24134</t>
        </is>
      </c>
      <c r="B134" t="inlineStr">
        <is>
          <t>GLS-001</t>
        </is>
      </c>
      <c r="C134">
        <f>INDEX(Items!$C$2:$C$25,MATCH(B134,Items!$A$2:$A$25,0))</f>
        <v/>
      </c>
      <c r="D134" s="4" t="n">
        <v>46085</v>
      </c>
      <c r="E134" s="4" t="n">
        <v>46094</v>
      </c>
      <c r="F134" s="4" t="n">
        <v>46094</v>
      </c>
      <c r="G134" t="n">
        <v>5</v>
      </c>
      <c r="H134" s="12">
        <f>INDEX(Items!$D$2:$D$25,MATCH(B134,Items!$A$2:$A$25,0))</f>
        <v/>
      </c>
      <c r="I134" s="12">
        <f>G134*H134</f>
        <v/>
      </c>
      <c r="J134">
        <f>IF(F134="","",F134-D134)</f>
        <v/>
      </c>
      <c r="K134">
        <f>IF(F134="","Open",IF(F134&lt;=E134,"Yes","No"))</f>
        <v/>
      </c>
      <c r="L134">
        <f>IF(F134="","",MAX(0,F134-E134))</f>
        <v/>
      </c>
      <c r="M134" s="13">
        <f>DATE(YEAR(D134),MONTH(D134),1)</f>
        <v/>
      </c>
    </row>
    <row r="135">
      <c r="A135" t="inlineStr">
        <is>
          <t>PO-24135</t>
        </is>
      </c>
      <c r="B135" t="inlineStr">
        <is>
          <t>BIO-001</t>
        </is>
      </c>
      <c r="C135">
        <f>INDEX(Items!$C$2:$C$25,MATCH(B135,Items!$A$2:$A$25,0))</f>
        <v/>
      </c>
      <c r="D135" s="4" t="n">
        <v>46086</v>
      </c>
      <c r="E135" s="4" t="n">
        <v>46104</v>
      </c>
      <c r="F135" s="4" t="n">
        <v>46104</v>
      </c>
      <c r="G135" t="n">
        <v>3</v>
      </c>
      <c r="H135" s="12">
        <f>INDEX(Items!$D$2:$D$25,MATCH(B135,Items!$A$2:$A$25,0))</f>
        <v/>
      </c>
      <c r="I135" s="12">
        <f>G135*H135</f>
        <v/>
      </c>
      <c r="J135">
        <f>IF(F135="","",F135-D135)</f>
        <v/>
      </c>
      <c r="K135">
        <f>IF(F135="","Open",IF(F135&lt;=E135,"Yes","No"))</f>
        <v/>
      </c>
      <c r="L135">
        <f>IF(F135="","",MAX(0,F135-E135))</f>
        <v/>
      </c>
      <c r="M135" s="13">
        <f>DATE(YEAR(D135),MONTH(D135),1)</f>
        <v/>
      </c>
    </row>
    <row r="136">
      <c r="A136" t="inlineStr">
        <is>
          <t>PO-24136</t>
        </is>
      </c>
      <c r="B136" t="inlineStr">
        <is>
          <t>MED-002</t>
        </is>
      </c>
      <c r="C136">
        <f>INDEX(Items!$C$2:$C$25,MATCH(B136,Items!$A$2:$A$25,0))</f>
        <v/>
      </c>
      <c r="D136" s="4" t="n">
        <v>46086</v>
      </c>
      <c r="E136" s="4" t="n">
        <v>46096</v>
      </c>
      <c r="F136" s="4" t="n">
        <v>46096</v>
      </c>
      <c r="G136" t="n">
        <v>7</v>
      </c>
      <c r="H136" s="12">
        <f>INDEX(Items!$D$2:$D$25,MATCH(B136,Items!$A$2:$A$25,0))</f>
        <v/>
      </c>
      <c r="I136" s="12">
        <f>G136*H136</f>
        <v/>
      </c>
      <c r="J136">
        <f>IF(F136="","",F136-D136)</f>
        <v/>
      </c>
      <c r="K136">
        <f>IF(F136="","Open",IF(F136&lt;=E136,"Yes","No"))</f>
        <v/>
      </c>
      <c r="L136">
        <f>IF(F136="","",MAX(0,F136-E136))</f>
        <v/>
      </c>
      <c r="M136" s="13">
        <f>DATE(YEAR(D136),MONTH(D136),1)</f>
        <v/>
      </c>
    </row>
    <row r="137">
      <c r="A137" t="inlineStr">
        <is>
          <t>PO-24137</t>
        </is>
      </c>
      <c r="B137" t="inlineStr">
        <is>
          <t>RGT-003</t>
        </is>
      </c>
      <c r="C137">
        <f>INDEX(Items!$C$2:$C$25,MATCH(B137,Items!$A$2:$A$25,0))</f>
        <v/>
      </c>
      <c r="D137" s="4" t="n">
        <v>46087</v>
      </c>
      <c r="E137" s="4" t="n">
        <v>46101</v>
      </c>
      <c r="F137" s="4" t="n">
        <v>46099</v>
      </c>
      <c r="G137" t="n">
        <v>8</v>
      </c>
      <c r="H137" s="12">
        <f>INDEX(Items!$D$2:$D$25,MATCH(B137,Items!$A$2:$A$25,0))</f>
        <v/>
      </c>
      <c r="I137" s="12">
        <f>G137*H137</f>
        <v/>
      </c>
      <c r="J137">
        <f>IF(F137="","",F137-D137)</f>
        <v/>
      </c>
      <c r="K137">
        <f>IF(F137="","Open",IF(F137&lt;=E137,"Yes","No"))</f>
        <v/>
      </c>
      <c r="L137">
        <f>IF(F137="","",MAX(0,F137-E137))</f>
        <v/>
      </c>
      <c r="M137" s="13">
        <f>DATE(YEAR(D137),MONTH(D137),1)</f>
        <v/>
      </c>
    </row>
    <row r="138">
      <c r="A138" t="inlineStr">
        <is>
          <t>PO-24138</t>
        </is>
      </c>
      <c r="B138" t="inlineStr">
        <is>
          <t>STR-001</t>
        </is>
      </c>
      <c r="C138">
        <f>INDEX(Items!$C$2:$C$25,MATCH(B138,Items!$A$2:$A$25,0))</f>
        <v/>
      </c>
      <c r="D138" s="4" t="n">
        <v>46087</v>
      </c>
      <c r="E138" s="4" t="n">
        <v>46099</v>
      </c>
      <c r="F138" s="4" t="n">
        <v>46099</v>
      </c>
      <c r="G138" t="n">
        <v>5</v>
      </c>
      <c r="H138" s="12">
        <f>INDEX(Items!$D$2:$D$25,MATCH(B138,Items!$A$2:$A$25,0))</f>
        <v/>
      </c>
      <c r="I138" s="12">
        <f>G138*H138</f>
        <v/>
      </c>
      <c r="J138">
        <f>IF(F138="","",F138-D138)</f>
        <v/>
      </c>
      <c r="K138">
        <f>IF(F138="","Open",IF(F138&lt;=E138,"Yes","No"))</f>
        <v/>
      </c>
      <c r="L138">
        <f>IF(F138="","",MAX(0,F138-E138))</f>
        <v/>
      </c>
      <c r="M138" s="13">
        <f>DATE(YEAR(D138),MONTH(D138),1)</f>
        <v/>
      </c>
    </row>
    <row r="139">
      <c r="A139" t="inlineStr">
        <is>
          <t>PO-24139</t>
        </is>
      </c>
      <c r="B139" t="inlineStr">
        <is>
          <t>BIO-002</t>
        </is>
      </c>
      <c r="C139">
        <f>INDEX(Items!$C$2:$C$25,MATCH(B139,Items!$A$2:$A$25,0))</f>
        <v/>
      </c>
      <c r="D139" s="4" t="n">
        <v>46088</v>
      </c>
      <c r="E139" s="4" t="n">
        <v>46106</v>
      </c>
      <c r="F139" s="4" t="n">
        <v>46113</v>
      </c>
      <c r="G139" t="n">
        <v>5</v>
      </c>
      <c r="H139" s="12">
        <f>INDEX(Items!$D$2:$D$25,MATCH(B139,Items!$A$2:$A$25,0))</f>
        <v/>
      </c>
      <c r="I139" s="12">
        <f>G139*H139</f>
        <v/>
      </c>
      <c r="J139">
        <f>IF(F139="","",F139-D139)</f>
        <v/>
      </c>
      <c r="K139">
        <f>IF(F139="","Open",IF(F139&lt;=E139,"Yes","No"))</f>
        <v/>
      </c>
      <c r="L139">
        <f>IF(F139="","",MAX(0,F139-E139))</f>
        <v/>
      </c>
      <c r="M139" s="13">
        <f>DATE(YEAR(D139),MONTH(D139),1)</f>
        <v/>
      </c>
    </row>
    <row r="140">
      <c r="A140" t="inlineStr">
        <is>
          <t>PO-24140</t>
        </is>
      </c>
      <c r="B140" t="inlineStr">
        <is>
          <t>GLS-001</t>
        </is>
      </c>
      <c r="C140">
        <f>INDEX(Items!$C$2:$C$25,MATCH(B140,Items!$A$2:$A$25,0))</f>
        <v/>
      </c>
      <c r="D140" s="4" t="n">
        <v>46089</v>
      </c>
      <c r="E140" s="4" t="n">
        <v>46098</v>
      </c>
      <c r="F140" s="4" t="n">
        <v>46096</v>
      </c>
      <c r="G140" t="n">
        <v>1</v>
      </c>
      <c r="H140" s="12">
        <f>INDEX(Items!$D$2:$D$25,MATCH(B140,Items!$A$2:$A$25,0))</f>
        <v/>
      </c>
      <c r="I140" s="12">
        <f>G140*H140</f>
        <v/>
      </c>
      <c r="J140">
        <f>IF(F140="","",F140-D140)</f>
        <v/>
      </c>
      <c r="K140">
        <f>IF(F140="","Open",IF(F140&lt;=E140,"Yes","No"))</f>
        <v/>
      </c>
      <c r="L140">
        <f>IF(F140="","",MAX(0,F140-E140))</f>
        <v/>
      </c>
      <c r="M140" s="13">
        <f>DATE(YEAR(D140),MONTH(D140),1)</f>
        <v/>
      </c>
    </row>
    <row r="141">
      <c r="A141" t="inlineStr">
        <is>
          <t>PO-24141</t>
        </is>
      </c>
      <c r="B141" t="inlineStr">
        <is>
          <t>MED-003</t>
        </is>
      </c>
      <c r="C141">
        <f>INDEX(Items!$C$2:$C$25,MATCH(B141,Items!$A$2:$A$25,0))</f>
        <v/>
      </c>
      <c r="D141" s="4" t="n">
        <v>46092</v>
      </c>
      <c r="E141" s="4" t="n">
        <v>46102</v>
      </c>
      <c r="F141" s="4" t="n">
        <v>46102</v>
      </c>
      <c r="G141" t="n">
        <v>24</v>
      </c>
      <c r="H141" s="12">
        <f>INDEX(Items!$D$2:$D$25,MATCH(B141,Items!$A$2:$A$25,0))</f>
        <v/>
      </c>
      <c r="I141" s="12">
        <f>G141*H141</f>
        <v/>
      </c>
      <c r="J141">
        <f>IF(F141="","",F141-D141)</f>
        <v/>
      </c>
      <c r="K141">
        <f>IF(F141="","Open",IF(F141&lt;=E141,"Yes","No"))</f>
        <v/>
      </c>
      <c r="L141">
        <f>IF(F141="","",MAX(0,F141-E141))</f>
        <v/>
      </c>
      <c r="M141" s="13">
        <f>DATE(YEAR(D141),MONTH(D141),1)</f>
        <v/>
      </c>
    </row>
    <row r="142">
      <c r="A142" t="inlineStr">
        <is>
          <t>PO-24142</t>
        </is>
      </c>
      <c r="B142" t="inlineStr">
        <is>
          <t>MED-002</t>
        </is>
      </c>
      <c r="C142">
        <f>INDEX(Items!$C$2:$C$25,MATCH(B142,Items!$A$2:$A$25,0))</f>
        <v/>
      </c>
      <c r="D142" s="4" t="n">
        <v>46093</v>
      </c>
      <c r="E142" s="4" t="n">
        <v>46103</v>
      </c>
      <c r="F142" s="4" t="n">
        <v>46100</v>
      </c>
      <c r="G142" t="n">
        <v>28</v>
      </c>
      <c r="H142" s="12">
        <f>INDEX(Items!$D$2:$D$25,MATCH(B142,Items!$A$2:$A$25,0))</f>
        <v/>
      </c>
      <c r="I142" s="12">
        <f>G142*H142</f>
        <v/>
      </c>
      <c r="J142">
        <f>IF(F142="","",F142-D142)</f>
        <v/>
      </c>
      <c r="K142">
        <f>IF(F142="","Open",IF(F142&lt;=E142,"Yes","No"))</f>
        <v/>
      </c>
      <c r="L142">
        <f>IF(F142="","",MAX(0,F142-E142))</f>
        <v/>
      </c>
      <c r="M142" s="13">
        <f>DATE(YEAR(D142),MONTH(D142),1)</f>
        <v/>
      </c>
    </row>
    <row r="143">
      <c r="A143" t="inlineStr">
        <is>
          <t>PO-24143</t>
        </is>
      </c>
      <c r="B143" t="inlineStr">
        <is>
          <t>CON-002</t>
        </is>
      </c>
      <c r="C143">
        <f>INDEX(Items!$C$2:$C$25,MATCH(B143,Items!$A$2:$A$25,0))</f>
        <v/>
      </c>
      <c r="D143" s="4" t="n">
        <v>46094</v>
      </c>
      <c r="E143" s="4" t="n">
        <v>46101</v>
      </c>
      <c r="F143" s="4" t="n">
        <v>46101</v>
      </c>
      <c r="G143" t="n">
        <v>12</v>
      </c>
      <c r="H143" s="12">
        <f>INDEX(Items!$D$2:$D$25,MATCH(B143,Items!$A$2:$A$25,0))</f>
        <v/>
      </c>
      <c r="I143" s="12">
        <f>G143*H143</f>
        <v/>
      </c>
      <c r="J143">
        <f>IF(F143="","",F143-D143)</f>
        <v/>
      </c>
      <c r="K143">
        <f>IF(F143="","Open",IF(F143&lt;=E143,"Yes","No"))</f>
        <v/>
      </c>
      <c r="L143">
        <f>IF(F143="","",MAX(0,F143-E143))</f>
        <v/>
      </c>
      <c r="M143" s="13">
        <f>DATE(YEAR(D143),MONTH(D143),1)</f>
        <v/>
      </c>
    </row>
    <row r="144">
      <c r="A144" t="inlineStr">
        <is>
          <t>PO-24144</t>
        </is>
      </c>
      <c r="B144" t="inlineStr">
        <is>
          <t>MED-002</t>
        </is>
      </c>
      <c r="C144">
        <f>INDEX(Items!$C$2:$C$25,MATCH(B144,Items!$A$2:$A$25,0))</f>
        <v/>
      </c>
      <c r="D144" s="4" t="n">
        <v>46097</v>
      </c>
      <c r="E144" s="4" t="n">
        <v>46107</v>
      </c>
      <c r="F144" s="4" t="n">
        <v>46105</v>
      </c>
      <c r="G144" t="n">
        <v>21</v>
      </c>
      <c r="H144" s="12">
        <f>INDEX(Items!$D$2:$D$25,MATCH(B144,Items!$A$2:$A$25,0))</f>
        <v/>
      </c>
      <c r="I144" s="12">
        <f>G144*H144</f>
        <v/>
      </c>
      <c r="J144">
        <f>IF(F144="","",F144-D144)</f>
        <v/>
      </c>
      <c r="K144">
        <f>IF(F144="","Open",IF(F144&lt;=E144,"Yes","No"))</f>
        <v/>
      </c>
      <c r="L144">
        <f>IF(F144="","",MAX(0,F144-E144))</f>
        <v/>
      </c>
      <c r="M144" s="13">
        <f>DATE(YEAR(D144),MONTH(D144),1)</f>
        <v/>
      </c>
    </row>
    <row r="145">
      <c r="A145" t="inlineStr">
        <is>
          <t>PO-24145</t>
        </is>
      </c>
      <c r="B145" t="inlineStr">
        <is>
          <t>CON-001</t>
        </is>
      </c>
      <c r="C145">
        <f>INDEX(Items!$C$2:$C$25,MATCH(B145,Items!$A$2:$A$25,0))</f>
        <v/>
      </c>
      <c r="D145" s="4" t="n">
        <v>46098</v>
      </c>
      <c r="E145" s="4" t="n">
        <v>46105</v>
      </c>
      <c r="F145" s="4" t="n">
        <v>46104</v>
      </c>
      <c r="G145" t="n">
        <v>6</v>
      </c>
      <c r="H145" s="12">
        <f>INDEX(Items!$D$2:$D$25,MATCH(B145,Items!$A$2:$A$25,0))</f>
        <v/>
      </c>
      <c r="I145" s="12">
        <f>G145*H145</f>
        <v/>
      </c>
      <c r="J145">
        <f>IF(F145="","",F145-D145)</f>
        <v/>
      </c>
      <c r="K145">
        <f>IF(F145="","Open",IF(F145&lt;=E145,"Yes","No"))</f>
        <v/>
      </c>
      <c r="L145">
        <f>IF(F145="","",MAX(0,F145-E145))</f>
        <v/>
      </c>
      <c r="M145" s="13">
        <f>DATE(YEAR(D145),MONTH(D145),1)</f>
        <v/>
      </c>
    </row>
    <row r="146">
      <c r="A146" t="inlineStr">
        <is>
          <t>PO-24146</t>
        </is>
      </c>
      <c r="B146" t="inlineStr">
        <is>
          <t>MED-003</t>
        </is>
      </c>
      <c r="C146">
        <f>INDEX(Items!$C$2:$C$25,MATCH(B146,Items!$A$2:$A$25,0))</f>
        <v/>
      </c>
      <c r="D146" s="4" t="n">
        <v>46099</v>
      </c>
      <c r="E146" s="4" t="n">
        <v>46109</v>
      </c>
      <c r="F146" s="4" t="n">
        <v>46106</v>
      </c>
      <c r="G146" t="n">
        <v>18</v>
      </c>
      <c r="H146" s="12">
        <f>INDEX(Items!$D$2:$D$25,MATCH(B146,Items!$A$2:$A$25,0))</f>
        <v/>
      </c>
      <c r="I146" s="12">
        <f>G146*H146</f>
        <v/>
      </c>
      <c r="J146">
        <f>IF(F146="","",F146-D146)</f>
        <v/>
      </c>
      <c r="K146">
        <f>IF(F146="","Open",IF(F146&lt;=E146,"Yes","No"))</f>
        <v/>
      </c>
      <c r="L146">
        <f>IF(F146="","",MAX(0,F146-E146))</f>
        <v/>
      </c>
      <c r="M146" s="13">
        <f>DATE(YEAR(D146),MONTH(D146),1)</f>
        <v/>
      </c>
    </row>
    <row r="147">
      <c r="A147" t="inlineStr">
        <is>
          <t>PO-24147</t>
        </is>
      </c>
      <c r="B147" t="inlineStr">
        <is>
          <t>BIO-002</t>
        </is>
      </c>
      <c r="C147">
        <f>INDEX(Items!$C$2:$C$25,MATCH(B147,Items!$A$2:$A$25,0))</f>
        <v/>
      </c>
      <c r="D147" s="4" t="n">
        <v>46100</v>
      </c>
      <c r="E147" s="4" t="n">
        <v>46118</v>
      </c>
      <c r="F147" s="4" t="n">
        <v>46118</v>
      </c>
      <c r="G147" t="n">
        <v>6</v>
      </c>
      <c r="H147" s="12">
        <f>INDEX(Items!$D$2:$D$25,MATCH(B147,Items!$A$2:$A$25,0))</f>
        <v/>
      </c>
      <c r="I147" s="12">
        <f>G147*H147</f>
        <v/>
      </c>
      <c r="J147">
        <f>IF(F147="","",F147-D147)</f>
        <v/>
      </c>
      <c r="K147">
        <f>IF(F147="","Open",IF(F147&lt;=E147,"Yes","No"))</f>
        <v/>
      </c>
      <c r="L147">
        <f>IF(F147="","",MAX(0,F147-E147))</f>
        <v/>
      </c>
      <c r="M147" s="13">
        <f>DATE(YEAR(D147),MONTH(D147),1)</f>
        <v/>
      </c>
    </row>
    <row r="148">
      <c r="A148" t="inlineStr">
        <is>
          <t>PO-24148</t>
        </is>
      </c>
      <c r="B148" t="inlineStr">
        <is>
          <t>GLS-002</t>
        </is>
      </c>
      <c r="C148">
        <f>INDEX(Items!$C$2:$C$25,MATCH(B148,Items!$A$2:$A$25,0))</f>
        <v/>
      </c>
      <c r="D148" s="4" t="n">
        <v>46101</v>
      </c>
      <c r="E148" s="4" t="n">
        <v>46110</v>
      </c>
      <c r="F148" s="4" t="n">
        <v>46107</v>
      </c>
      <c r="G148" t="n">
        <v>6</v>
      </c>
      <c r="H148" s="12">
        <f>INDEX(Items!$D$2:$D$25,MATCH(B148,Items!$A$2:$A$25,0))</f>
        <v/>
      </c>
      <c r="I148" s="12">
        <f>G148*H148</f>
        <v/>
      </c>
      <c r="J148">
        <f>IF(F148="","",F148-D148)</f>
        <v/>
      </c>
      <c r="K148">
        <f>IF(F148="","Open",IF(F148&lt;=E148,"Yes","No"))</f>
        <v/>
      </c>
      <c r="L148">
        <f>IF(F148="","",MAX(0,F148-E148))</f>
        <v/>
      </c>
      <c r="M148" s="13">
        <f>DATE(YEAR(D148),MONTH(D148),1)</f>
        <v/>
      </c>
    </row>
    <row r="149">
      <c r="A149" t="inlineStr">
        <is>
          <t>PO-24149</t>
        </is>
      </c>
      <c r="B149" t="inlineStr">
        <is>
          <t>MED-001</t>
        </is>
      </c>
      <c r="C149">
        <f>INDEX(Items!$C$2:$C$25,MATCH(B149,Items!$A$2:$A$25,0))</f>
        <v/>
      </c>
      <c r="D149" s="4" t="n">
        <v>46101</v>
      </c>
      <c r="E149" s="4" t="n">
        <v>46111</v>
      </c>
      <c r="F149" s="4" t="n">
        <v>46109</v>
      </c>
      <c r="G149" t="n">
        <v>30</v>
      </c>
      <c r="H149" s="12">
        <f>INDEX(Items!$D$2:$D$25,MATCH(B149,Items!$A$2:$A$25,0))</f>
        <v/>
      </c>
      <c r="I149" s="12">
        <f>G149*H149</f>
        <v/>
      </c>
      <c r="J149">
        <f>IF(F149="","",F149-D149)</f>
        <v/>
      </c>
      <c r="K149">
        <f>IF(F149="","Open",IF(F149&lt;=E149,"Yes","No"))</f>
        <v/>
      </c>
      <c r="L149">
        <f>IF(F149="","",MAX(0,F149-E149))</f>
        <v/>
      </c>
      <c r="M149" s="13">
        <f>DATE(YEAR(D149),MONTH(D149),1)</f>
        <v/>
      </c>
    </row>
    <row r="150">
      <c r="A150" t="inlineStr">
        <is>
          <t>PO-24150</t>
        </is>
      </c>
      <c r="B150" t="inlineStr">
        <is>
          <t>CON-001</t>
        </is>
      </c>
      <c r="C150">
        <f>INDEX(Items!$C$2:$C$25,MATCH(B150,Items!$A$2:$A$25,0))</f>
        <v/>
      </c>
      <c r="D150" s="4" t="n">
        <v>46104</v>
      </c>
      <c r="E150" s="4" t="n">
        <v>46111</v>
      </c>
      <c r="F150" s="4" t="n">
        <v>46108</v>
      </c>
      <c r="G150" t="n">
        <v>3</v>
      </c>
      <c r="H150" s="12">
        <f>INDEX(Items!$D$2:$D$25,MATCH(B150,Items!$A$2:$A$25,0))</f>
        <v/>
      </c>
      <c r="I150" s="12">
        <f>G150*H150</f>
        <v/>
      </c>
      <c r="J150">
        <f>IF(F150="","",F150-D150)</f>
        <v/>
      </c>
      <c r="K150">
        <f>IF(F150="","Open",IF(F150&lt;=E150,"Yes","No"))</f>
        <v/>
      </c>
      <c r="L150">
        <f>IF(F150="","",MAX(0,F150-E150))</f>
        <v/>
      </c>
      <c r="M150" s="13">
        <f>DATE(YEAR(D150),MONTH(D150),1)</f>
        <v/>
      </c>
    </row>
    <row r="151">
      <c r="A151" t="inlineStr">
        <is>
          <t>PO-24151</t>
        </is>
      </c>
      <c r="B151" t="inlineStr">
        <is>
          <t>CON-001</t>
        </is>
      </c>
      <c r="C151">
        <f>INDEX(Items!$C$2:$C$25,MATCH(B151,Items!$A$2:$A$25,0))</f>
        <v/>
      </c>
      <c r="D151" s="4" t="n">
        <v>46104</v>
      </c>
      <c r="E151" s="4" t="n">
        <v>46111</v>
      </c>
      <c r="F151" s="4" t="n">
        <v>46110</v>
      </c>
      <c r="G151" t="n">
        <v>3</v>
      </c>
      <c r="H151" s="12">
        <f>INDEX(Items!$D$2:$D$25,MATCH(B151,Items!$A$2:$A$25,0))</f>
        <v/>
      </c>
      <c r="I151" s="12">
        <f>G151*H151</f>
        <v/>
      </c>
      <c r="J151">
        <f>IF(F151="","",F151-D151)</f>
        <v/>
      </c>
      <c r="K151">
        <f>IF(F151="","Open",IF(F151&lt;=E151,"Yes","No"))</f>
        <v/>
      </c>
      <c r="L151">
        <f>IF(F151="","",MAX(0,F151-E151))</f>
        <v/>
      </c>
      <c r="M151" s="13">
        <f>DATE(YEAR(D151),MONTH(D151),1)</f>
        <v/>
      </c>
    </row>
    <row r="152">
      <c r="A152" t="inlineStr">
        <is>
          <t>PO-24152</t>
        </is>
      </c>
      <c r="B152" t="inlineStr">
        <is>
          <t>CON-004</t>
        </is>
      </c>
      <c r="C152">
        <f>INDEX(Items!$C$2:$C$25,MATCH(B152,Items!$A$2:$A$25,0))</f>
        <v/>
      </c>
      <c r="D152" s="4" t="n">
        <v>46104</v>
      </c>
      <c r="E152" s="4" t="n">
        <v>46111</v>
      </c>
      <c r="F152" s="4" t="n">
        <v>46111</v>
      </c>
      <c r="G152" t="n">
        <v>4</v>
      </c>
      <c r="H152" s="12">
        <f>INDEX(Items!$D$2:$D$25,MATCH(B152,Items!$A$2:$A$25,0))</f>
        <v/>
      </c>
      <c r="I152" s="12">
        <f>G152*H152</f>
        <v/>
      </c>
      <c r="J152">
        <f>IF(F152="","",F152-D152)</f>
        <v/>
      </c>
      <c r="K152">
        <f>IF(F152="","Open",IF(F152&lt;=E152,"Yes","No"))</f>
        <v/>
      </c>
      <c r="L152">
        <f>IF(F152="","",MAX(0,F152-E152))</f>
        <v/>
      </c>
      <c r="M152" s="13">
        <f>DATE(YEAR(D152),MONTH(D152),1)</f>
        <v/>
      </c>
    </row>
    <row r="153">
      <c r="A153" t="inlineStr">
        <is>
          <t>PO-24153</t>
        </is>
      </c>
      <c r="B153" t="inlineStr">
        <is>
          <t>MED-002</t>
        </is>
      </c>
      <c r="C153">
        <f>INDEX(Items!$C$2:$C$25,MATCH(B153,Items!$A$2:$A$25,0))</f>
        <v/>
      </c>
      <c r="D153" s="4" t="n">
        <v>46108</v>
      </c>
      <c r="E153" s="4" t="n">
        <v>46118</v>
      </c>
      <c r="F153" s="4" t="n">
        <v>46116</v>
      </c>
      <c r="G153" t="n">
        <v>7</v>
      </c>
      <c r="H153" s="12">
        <f>INDEX(Items!$D$2:$D$25,MATCH(B153,Items!$A$2:$A$25,0))</f>
        <v/>
      </c>
      <c r="I153" s="12">
        <f>G153*H153</f>
        <v/>
      </c>
      <c r="J153">
        <f>IF(F153="","",F153-D153)</f>
        <v/>
      </c>
      <c r="K153">
        <f>IF(F153="","Open",IF(F153&lt;=E153,"Yes","No"))</f>
        <v/>
      </c>
      <c r="L153">
        <f>IF(F153="","",MAX(0,F153-E153))</f>
        <v/>
      </c>
      <c r="M153" s="13">
        <f>DATE(YEAR(D153),MONTH(D153),1)</f>
        <v/>
      </c>
    </row>
    <row r="154">
      <c r="A154" t="inlineStr">
        <is>
          <t>PO-24154</t>
        </is>
      </c>
      <c r="B154" t="inlineStr">
        <is>
          <t>STR-003</t>
        </is>
      </c>
      <c r="C154">
        <f>INDEX(Items!$C$2:$C$25,MATCH(B154,Items!$A$2:$A$25,0))</f>
        <v/>
      </c>
      <c r="D154" s="4" t="n">
        <v>46109</v>
      </c>
      <c r="E154" s="4" t="n">
        <v>46121</v>
      </c>
      <c r="F154" s="4" t="n">
        <v>46119</v>
      </c>
      <c r="G154" t="n">
        <v>12</v>
      </c>
      <c r="H154" s="12">
        <f>INDEX(Items!$D$2:$D$25,MATCH(B154,Items!$A$2:$A$25,0))</f>
        <v/>
      </c>
      <c r="I154" s="12">
        <f>G154*H154</f>
        <v/>
      </c>
      <c r="J154">
        <f>IF(F154="","",F154-D154)</f>
        <v/>
      </c>
      <c r="K154">
        <f>IF(F154="","Open",IF(F154&lt;=E154,"Yes","No"))</f>
        <v/>
      </c>
      <c r="L154">
        <f>IF(F154="","",MAX(0,F154-E154))</f>
        <v/>
      </c>
      <c r="M154" s="13">
        <f>DATE(YEAR(D154),MONTH(D154),1)</f>
        <v/>
      </c>
    </row>
    <row r="155">
      <c r="A155" t="inlineStr">
        <is>
          <t>PO-24155</t>
        </is>
      </c>
      <c r="B155" t="inlineStr">
        <is>
          <t>CON-003</t>
        </is>
      </c>
      <c r="C155">
        <f>INDEX(Items!$C$2:$C$25,MATCH(B155,Items!$A$2:$A$25,0))</f>
        <v/>
      </c>
      <c r="D155" s="4" t="n">
        <v>46110</v>
      </c>
      <c r="E155" s="4" t="n">
        <v>46117</v>
      </c>
      <c r="F155" s="4" t="n">
        <v>46116</v>
      </c>
      <c r="G155" t="n">
        <v>6</v>
      </c>
      <c r="H155" s="12">
        <f>INDEX(Items!$D$2:$D$25,MATCH(B155,Items!$A$2:$A$25,0))</f>
        <v/>
      </c>
      <c r="I155" s="12">
        <f>G155*H155</f>
        <v/>
      </c>
      <c r="J155">
        <f>IF(F155="","",F155-D155)</f>
        <v/>
      </c>
      <c r="K155">
        <f>IF(F155="","Open",IF(F155&lt;=E155,"Yes","No"))</f>
        <v/>
      </c>
      <c r="L155">
        <f>IF(F155="","",MAX(0,F155-E155))</f>
        <v/>
      </c>
      <c r="M155" s="13">
        <f>DATE(YEAR(D155),MONTH(D155),1)</f>
        <v/>
      </c>
    </row>
    <row r="156">
      <c r="A156" t="inlineStr">
        <is>
          <t>PO-24156</t>
        </is>
      </c>
      <c r="B156" t="inlineStr">
        <is>
          <t>MED-004</t>
        </is>
      </c>
      <c r="C156">
        <f>INDEX(Items!$C$2:$C$25,MATCH(B156,Items!$A$2:$A$25,0))</f>
        <v/>
      </c>
      <c r="D156" s="4" t="n">
        <v>46110</v>
      </c>
      <c r="E156" s="4" t="n">
        <v>46120</v>
      </c>
      <c r="F156" s="4" t="n">
        <v>46118</v>
      </c>
      <c r="G156" t="n">
        <v>10</v>
      </c>
      <c r="H156" s="12">
        <f>INDEX(Items!$D$2:$D$25,MATCH(B156,Items!$A$2:$A$25,0))</f>
        <v/>
      </c>
      <c r="I156" s="12">
        <f>G156*H156</f>
        <v/>
      </c>
      <c r="J156">
        <f>IF(F156="","",F156-D156)</f>
        <v/>
      </c>
      <c r="K156">
        <f>IF(F156="","Open",IF(F156&lt;=E156,"Yes","No"))</f>
        <v/>
      </c>
      <c r="L156">
        <f>IF(F156="","",MAX(0,F156-E156))</f>
        <v/>
      </c>
      <c r="M156" s="13">
        <f>DATE(YEAR(D156),MONTH(D156),1)</f>
        <v/>
      </c>
    </row>
    <row r="157">
      <c r="A157" t="inlineStr">
        <is>
          <t>PO-24157</t>
        </is>
      </c>
      <c r="B157" t="inlineStr">
        <is>
          <t>CAL-002</t>
        </is>
      </c>
      <c r="C157">
        <f>INDEX(Items!$C$2:$C$25,MATCH(B157,Items!$A$2:$A$25,0))</f>
        <v/>
      </c>
      <c r="D157" s="4" t="n">
        <v>46111</v>
      </c>
      <c r="E157" s="4" t="n">
        <v>46132</v>
      </c>
      <c r="F157" s="4" t="n">
        <v>46136</v>
      </c>
      <c r="G157" t="n">
        <v>5</v>
      </c>
      <c r="H157" s="12">
        <f>INDEX(Items!$D$2:$D$25,MATCH(B157,Items!$A$2:$A$25,0))</f>
        <v/>
      </c>
      <c r="I157" s="12">
        <f>G157*H157</f>
        <v/>
      </c>
      <c r="J157">
        <f>IF(F157="","",F157-D157)</f>
        <v/>
      </c>
      <c r="K157">
        <f>IF(F157="","Open",IF(F157&lt;=E157,"Yes","No"))</f>
        <v/>
      </c>
      <c r="L157">
        <f>IF(F157="","",MAX(0,F157-E157))</f>
        <v/>
      </c>
      <c r="M157" s="13">
        <f>DATE(YEAR(D157),MONTH(D157),1)</f>
        <v/>
      </c>
    </row>
    <row r="158">
      <c r="A158" t="inlineStr">
        <is>
          <t>PO-24158</t>
        </is>
      </c>
      <c r="B158" t="inlineStr">
        <is>
          <t>MED-001</t>
        </is>
      </c>
      <c r="C158">
        <f>INDEX(Items!$C$2:$C$25,MATCH(B158,Items!$A$2:$A$25,0))</f>
        <v/>
      </c>
      <c r="D158" s="4" t="n">
        <v>46111</v>
      </c>
      <c r="E158" s="4" t="n">
        <v>46121</v>
      </c>
      <c r="F158" s="4" t="n">
        <v>46118</v>
      </c>
      <c r="G158" t="n">
        <v>60</v>
      </c>
      <c r="H158" s="12">
        <f>INDEX(Items!$D$2:$D$25,MATCH(B158,Items!$A$2:$A$25,0))</f>
        <v/>
      </c>
      <c r="I158" s="12">
        <f>G158*H158</f>
        <v/>
      </c>
      <c r="J158">
        <f>IF(F158="","",F158-D158)</f>
        <v/>
      </c>
      <c r="K158">
        <f>IF(F158="","Open",IF(F158&lt;=E158,"Yes","No"))</f>
        <v/>
      </c>
      <c r="L158">
        <f>IF(F158="","",MAX(0,F158-E158))</f>
        <v/>
      </c>
      <c r="M158" s="13">
        <f>DATE(YEAR(D158),MONTH(D158),1)</f>
        <v/>
      </c>
    </row>
    <row r="159">
      <c r="A159" t="inlineStr">
        <is>
          <t>PO-24159</t>
        </is>
      </c>
      <c r="B159" t="inlineStr">
        <is>
          <t>RGT-002</t>
        </is>
      </c>
      <c r="C159">
        <f>INDEX(Items!$C$2:$C$25,MATCH(B159,Items!$A$2:$A$25,0))</f>
        <v/>
      </c>
      <c r="D159" s="4" t="n">
        <v>46112</v>
      </c>
      <c r="E159" s="4" t="n">
        <v>46126</v>
      </c>
      <c r="F159" s="4" t="n">
        <v>46124</v>
      </c>
      <c r="G159" t="n">
        <v>3</v>
      </c>
      <c r="H159" s="12">
        <f>INDEX(Items!$D$2:$D$25,MATCH(B159,Items!$A$2:$A$25,0))</f>
        <v/>
      </c>
      <c r="I159" s="12">
        <f>G159*H159</f>
        <v/>
      </c>
      <c r="J159">
        <f>IF(F159="","",F159-D159)</f>
        <v/>
      </c>
      <c r="K159">
        <f>IF(F159="","Open",IF(F159&lt;=E159,"Yes","No"))</f>
        <v/>
      </c>
      <c r="L159">
        <f>IF(F159="","",MAX(0,F159-E159))</f>
        <v/>
      </c>
      <c r="M159" s="13">
        <f>DATE(YEAR(D159),MONTH(D159),1)</f>
        <v/>
      </c>
    </row>
    <row r="160">
      <c r="A160" t="inlineStr">
        <is>
          <t>PO-24160</t>
        </is>
      </c>
      <c r="B160" t="inlineStr">
        <is>
          <t>STR-001</t>
        </is>
      </c>
      <c r="C160">
        <f>INDEX(Items!$C$2:$C$25,MATCH(B160,Items!$A$2:$A$25,0))</f>
        <v/>
      </c>
      <c r="D160" s="4" t="n">
        <v>46112</v>
      </c>
      <c r="E160" s="4" t="n">
        <v>46124</v>
      </c>
      <c r="F160" s="4" t="n">
        <v>46121</v>
      </c>
      <c r="G160" t="n">
        <v>6</v>
      </c>
      <c r="H160" s="12">
        <f>INDEX(Items!$D$2:$D$25,MATCH(B160,Items!$A$2:$A$25,0))</f>
        <v/>
      </c>
      <c r="I160" s="12">
        <f>G160*H160</f>
        <v/>
      </c>
      <c r="J160">
        <f>IF(F160="","",F160-D160)</f>
        <v/>
      </c>
      <c r="K160">
        <f>IF(F160="","Open",IF(F160&lt;=E160,"Yes","No"))</f>
        <v/>
      </c>
      <c r="L160">
        <f>IF(F160="","",MAX(0,F160-E160))</f>
        <v/>
      </c>
      <c r="M160" s="13">
        <f>DATE(YEAR(D160),MONTH(D160),1)</f>
        <v/>
      </c>
    </row>
    <row r="161">
      <c r="A161" t="inlineStr">
        <is>
          <t>PO-24161</t>
        </is>
      </c>
      <c r="B161" t="inlineStr">
        <is>
          <t>BIO-001</t>
        </is>
      </c>
      <c r="C161">
        <f>INDEX(Items!$C$2:$C$25,MATCH(B161,Items!$A$2:$A$25,0))</f>
        <v/>
      </c>
      <c r="D161" s="4" t="n">
        <v>46114</v>
      </c>
      <c r="E161" s="4" t="n">
        <v>46132</v>
      </c>
      <c r="F161" s="4" t="n">
        <v>46137</v>
      </c>
      <c r="G161" t="n">
        <v>2</v>
      </c>
      <c r="H161" s="12">
        <f>INDEX(Items!$D$2:$D$25,MATCH(B161,Items!$A$2:$A$25,0))</f>
        <v/>
      </c>
      <c r="I161" s="12">
        <f>G161*H161</f>
        <v/>
      </c>
      <c r="J161">
        <f>IF(F161="","",F161-D161)</f>
        <v/>
      </c>
      <c r="K161">
        <f>IF(F161="","Open",IF(F161&lt;=E161,"Yes","No"))</f>
        <v/>
      </c>
      <c r="L161">
        <f>IF(F161="","",MAX(0,F161-E161))</f>
        <v/>
      </c>
      <c r="M161" s="13">
        <f>DATE(YEAR(D161),MONTH(D161),1)</f>
        <v/>
      </c>
    </row>
    <row r="162">
      <c r="A162" t="inlineStr">
        <is>
          <t>PO-24162</t>
        </is>
      </c>
      <c r="B162" t="inlineStr">
        <is>
          <t>STR-002</t>
        </is>
      </c>
      <c r="C162">
        <f>INDEX(Items!$C$2:$C$25,MATCH(B162,Items!$A$2:$A$25,0))</f>
        <v/>
      </c>
      <c r="D162" s="4" t="n">
        <v>46116</v>
      </c>
      <c r="E162" s="4" t="n">
        <v>46128</v>
      </c>
      <c r="F162" s="4" t="n">
        <v>46128</v>
      </c>
      <c r="G162" t="n">
        <v>8</v>
      </c>
      <c r="H162" s="12">
        <f>INDEX(Items!$D$2:$D$25,MATCH(B162,Items!$A$2:$A$25,0))</f>
        <v/>
      </c>
      <c r="I162" s="12">
        <f>G162*H162</f>
        <v/>
      </c>
      <c r="J162">
        <f>IF(F162="","",F162-D162)</f>
        <v/>
      </c>
      <c r="K162">
        <f>IF(F162="","Open",IF(F162&lt;=E162,"Yes","No"))</f>
        <v/>
      </c>
      <c r="L162">
        <f>IF(F162="","",MAX(0,F162-E162))</f>
        <v/>
      </c>
      <c r="M162" s="13">
        <f>DATE(YEAR(D162),MONTH(D162),1)</f>
        <v/>
      </c>
    </row>
    <row r="163">
      <c r="A163" t="inlineStr">
        <is>
          <t>PO-24163</t>
        </is>
      </c>
      <c r="B163" t="inlineStr">
        <is>
          <t>MED-002</t>
        </is>
      </c>
      <c r="C163">
        <f>INDEX(Items!$C$2:$C$25,MATCH(B163,Items!$A$2:$A$25,0))</f>
        <v/>
      </c>
      <c r="D163" s="4" t="n">
        <v>46119</v>
      </c>
      <c r="E163" s="4" t="n">
        <v>46129</v>
      </c>
      <c r="F163" s="4" t="n">
        <v>46129</v>
      </c>
      <c r="G163" t="n">
        <v>42</v>
      </c>
      <c r="H163" s="12">
        <f>INDEX(Items!$D$2:$D$25,MATCH(B163,Items!$A$2:$A$25,0))</f>
        <v/>
      </c>
      <c r="I163" s="12">
        <f>G163*H163</f>
        <v/>
      </c>
      <c r="J163">
        <f>IF(F163="","",F163-D163)</f>
        <v/>
      </c>
      <c r="K163">
        <f>IF(F163="","Open",IF(F163&lt;=E163,"Yes","No"))</f>
        <v/>
      </c>
      <c r="L163">
        <f>IF(F163="","",MAX(0,F163-E163))</f>
        <v/>
      </c>
      <c r="M163" s="13">
        <f>DATE(YEAR(D163),MONTH(D163),1)</f>
        <v/>
      </c>
    </row>
    <row r="164">
      <c r="A164" t="inlineStr">
        <is>
          <t>PO-24164</t>
        </is>
      </c>
      <c r="B164" t="inlineStr">
        <is>
          <t>GLS-001</t>
        </is>
      </c>
      <c r="C164">
        <f>INDEX(Items!$C$2:$C$25,MATCH(B164,Items!$A$2:$A$25,0))</f>
        <v/>
      </c>
      <c r="D164" s="4" t="n">
        <v>46120</v>
      </c>
      <c r="E164" s="4" t="n">
        <v>46129</v>
      </c>
      <c r="F164" s="4" t="n">
        <v>46126</v>
      </c>
      <c r="G164" t="n">
        <v>2</v>
      </c>
      <c r="H164" s="12">
        <f>INDEX(Items!$D$2:$D$25,MATCH(B164,Items!$A$2:$A$25,0))</f>
        <v/>
      </c>
      <c r="I164" s="12">
        <f>G164*H164</f>
        <v/>
      </c>
      <c r="J164">
        <f>IF(F164="","",F164-D164)</f>
        <v/>
      </c>
      <c r="K164">
        <f>IF(F164="","Open",IF(F164&lt;=E164,"Yes","No"))</f>
        <v/>
      </c>
      <c r="L164">
        <f>IF(F164="","",MAX(0,F164-E164))</f>
        <v/>
      </c>
      <c r="M164" s="13">
        <f>DATE(YEAR(D164),MONTH(D164),1)</f>
        <v/>
      </c>
    </row>
    <row r="165">
      <c r="A165" t="inlineStr">
        <is>
          <t>PO-24165</t>
        </is>
      </c>
      <c r="B165" t="inlineStr">
        <is>
          <t>MED-002</t>
        </is>
      </c>
      <c r="C165">
        <f>INDEX(Items!$C$2:$C$25,MATCH(B165,Items!$A$2:$A$25,0))</f>
        <v/>
      </c>
      <c r="D165" s="4" t="n">
        <v>46120</v>
      </c>
      <c r="E165" s="4" t="n">
        <v>46130</v>
      </c>
      <c r="F165" s="4" t="n">
        <v>46129</v>
      </c>
      <c r="G165" t="n">
        <v>28</v>
      </c>
      <c r="H165" s="12">
        <f>INDEX(Items!$D$2:$D$25,MATCH(B165,Items!$A$2:$A$25,0))</f>
        <v/>
      </c>
      <c r="I165" s="12">
        <f>G165*H165</f>
        <v/>
      </c>
      <c r="J165">
        <f>IF(F165="","",F165-D165)</f>
        <v/>
      </c>
      <c r="K165">
        <f>IF(F165="","Open",IF(F165&lt;=E165,"Yes","No"))</f>
        <v/>
      </c>
      <c r="L165">
        <f>IF(F165="","",MAX(0,F165-E165))</f>
        <v/>
      </c>
      <c r="M165" s="13">
        <f>DATE(YEAR(D165),MONTH(D165),1)</f>
        <v/>
      </c>
    </row>
    <row r="166">
      <c r="A166" t="inlineStr">
        <is>
          <t>PO-24166</t>
        </is>
      </c>
      <c r="B166" t="inlineStr">
        <is>
          <t>RGT-001</t>
        </is>
      </c>
      <c r="C166">
        <f>INDEX(Items!$C$2:$C$25,MATCH(B166,Items!$A$2:$A$25,0))</f>
        <v/>
      </c>
      <c r="D166" s="4" t="n">
        <v>46120</v>
      </c>
      <c r="E166" s="4" t="n">
        <v>46134</v>
      </c>
      <c r="F166" s="4" t="n">
        <v>46132</v>
      </c>
      <c r="G166" t="n">
        <v>5</v>
      </c>
      <c r="H166" s="12">
        <f>INDEX(Items!$D$2:$D$25,MATCH(B166,Items!$A$2:$A$25,0))</f>
        <v/>
      </c>
      <c r="I166" s="12">
        <f>G166*H166</f>
        <v/>
      </c>
      <c r="J166">
        <f>IF(F166="","",F166-D166)</f>
        <v/>
      </c>
      <c r="K166">
        <f>IF(F166="","Open",IF(F166&lt;=E166,"Yes","No"))</f>
        <v/>
      </c>
      <c r="L166">
        <f>IF(F166="","",MAX(0,F166-E166))</f>
        <v/>
      </c>
      <c r="M166" s="13">
        <f>DATE(YEAR(D166),MONTH(D166),1)</f>
        <v/>
      </c>
    </row>
    <row r="167">
      <c r="A167" t="inlineStr">
        <is>
          <t>PO-24167</t>
        </is>
      </c>
      <c r="B167" t="inlineStr">
        <is>
          <t>GLS-002</t>
        </is>
      </c>
      <c r="C167">
        <f>INDEX(Items!$C$2:$C$25,MATCH(B167,Items!$A$2:$A$25,0))</f>
        <v/>
      </c>
      <c r="D167" s="4" t="n">
        <v>46121</v>
      </c>
      <c r="E167" s="4" t="n">
        <v>46130</v>
      </c>
      <c r="F167" s="4" t="n">
        <v>46130</v>
      </c>
      <c r="G167" t="n">
        <v>5</v>
      </c>
      <c r="H167" s="12">
        <f>INDEX(Items!$D$2:$D$25,MATCH(B167,Items!$A$2:$A$25,0))</f>
        <v/>
      </c>
      <c r="I167" s="12">
        <f>G167*H167</f>
        <v/>
      </c>
      <c r="J167">
        <f>IF(F167="","",F167-D167)</f>
        <v/>
      </c>
      <c r="K167">
        <f>IF(F167="","Open",IF(F167&lt;=E167,"Yes","No"))</f>
        <v/>
      </c>
      <c r="L167">
        <f>IF(F167="","",MAX(0,F167-E167))</f>
        <v/>
      </c>
      <c r="M167" s="13">
        <f>DATE(YEAR(D167),MONTH(D167),1)</f>
        <v/>
      </c>
    </row>
    <row r="168">
      <c r="A168" t="inlineStr">
        <is>
          <t>PO-24168</t>
        </is>
      </c>
      <c r="B168" t="inlineStr">
        <is>
          <t>RGT-004</t>
        </is>
      </c>
      <c r="C168">
        <f>INDEX(Items!$C$2:$C$25,MATCH(B168,Items!$A$2:$A$25,0))</f>
        <v/>
      </c>
      <c r="D168" s="4" t="n">
        <v>46122</v>
      </c>
      <c r="E168" s="4" t="n">
        <v>46136</v>
      </c>
      <c r="F168" s="4" t="n">
        <v>46133</v>
      </c>
      <c r="G168" t="n">
        <v>2</v>
      </c>
      <c r="H168" s="12">
        <f>INDEX(Items!$D$2:$D$25,MATCH(B168,Items!$A$2:$A$25,0))</f>
        <v/>
      </c>
      <c r="I168" s="12">
        <f>G168*H168</f>
        <v/>
      </c>
      <c r="J168">
        <f>IF(F168="","",F168-D168)</f>
        <v/>
      </c>
      <c r="K168">
        <f>IF(F168="","Open",IF(F168&lt;=E168,"Yes","No"))</f>
        <v/>
      </c>
      <c r="L168">
        <f>IF(F168="","",MAX(0,F168-E168))</f>
        <v/>
      </c>
      <c r="M168" s="13">
        <f>DATE(YEAR(D168),MONTH(D168),1)</f>
        <v/>
      </c>
    </row>
    <row r="169">
      <c r="A169" t="inlineStr">
        <is>
          <t>PO-24169</t>
        </is>
      </c>
      <c r="B169" t="inlineStr">
        <is>
          <t>BIO-002</t>
        </is>
      </c>
      <c r="C169">
        <f>INDEX(Items!$C$2:$C$25,MATCH(B169,Items!$A$2:$A$25,0))</f>
        <v/>
      </c>
      <c r="D169" s="4" t="n">
        <v>46123</v>
      </c>
      <c r="E169" s="4" t="n">
        <v>46141</v>
      </c>
      <c r="F169" s="4" t="n">
        <v>46140</v>
      </c>
      <c r="G169" t="n">
        <v>1</v>
      </c>
      <c r="H169" s="12">
        <f>INDEX(Items!$D$2:$D$25,MATCH(B169,Items!$A$2:$A$25,0))</f>
        <v/>
      </c>
      <c r="I169" s="12">
        <f>G169*H169</f>
        <v/>
      </c>
      <c r="J169">
        <f>IF(F169="","",F169-D169)</f>
        <v/>
      </c>
      <c r="K169">
        <f>IF(F169="","Open",IF(F169&lt;=E169,"Yes","No"))</f>
        <v/>
      </c>
      <c r="L169">
        <f>IF(F169="","",MAX(0,F169-E169))</f>
        <v/>
      </c>
      <c r="M169" s="13">
        <f>DATE(YEAR(D169),MONTH(D169),1)</f>
        <v/>
      </c>
    </row>
    <row r="170">
      <c r="A170" t="inlineStr">
        <is>
          <t>PO-24170</t>
        </is>
      </c>
      <c r="B170" t="inlineStr">
        <is>
          <t>GAS-002</t>
        </is>
      </c>
      <c r="C170">
        <f>INDEX(Items!$C$2:$C$25,MATCH(B170,Items!$A$2:$A$25,0))</f>
        <v/>
      </c>
      <c r="D170" s="4" t="n">
        <v>46124</v>
      </c>
      <c r="E170" s="4" t="n">
        <v>46129</v>
      </c>
      <c r="F170" s="4" t="n">
        <v>46127</v>
      </c>
      <c r="G170" t="n">
        <v>2</v>
      </c>
      <c r="H170" s="12">
        <f>INDEX(Items!$D$2:$D$25,MATCH(B170,Items!$A$2:$A$25,0))</f>
        <v/>
      </c>
      <c r="I170" s="12">
        <f>G170*H170</f>
        <v/>
      </c>
      <c r="J170">
        <f>IF(F170="","",F170-D170)</f>
        <v/>
      </c>
      <c r="K170">
        <f>IF(F170="","Open",IF(F170&lt;=E170,"Yes","No"))</f>
        <v/>
      </c>
      <c r="L170">
        <f>IF(F170="","",MAX(0,F170-E170))</f>
        <v/>
      </c>
      <c r="M170" s="13">
        <f>DATE(YEAR(D170),MONTH(D170),1)</f>
        <v/>
      </c>
    </row>
    <row r="171">
      <c r="A171" t="inlineStr">
        <is>
          <t>PO-24171</t>
        </is>
      </c>
      <c r="B171" t="inlineStr">
        <is>
          <t>CON-002</t>
        </is>
      </c>
      <c r="C171">
        <f>INDEX(Items!$C$2:$C$25,MATCH(B171,Items!$A$2:$A$25,0))</f>
        <v/>
      </c>
      <c r="D171" s="4" t="n">
        <v>46125</v>
      </c>
      <c r="E171" s="4" t="n">
        <v>46132</v>
      </c>
      <c r="F171" s="4" t="n">
        <v>46129</v>
      </c>
      <c r="G171" t="n">
        <v>18</v>
      </c>
      <c r="H171" s="12">
        <f>INDEX(Items!$D$2:$D$25,MATCH(B171,Items!$A$2:$A$25,0))</f>
        <v/>
      </c>
      <c r="I171" s="12">
        <f>G171*H171</f>
        <v/>
      </c>
      <c r="J171">
        <f>IF(F171="","",F171-D171)</f>
        <v/>
      </c>
      <c r="K171">
        <f>IF(F171="","Open",IF(F171&lt;=E171,"Yes","No"))</f>
        <v/>
      </c>
      <c r="L171">
        <f>IF(F171="","",MAX(0,F171-E171))</f>
        <v/>
      </c>
      <c r="M171" s="13">
        <f>DATE(YEAR(D171),MONTH(D171),1)</f>
        <v/>
      </c>
    </row>
    <row r="172">
      <c r="A172" t="inlineStr">
        <is>
          <t>PO-24172</t>
        </is>
      </c>
      <c r="B172" t="inlineStr">
        <is>
          <t>RGT-004</t>
        </is>
      </c>
      <c r="C172">
        <f>INDEX(Items!$C$2:$C$25,MATCH(B172,Items!$A$2:$A$25,0))</f>
        <v/>
      </c>
      <c r="D172" s="4" t="n">
        <v>46125</v>
      </c>
      <c r="E172" s="4" t="n">
        <v>46139</v>
      </c>
      <c r="F172" s="4" t="n">
        <v>46136</v>
      </c>
      <c r="G172" t="n">
        <v>6</v>
      </c>
      <c r="H172" s="12">
        <f>INDEX(Items!$D$2:$D$25,MATCH(B172,Items!$A$2:$A$25,0))</f>
        <v/>
      </c>
      <c r="I172" s="12">
        <f>G172*H172</f>
        <v/>
      </c>
      <c r="J172">
        <f>IF(F172="","",F172-D172)</f>
        <v/>
      </c>
      <c r="K172">
        <f>IF(F172="","Open",IF(F172&lt;=E172,"Yes","No"))</f>
        <v/>
      </c>
      <c r="L172">
        <f>IF(F172="","",MAX(0,F172-E172))</f>
        <v/>
      </c>
      <c r="M172" s="13">
        <f>DATE(YEAR(D172),MONTH(D172),1)</f>
        <v/>
      </c>
    </row>
    <row r="173">
      <c r="A173" t="inlineStr">
        <is>
          <t>PO-24173</t>
        </is>
      </c>
      <c r="B173" t="inlineStr">
        <is>
          <t>STR-002</t>
        </is>
      </c>
      <c r="C173">
        <f>INDEX(Items!$C$2:$C$25,MATCH(B173,Items!$A$2:$A$25,0))</f>
        <v/>
      </c>
      <c r="D173" s="4" t="n">
        <v>46125</v>
      </c>
      <c r="E173" s="4" t="n">
        <v>46137</v>
      </c>
      <c r="F173" s="4" t="n">
        <v>46136</v>
      </c>
      <c r="G173" t="n">
        <v>12</v>
      </c>
      <c r="H173" s="12">
        <f>INDEX(Items!$D$2:$D$25,MATCH(B173,Items!$A$2:$A$25,0))</f>
        <v/>
      </c>
      <c r="I173" s="12">
        <f>G173*H173</f>
        <v/>
      </c>
      <c r="J173">
        <f>IF(F173="","",F173-D173)</f>
        <v/>
      </c>
      <c r="K173">
        <f>IF(F173="","Open",IF(F173&lt;=E173,"Yes","No"))</f>
        <v/>
      </c>
      <c r="L173">
        <f>IF(F173="","",MAX(0,F173-E173))</f>
        <v/>
      </c>
      <c r="M173" s="13">
        <f>DATE(YEAR(D173),MONTH(D173),1)</f>
        <v/>
      </c>
    </row>
    <row r="174">
      <c r="A174" t="inlineStr">
        <is>
          <t>PO-24174</t>
        </is>
      </c>
      <c r="B174" t="inlineStr">
        <is>
          <t>MED-003</t>
        </is>
      </c>
      <c r="C174">
        <f>INDEX(Items!$C$2:$C$25,MATCH(B174,Items!$A$2:$A$25,0))</f>
        <v/>
      </c>
      <c r="D174" s="4" t="n">
        <v>46128</v>
      </c>
      <c r="E174" s="4" t="n">
        <v>46138</v>
      </c>
      <c r="F174" s="4" t="n">
        <v>46135</v>
      </c>
      <c r="G174" t="n">
        <v>30</v>
      </c>
      <c r="H174" s="12">
        <f>INDEX(Items!$D$2:$D$25,MATCH(B174,Items!$A$2:$A$25,0))</f>
        <v/>
      </c>
      <c r="I174" s="12">
        <f>G174*H174</f>
        <v/>
      </c>
      <c r="J174">
        <f>IF(F174="","",F174-D174)</f>
        <v/>
      </c>
      <c r="K174">
        <f>IF(F174="","Open",IF(F174&lt;=E174,"Yes","No"))</f>
        <v/>
      </c>
      <c r="L174">
        <f>IF(F174="","",MAX(0,F174-E174))</f>
        <v/>
      </c>
      <c r="M174" s="13">
        <f>DATE(YEAR(D174),MONTH(D174),1)</f>
        <v/>
      </c>
    </row>
    <row r="175">
      <c r="A175" t="inlineStr">
        <is>
          <t>PO-24175</t>
        </is>
      </c>
      <c r="B175" t="inlineStr">
        <is>
          <t>MED-001</t>
        </is>
      </c>
      <c r="C175">
        <f>INDEX(Items!$C$2:$C$25,MATCH(B175,Items!$A$2:$A$25,0))</f>
        <v/>
      </c>
      <c r="D175" s="4" t="n">
        <v>46130</v>
      </c>
      <c r="E175" s="4" t="n">
        <v>46140</v>
      </c>
      <c r="F175" s="4" t="n">
        <v>46137</v>
      </c>
      <c r="G175" t="n">
        <v>45</v>
      </c>
      <c r="H175" s="12">
        <f>INDEX(Items!$D$2:$D$25,MATCH(B175,Items!$A$2:$A$25,0))</f>
        <v/>
      </c>
      <c r="I175" s="12">
        <f>G175*H175</f>
        <v/>
      </c>
      <c r="J175">
        <f>IF(F175="","",F175-D175)</f>
        <v/>
      </c>
      <c r="K175">
        <f>IF(F175="","Open",IF(F175&lt;=E175,"Yes","No"))</f>
        <v/>
      </c>
      <c r="L175">
        <f>IF(F175="","",MAX(0,F175-E175))</f>
        <v/>
      </c>
      <c r="M175" s="13">
        <f>DATE(YEAR(D175),MONTH(D175),1)</f>
        <v/>
      </c>
    </row>
    <row r="176">
      <c r="A176" t="inlineStr">
        <is>
          <t>PO-24176</t>
        </is>
      </c>
      <c r="B176" t="inlineStr">
        <is>
          <t>BIO-002</t>
        </is>
      </c>
      <c r="C176">
        <f>INDEX(Items!$C$2:$C$25,MATCH(B176,Items!$A$2:$A$25,0))</f>
        <v/>
      </c>
      <c r="D176" s="4" t="n">
        <v>46136</v>
      </c>
      <c r="E176" s="4" t="n">
        <v>46154</v>
      </c>
      <c r="F176" s="4" t="n">
        <v>46154</v>
      </c>
      <c r="G176" t="n">
        <v>4</v>
      </c>
      <c r="H176" s="12">
        <f>INDEX(Items!$D$2:$D$25,MATCH(B176,Items!$A$2:$A$25,0))</f>
        <v/>
      </c>
      <c r="I176" s="12">
        <f>G176*H176</f>
        <v/>
      </c>
      <c r="J176">
        <f>IF(F176="","",F176-D176)</f>
        <v/>
      </c>
      <c r="K176">
        <f>IF(F176="","Open",IF(F176&lt;=E176,"Yes","No"))</f>
        <v/>
      </c>
      <c r="L176">
        <f>IF(F176="","",MAX(0,F176-E176))</f>
        <v/>
      </c>
      <c r="M176" s="13">
        <f>DATE(YEAR(D176),MONTH(D176),1)</f>
        <v/>
      </c>
    </row>
    <row r="177">
      <c r="A177" t="inlineStr">
        <is>
          <t>PO-24177</t>
        </is>
      </c>
      <c r="B177" t="inlineStr">
        <is>
          <t>RGT-002</t>
        </is>
      </c>
      <c r="C177">
        <f>INDEX(Items!$C$2:$C$25,MATCH(B177,Items!$A$2:$A$25,0))</f>
        <v/>
      </c>
      <c r="D177" s="4" t="n">
        <v>46136</v>
      </c>
      <c r="E177" s="4" t="n">
        <v>46150</v>
      </c>
      <c r="F177" s="4" t="n">
        <v>46149</v>
      </c>
      <c r="G177" t="n">
        <v>4</v>
      </c>
      <c r="H177" s="12">
        <f>INDEX(Items!$D$2:$D$25,MATCH(B177,Items!$A$2:$A$25,0))</f>
        <v/>
      </c>
      <c r="I177" s="12">
        <f>G177*H177</f>
        <v/>
      </c>
      <c r="J177">
        <f>IF(F177="","",F177-D177)</f>
        <v/>
      </c>
      <c r="K177">
        <f>IF(F177="","Open",IF(F177&lt;=E177,"Yes","No"))</f>
        <v/>
      </c>
      <c r="L177">
        <f>IF(F177="","",MAX(0,F177-E177))</f>
        <v/>
      </c>
      <c r="M177" s="13">
        <f>DATE(YEAR(D177),MONTH(D177),1)</f>
        <v/>
      </c>
    </row>
    <row r="178">
      <c r="A178" t="inlineStr">
        <is>
          <t>PO-24178</t>
        </is>
      </c>
      <c r="B178" t="inlineStr">
        <is>
          <t>STR-003</t>
        </is>
      </c>
      <c r="C178">
        <f>INDEX(Items!$C$2:$C$25,MATCH(B178,Items!$A$2:$A$25,0))</f>
        <v/>
      </c>
      <c r="D178" s="4" t="n">
        <v>46136</v>
      </c>
      <c r="E178" s="4" t="n">
        <v>46148</v>
      </c>
      <c r="F178" s="4" t="n">
        <v>46148</v>
      </c>
      <c r="G178" t="n">
        <v>8</v>
      </c>
      <c r="H178" s="12">
        <f>INDEX(Items!$D$2:$D$25,MATCH(B178,Items!$A$2:$A$25,0))</f>
        <v/>
      </c>
      <c r="I178" s="12">
        <f>G178*H178</f>
        <v/>
      </c>
      <c r="J178">
        <f>IF(F178="","",F178-D178)</f>
        <v/>
      </c>
      <c r="K178">
        <f>IF(F178="","Open",IF(F178&lt;=E178,"Yes","No"))</f>
        <v/>
      </c>
      <c r="L178">
        <f>IF(F178="","",MAX(0,F178-E178))</f>
        <v/>
      </c>
      <c r="M178" s="13">
        <f>DATE(YEAR(D178),MONTH(D178),1)</f>
        <v/>
      </c>
    </row>
    <row r="179">
      <c r="A179" t="inlineStr">
        <is>
          <t>PO-24179</t>
        </is>
      </c>
      <c r="B179" t="inlineStr">
        <is>
          <t>CAL-002</t>
        </is>
      </c>
      <c r="C179">
        <f>INDEX(Items!$C$2:$C$25,MATCH(B179,Items!$A$2:$A$25,0))</f>
        <v/>
      </c>
      <c r="D179" s="4" t="n">
        <v>46139</v>
      </c>
      <c r="E179" s="4" t="n">
        <v>46160</v>
      </c>
      <c r="F179" s="4" t="n">
        <v>46158</v>
      </c>
      <c r="G179" t="n">
        <v>1</v>
      </c>
      <c r="H179" s="12">
        <f>INDEX(Items!$D$2:$D$25,MATCH(B179,Items!$A$2:$A$25,0))</f>
        <v/>
      </c>
      <c r="I179" s="12">
        <f>G179*H179</f>
        <v/>
      </c>
      <c r="J179">
        <f>IF(F179="","",F179-D179)</f>
        <v/>
      </c>
      <c r="K179">
        <f>IF(F179="","Open",IF(F179&lt;=E179,"Yes","No"))</f>
        <v/>
      </c>
      <c r="L179">
        <f>IF(F179="","",MAX(0,F179-E179))</f>
        <v/>
      </c>
      <c r="M179" s="13">
        <f>DATE(YEAR(D179),MONTH(D179),1)</f>
        <v/>
      </c>
    </row>
    <row r="180">
      <c r="A180" t="inlineStr">
        <is>
          <t>PO-24180</t>
        </is>
      </c>
      <c r="B180" t="inlineStr">
        <is>
          <t>GAS-002</t>
        </is>
      </c>
      <c r="C180">
        <f>INDEX(Items!$C$2:$C$25,MATCH(B180,Items!$A$2:$A$25,0))</f>
        <v/>
      </c>
      <c r="D180" s="4" t="n">
        <v>46139</v>
      </c>
      <c r="E180" s="4" t="n">
        <v>46144</v>
      </c>
      <c r="F180" s="4" t="n">
        <v>46143</v>
      </c>
      <c r="G180" t="n">
        <v>2</v>
      </c>
      <c r="H180" s="12">
        <f>INDEX(Items!$D$2:$D$25,MATCH(B180,Items!$A$2:$A$25,0))</f>
        <v/>
      </c>
      <c r="I180" s="12">
        <f>G180*H180</f>
        <v/>
      </c>
      <c r="J180">
        <f>IF(F180="","",F180-D180)</f>
        <v/>
      </c>
      <c r="K180">
        <f>IF(F180="","Open",IF(F180&lt;=E180,"Yes","No"))</f>
        <v/>
      </c>
      <c r="L180">
        <f>IF(F180="","",MAX(0,F180-E180))</f>
        <v/>
      </c>
      <c r="M180" s="13">
        <f>DATE(YEAR(D180),MONTH(D180),1)</f>
        <v/>
      </c>
    </row>
    <row r="181">
      <c r="A181" t="inlineStr">
        <is>
          <t>PO-24181</t>
        </is>
      </c>
      <c r="B181" t="inlineStr">
        <is>
          <t>STR-003</t>
        </is>
      </c>
      <c r="C181">
        <f>INDEX(Items!$C$2:$C$25,MATCH(B181,Items!$A$2:$A$25,0))</f>
        <v/>
      </c>
      <c r="D181" s="4" t="n">
        <v>46139</v>
      </c>
      <c r="E181" s="4" t="n">
        <v>46151</v>
      </c>
      <c r="F181" s="4" t="n">
        <v>46151</v>
      </c>
      <c r="G181" t="n">
        <v>12</v>
      </c>
      <c r="H181" s="12">
        <f>INDEX(Items!$D$2:$D$25,MATCH(B181,Items!$A$2:$A$25,0))</f>
        <v/>
      </c>
      <c r="I181" s="12">
        <f>G181*H181</f>
        <v/>
      </c>
      <c r="J181">
        <f>IF(F181="","",F181-D181)</f>
        <v/>
      </c>
      <c r="K181">
        <f>IF(F181="","Open",IF(F181&lt;=E181,"Yes","No"))</f>
        <v/>
      </c>
      <c r="L181">
        <f>IF(F181="","",MAX(0,F181-E181))</f>
        <v/>
      </c>
      <c r="M181" s="13">
        <f>DATE(YEAR(D181),MONTH(D181),1)</f>
        <v/>
      </c>
    </row>
    <row r="182">
      <c r="A182" t="inlineStr">
        <is>
          <t>PO-24182</t>
        </is>
      </c>
      <c r="B182" t="inlineStr">
        <is>
          <t>RGT-004</t>
        </is>
      </c>
      <c r="C182">
        <f>INDEX(Items!$C$2:$C$25,MATCH(B182,Items!$A$2:$A$25,0))</f>
        <v/>
      </c>
      <c r="D182" s="4" t="n">
        <v>46143</v>
      </c>
      <c r="E182" s="4" t="n">
        <v>46157</v>
      </c>
      <c r="F182" s="4" t="n">
        <v>46155</v>
      </c>
      <c r="G182" t="n">
        <v>2</v>
      </c>
      <c r="H182" s="12">
        <f>INDEX(Items!$D$2:$D$25,MATCH(B182,Items!$A$2:$A$25,0))</f>
        <v/>
      </c>
      <c r="I182" s="12">
        <f>G182*H182</f>
        <v/>
      </c>
      <c r="J182">
        <f>IF(F182="","",F182-D182)</f>
        <v/>
      </c>
      <c r="K182">
        <f>IF(F182="","Open",IF(F182&lt;=E182,"Yes","No"))</f>
        <v/>
      </c>
      <c r="L182">
        <f>IF(F182="","",MAX(0,F182-E182))</f>
        <v/>
      </c>
      <c r="M182" s="13">
        <f>DATE(YEAR(D182),MONTH(D182),1)</f>
        <v/>
      </c>
    </row>
    <row r="183">
      <c r="A183" t="inlineStr">
        <is>
          <t>PO-24183</t>
        </is>
      </c>
      <c r="B183" t="inlineStr">
        <is>
          <t>STR-002</t>
        </is>
      </c>
      <c r="C183">
        <f>INDEX(Items!$C$2:$C$25,MATCH(B183,Items!$A$2:$A$25,0))</f>
        <v/>
      </c>
      <c r="D183" s="4" t="n">
        <v>46143</v>
      </c>
      <c r="E183" s="4" t="n">
        <v>46155</v>
      </c>
      <c r="F183" s="4" t="n">
        <v>46162</v>
      </c>
      <c r="G183" t="n">
        <v>8</v>
      </c>
      <c r="H183" s="12">
        <f>INDEX(Items!$D$2:$D$25,MATCH(B183,Items!$A$2:$A$25,0))</f>
        <v/>
      </c>
      <c r="I183" s="12">
        <f>G183*H183</f>
        <v/>
      </c>
      <c r="J183">
        <f>IF(F183="","",F183-D183)</f>
        <v/>
      </c>
      <c r="K183">
        <f>IF(F183="","Open",IF(F183&lt;=E183,"Yes","No"))</f>
        <v/>
      </c>
      <c r="L183">
        <f>IF(F183="","",MAX(0,F183-E183))</f>
        <v/>
      </c>
      <c r="M183" s="13">
        <f>DATE(YEAR(D183),MONTH(D183),1)</f>
        <v/>
      </c>
    </row>
    <row r="184">
      <c r="A184" t="inlineStr">
        <is>
          <t>PO-24184</t>
        </is>
      </c>
      <c r="B184" t="inlineStr">
        <is>
          <t>BIO-001</t>
        </is>
      </c>
      <c r="C184">
        <f>INDEX(Items!$C$2:$C$25,MATCH(B184,Items!$A$2:$A$25,0))</f>
        <v/>
      </c>
      <c r="D184" s="4" t="n">
        <v>46144</v>
      </c>
      <c r="E184" s="4" t="n">
        <v>46162</v>
      </c>
      <c r="F184" s="4" t="n">
        <v>46159</v>
      </c>
      <c r="G184" t="n">
        <v>1</v>
      </c>
      <c r="H184" s="12">
        <f>INDEX(Items!$D$2:$D$25,MATCH(B184,Items!$A$2:$A$25,0))</f>
        <v/>
      </c>
      <c r="I184" s="12">
        <f>G184*H184</f>
        <v/>
      </c>
      <c r="J184">
        <f>IF(F184="","",F184-D184)</f>
        <v/>
      </c>
      <c r="K184">
        <f>IF(F184="","Open",IF(F184&lt;=E184,"Yes","No"))</f>
        <v/>
      </c>
      <c r="L184">
        <f>IF(F184="","",MAX(0,F184-E184))</f>
        <v/>
      </c>
      <c r="M184" s="13">
        <f>DATE(YEAR(D184),MONTH(D184),1)</f>
        <v/>
      </c>
    </row>
    <row r="185">
      <c r="A185" t="inlineStr">
        <is>
          <t>PO-24185</t>
        </is>
      </c>
      <c r="B185" t="inlineStr">
        <is>
          <t>MED-003</t>
        </is>
      </c>
      <c r="C185">
        <f>INDEX(Items!$C$2:$C$25,MATCH(B185,Items!$A$2:$A$25,0))</f>
        <v/>
      </c>
      <c r="D185" s="4" t="n">
        <v>46145</v>
      </c>
      <c r="E185" s="4" t="n">
        <v>46155</v>
      </c>
      <c r="F185" s="4" t="n">
        <v>46153</v>
      </c>
      <c r="G185" t="n">
        <v>18</v>
      </c>
      <c r="H185" s="12">
        <f>INDEX(Items!$D$2:$D$25,MATCH(B185,Items!$A$2:$A$25,0))</f>
        <v/>
      </c>
      <c r="I185" s="12">
        <f>G185*H185</f>
        <v/>
      </c>
      <c r="J185">
        <f>IF(F185="","",F185-D185)</f>
        <v/>
      </c>
      <c r="K185">
        <f>IF(F185="","Open",IF(F185&lt;=E185,"Yes","No"))</f>
        <v/>
      </c>
      <c r="L185">
        <f>IF(F185="","",MAX(0,F185-E185))</f>
        <v/>
      </c>
      <c r="M185" s="13">
        <f>DATE(YEAR(D185),MONTH(D185),1)</f>
        <v/>
      </c>
    </row>
    <row r="186">
      <c r="A186" t="inlineStr">
        <is>
          <t>PO-24186</t>
        </is>
      </c>
      <c r="B186" t="inlineStr">
        <is>
          <t>GLS-002</t>
        </is>
      </c>
      <c r="C186">
        <f>INDEX(Items!$C$2:$C$25,MATCH(B186,Items!$A$2:$A$25,0))</f>
        <v/>
      </c>
      <c r="D186" s="4" t="n">
        <v>46146</v>
      </c>
      <c r="E186" s="4" t="n">
        <v>46155</v>
      </c>
      <c r="F186" s="4" t="n">
        <v>46155</v>
      </c>
      <c r="G186" t="n">
        <v>4</v>
      </c>
      <c r="H186" s="12">
        <f>INDEX(Items!$D$2:$D$25,MATCH(B186,Items!$A$2:$A$25,0))</f>
        <v/>
      </c>
      <c r="I186" s="12">
        <f>G186*H186</f>
        <v/>
      </c>
      <c r="J186">
        <f>IF(F186="","",F186-D186)</f>
        <v/>
      </c>
      <c r="K186">
        <f>IF(F186="","Open",IF(F186&lt;=E186,"Yes","No"))</f>
        <v/>
      </c>
      <c r="L186">
        <f>IF(F186="","",MAX(0,F186-E186))</f>
        <v/>
      </c>
      <c r="M186" s="13">
        <f>DATE(YEAR(D186),MONTH(D186),1)</f>
        <v/>
      </c>
    </row>
    <row r="187">
      <c r="A187" t="inlineStr">
        <is>
          <t>PO-24187</t>
        </is>
      </c>
      <c r="B187" t="inlineStr">
        <is>
          <t>GLS-001</t>
        </is>
      </c>
      <c r="C187">
        <f>INDEX(Items!$C$2:$C$25,MATCH(B187,Items!$A$2:$A$25,0))</f>
        <v/>
      </c>
      <c r="D187" s="4" t="n">
        <v>46147</v>
      </c>
      <c r="E187" s="4" t="n">
        <v>46156</v>
      </c>
      <c r="F187" s="4" t="n">
        <v>46155</v>
      </c>
      <c r="G187" t="n">
        <v>2</v>
      </c>
      <c r="H187" s="12">
        <f>INDEX(Items!$D$2:$D$25,MATCH(B187,Items!$A$2:$A$25,0))</f>
        <v/>
      </c>
      <c r="I187" s="12">
        <f>G187*H187</f>
        <v/>
      </c>
      <c r="J187">
        <f>IF(F187="","",F187-D187)</f>
        <v/>
      </c>
      <c r="K187">
        <f>IF(F187="","Open",IF(F187&lt;=E187,"Yes","No"))</f>
        <v/>
      </c>
      <c r="L187">
        <f>IF(F187="","",MAX(0,F187-E187))</f>
        <v/>
      </c>
      <c r="M187" s="13">
        <f>DATE(YEAR(D187),MONTH(D187),1)</f>
        <v/>
      </c>
    </row>
    <row r="188">
      <c r="A188" t="inlineStr">
        <is>
          <t>PO-24188</t>
        </is>
      </c>
      <c r="B188" t="inlineStr">
        <is>
          <t>BIO-002</t>
        </is>
      </c>
      <c r="C188">
        <f>INDEX(Items!$C$2:$C$25,MATCH(B188,Items!$A$2:$A$25,0))</f>
        <v/>
      </c>
      <c r="D188" s="4" t="n">
        <v>46148</v>
      </c>
      <c r="E188" s="4" t="n">
        <v>46166</v>
      </c>
      <c r="F188" s="4" t="n">
        <v>46163</v>
      </c>
      <c r="G188" t="n">
        <v>4</v>
      </c>
      <c r="H188" s="12">
        <f>INDEX(Items!$D$2:$D$25,MATCH(B188,Items!$A$2:$A$25,0))</f>
        <v/>
      </c>
      <c r="I188" s="12">
        <f>G188*H188</f>
        <v/>
      </c>
      <c r="J188">
        <f>IF(F188="","",F188-D188)</f>
        <v/>
      </c>
      <c r="K188">
        <f>IF(F188="","Open",IF(F188&lt;=E188,"Yes","No"))</f>
        <v/>
      </c>
      <c r="L188">
        <f>IF(F188="","",MAX(0,F188-E188))</f>
        <v/>
      </c>
      <c r="M188" s="13">
        <f>DATE(YEAR(D188),MONTH(D188),1)</f>
        <v/>
      </c>
    </row>
    <row r="189">
      <c r="A189" t="inlineStr">
        <is>
          <t>PO-24189</t>
        </is>
      </c>
      <c r="B189" t="inlineStr">
        <is>
          <t>CAL-001</t>
        </is>
      </c>
      <c r="C189">
        <f>INDEX(Items!$C$2:$C$25,MATCH(B189,Items!$A$2:$A$25,0))</f>
        <v/>
      </c>
      <c r="D189" s="4" t="n">
        <v>46150</v>
      </c>
      <c r="E189" s="4" t="n">
        <v>46171</v>
      </c>
      <c r="F189" s="4" t="n">
        <v>46168</v>
      </c>
      <c r="G189" t="n">
        <v>15</v>
      </c>
      <c r="H189" s="12">
        <f>INDEX(Items!$D$2:$D$25,MATCH(B189,Items!$A$2:$A$25,0))</f>
        <v/>
      </c>
      <c r="I189" s="12">
        <f>G189*H189</f>
        <v/>
      </c>
      <c r="J189">
        <f>IF(F189="","",F189-D189)</f>
        <v/>
      </c>
      <c r="K189">
        <f>IF(F189="","Open",IF(F189&lt;=E189,"Yes","No"))</f>
        <v/>
      </c>
      <c r="L189">
        <f>IF(F189="","",MAX(0,F189-E189))</f>
        <v/>
      </c>
      <c r="M189" s="13">
        <f>DATE(YEAR(D189),MONTH(D189),1)</f>
        <v/>
      </c>
    </row>
    <row r="190">
      <c r="A190" t="inlineStr">
        <is>
          <t>PO-24190</t>
        </is>
      </c>
      <c r="B190" t="inlineStr">
        <is>
          <t>CON-003</t>
        </is>
      </c>
      <c r="C190">
        <f>INDEX(Items!$C$2:$C$25,MATCH(B190,Items!$A$2:$A$25,0))</f>
        <v/>
      </c>
      <c r="D190" s="4" t="n">
        <v>46151</v>
      </c>
      <c r="E190" s="4" t="n">
        <v>46158</v>
      </c>
      <c r="F190" s="4" t="n">
        <v>46155</v>
      </c>
      <c r="G190" t="n">
        <v>15</v>
      </c>
      <c r="H190" s="12">
        <f>INDEX(Items!$D$2:$D$25,MATCH(B190,Items!$A$2:$A$25,0))</f>
        <v/>
      </c>
      <c r="I190" s="12">
        <f>G190*H190</f>
        <v/>
      </c>
      <c r="J190">
        <f>IF(F190="","",F190-D190)</f>
        <v/>
      </c>
      <c r="K190">
        <f>IF(F190="","Open",IF(F190&lt;=E190,"Yes","No"))</f>
        <v/>
      </c>
      <c r="L190">
        <f>IF(F190="","",MAX(0,F190-E190))</f>
        <v/>
      </c>
      <c r="M190" s="13">
        <f>DATE(YEAR(D190),MONTH(D190),1)</f>
        <v/>
      </c>
    </row>
    <row r="191">
      <c r="A191" t="inlineStr">
        <is>
          <t>PO-24191</t>
        </is>
      </c>
      <c r="B191" t="inlineStr">
        <is>
          <t>GLS-002</t>
        </is>
      </c>
      <c r="C191">
        <f>INDEX(Items!$C$2:$C$25,MATCH(B191,Items!$A$2:$A$25,0))</f>
        <v/>
      </c>
      <c r="D191" s="4" t="n">
        <v>46151</v>
      </c>
      <c r="E191" s="4" t="n">
        <v>46160</v>
      </c>
      <c r="F191" s="4" t="n">
        <v>46157</v>
      </c>
      <c r="G191" t="n">
        <v>5</v>
      </c>
      <c r="H191" s="12">
        <f>INDEX(Items!$D$2:$D$25,MATCH(B191,Items!$A$2:$A$25,0))</f>
        <v/>
      </c>
      <c r="I191" s="12">
        <f>G191*H191</f>
        <v/>
      </c>
      <c r="J191">
        <f>IF(F191="","",F191-D191)</f>
        <v/>
      </c>
      <c r="K191">
        <f>IF(F191="","Open",IF(F191&lt;=E191,"Yes","No"))</f>
        <v/>
      </c>
      <c r="L191">
        <f>IF(F191="","",MAX(0,F191-E191))</f>
        <v/>
      </c>
      <c r="M191" s="13">
        <f>DATE(YEAR(D191),MONTH(D191),1)</f>
        <v/>
      </c>
    </row>
    <row r="192">
      <c r="A192" t="inlineStr">
        <is>
          <t>PO-24192</t>
        </is>
      </c>
      <c r="B192" t="inlineStr">
        <is>
          <t>MED-002</t>
        </is>
      </c>
      <c r="C192">
        <f>INDEX(Items!$C$2:$C$25,MATCH(B192,Items!$A$2:$A$25,0))</f>
        <v/>
      </c>
      <c r="D192" s="4" t="n">
        <v>46152</v>
      </c>
      <c r="E192" s="4" t="n">
        <v>46162</v>
      </c>
      <c r="F192" s="4" t="n">
        <v>46160</v>
      </c>
      <c r="G192" t="n">
        <v>7</v>
      </c>
      <c r="H192" s="12">
        <f>INDEX(Items!$D$2:$D$25,MATCH(B192,Items!$A$2:$A$25,0))</f>
        <v/>
      </c>
      <c r="I192" s="12">
        <f>G192*H192</f>
        <v/>
      </c>
      <c r="J192">
        <f>IF(F192="","",F192-D192)</f>
        <v/>
      </c>
      <c r="K192">
        <f>IF(F192="","Open",IF(F192&lt;=E192,"Yes","No"))</f>
        <v/>
      </c>
      <c r="L192">
        <f>IF(F192="","",MAX(0,F192-E192))</f>
        <v/>
      </c>
      <c r="M192" s="13">
        <f>DATE(YEAR(D192),MONTH(D192),1)</f>
        <v/>
      </c>
    </row>
    <row r="193">
      <c r="A193" t="inlineStr">
        <is>
          <t>PO-24193</t>
        </is>
      </c>
      <c r="B193" t="inlineStr">
        <is>
          <t>MED-004</t>
        </is>
      </c>
      <c r="C193">
        <f>INDEX(Items!$C$2:$C$25,MATCH(B193,Items!$A$2:$A$25,0))</f>
        <v/>
      </c>
      <c r="D193" s="4" t="n">
        <v>46152</v>
      </c>
      <c r="E193" s="4" t="n">
        <v>46162</v>
      </c>
      <c r="F193" s="4" t="n">
        <v>46159</v>
      </c>
      <c r="G193" t="n">
        <v>60</v>
      </c>
      <c r="H193" s="12">
        <f>INDEX(Items!$D$2:$D$25,MATCH(B193,Items!$A$2:$A$25,0))</f>
        <v/>
      </c>
      <c r="I193" s="12">
        <f>G193*H193</f>
        <v/>
      </c>
      <c r="J193">
        <f>IF(F193="","",F193-D193)</f>
        <v/>
      </c>
      <c r="K193">
        <f>IF(F193="","Open",IF(F193&lt;=E193,"Yes","No"))</f>
        <v/>
      </c>
      <c r="L193">
        <f>IF(F193="","",MAX(0,F193-E193))</f>
        <v/>
      </c>
      <c r="M193" s="13">
        <f>DATE(YEAR(D193),MONTH(D193),1)</f>
        <v/>
      </c>
    </row>
    <row r="194">
      <c r="A194" t="inlineStr">
        <is>
          <t>PO-24194</t>
        </is>
      </c>
      <c r="B194" t="inlineStr">
        <is>
          <t>MED-005</t>
        </is>
      </c>
      <c r="C194">
        <f>INDEX(Items!$C$2:$C$25,MATCH(B194,Items!$A$2:$A$25,0))</f>
        <v/>
      </c>
      <c r="D194" s="4" t="n">
        <v>46153</v>
      </c>
      <c r="E194" s="4" t="n">
        <v>46163</v>
      </c>
      <c r="F194" s="4" t="n">
        <v>46161</v>
      </c>
      <c r="G194" t="n">
        <v>25</v>
      </c>
      <c r="H194" s="12">
        <f>INDEX(Items!$D$2:$D$25,MATCH(B194,Items!$A$2:$A$25,0))</f>
        <v/>
      </c>
      <c r="I194" s="12">
        <f>G194*H194</f>
        <v/>
      </c>
      <c r="J194">
        <f>IF(F194="","",F194-D194)</f>
        <v/>
      </c>
      <c r="K194">
        <f>IF(F194="","Open",IF(F194&lt;=E194,"Yes","No"))</f>
        <v/>
      </c>
      <c r="L194">
        <f>IF(F194="","",MAX(0,F194-E194))</f>
        <v/>
      </c>
      <c r="M194" s="13">
        <f>DATE(YEAR(D194),MONTH(D194),1)</f>
        <v/>
      </c>
    </row>
    <row r="195">
      <c r="A195" t="inlineStr">
        <is>
          <t>PO-24195</t>
        </is>
      </c>
      <c r="B195" t="inlineStr">
        <is>
          <t>CAL-001</t>
        </is>
      </c>
      <c r="C195">
        <f>INDEX(Items!$C$2:$C$25,MATCH(B195,Items!$A$2:$A$25,0))</f>
        <v/>
      </c>
      <c r="D195" s="4" t="n">
        <v>46154</v>
      </c>
      <c r="E195" s="4" t="n">
        <v>46175</v>
      </c>
      <c r="F195" s="4" t="n">
        <v>46172</v>
      </c>
      <c r="G195" t="n">
        <v>5</v>
      </c>
      <c r="H195" s="12">
        <f>INDEX(Items!$D$2:$D$25,MATCH(B195,Items!$A$2:$A$25,0))</f>
        <v/>
      </c>
      <c r="I195" s="12">
        <f>G195*H195</f>
        <v/>
      </c>
      <c r="J195">
        <f>IF(F195="","",F195-D195)</f>
        <v/>
      </c>
      <c r="K195">
        <f>IF(F195="","Open",IF(F195&lt;=E195,"Yes","No"))</f>
        <v/>
      </c>
      <c r="L195">
        <f>IF(F195="","",MAX(0,F195-E195))</f>
        <v/>
      </c>
      <c r="M195" s="13">
        <f>DATE(YEAR(D195),MONTH(D195),1)</f>
        <v/>
      </c>
    </row>
    <row r="196">
      <c r="A196" t="inlineStr">
        <is>
          <t>PO-24196</t>
        </is>
      </c>
      <c r="B196" t="inlineStr">
        <is>
          <t>MED-002</t>
        </is>
      </c>
      <c r="C196">
        <f>INDEX(Items!$C$2:$C$25,MATCH(B196,Items!$A$2:$A$25,0))</f>
        <v/>
      </c>
      <c r="D196" s="4" t="n">
        <v>46154</v>
      </c>
      <c r="E196" s="4" t="n">
        <v>46164</v>
      </c>
      <c r="F196" s="4" t="n">
        <v>46173</v>
      </c>
      <c r="G196" t="n">
        <v>42</v>
      </c>
      <c r="H196" s="12">
        <f>INDEX(Items!$D$2:$D$25,MATCH(B196,Items!$A$2:$A$25,0))</f>
        <v/>
      </c>
      <c r="I196" s="12">
        <f>G196*H196</f>
        <v/>
      </c>
      <c r="J196">
        <f>IF(F196="","",F196-D196)</f>
        <v/>
      </c>
      <c r="K196">
        <f>IF(F196="","Open",IF(F196&lt;=E196,"Yes","No"))</f>
        <v/>
      </c>
      <c r="L196">
        <f>IF(F196="","",MAX(0,F196-E196))</f>
        <v/>
      </c>
      <c r="M196" s="13">
        <f>DATE(YEAR(D196),MONTH(D196),1)</f>
        <v/>
      </c>
    </row>
    <row r="197">
      <c r="A197" t="inlineStr">
        <is>
          <t>PO-24197</t>
        </is>
      </c>
      <c r="B197" t="inlineStr">
        <is>
          <t>GLS-001</t>
        </is>
      </c>
      <c r="C197">
        <f>INDEX(Items!$C$2:$C$25,MATCH(B197,Items!$A$2:$A$25,0))</f>
        <v/>
      </c>
      <c r="D197" s="4" t="n">
        <v>46155</v>
      </c>
      <c r="E197" s="4" t="n">
        <v>46164</v>
      </c>
      <c r="F197" s="4" t="n">
        <v>46163</v>
      </c>
      <c r="G197" t="n">
        <v>3</v>
      </c>
      <c r="H197" s="12">
        <f>INDEX(Items!$D$2:$D$25,MATCH(B197,Items!$A$2:$A$25,0))</f>
        <v/>
      </c>
      <c r="I197" s="12">
        <f>G197*H197</f>
        <v/>
      </c>
      <c r="J197">
        <f>IF(F197="","",F197-D197)</f>
        <v/>
      </c>
      <c r="K197">
        <f>IF(F197="","Open",IF(F197&lt;=E197,"Yes","No"))</f>
        <v/>
      </c>
      <c r="L197">
        <f>IF(F197="","",MAX(0,F197-E197))</f>
        <v/>
      </c>
      <c r="M197" s="13">
        <f>DATE(YEAR(D197),MONTH(D197),1)</f>
        <v/>
      </c>
    </row>
    <row r="198">
      <c r="A198" t="inlineStr">
        <is>
          <t>PO-24198</t>
        </is>
      </c>
      <c r="B198" t="inlineStr">
        <is>
          <t>STR-003</t>
        </is>
      </c>
      <c r="C198">
        <f>INDEX(Items!$C$2:$C$25,MATCH(B198,Items!$A$2:$A$25,0))</f>
        <v/>
      </c>
      <c r="D198" s="4" t="n">
        <v>46156</v>
      </c>
      <c r="E198" s="4" t="n">
        <v>46168</v>
      </c>
      <c r="F198" s="4" t="n">
        <v>46168</v>
      </c>
      <c r="G198" t="n">
        <v>6</v>
      </c>
      <c r="H198" s="12">
        <f>INDEX(Items!$D$2:$D$25,MATCH(B198,Items!$A$2:$A$25,0))</f>
        <v/>
      </c>
      <c r="I198" s="12">
        <f>G198*H198</f>
        <v/>
      </c>
      <c r="J198">
        <f>IF(F198="","",F198-D198)</f>
        <v/>
      </c>
      <c r="K198">
        <f>IF(F198="","Open",IF(F198&lt;=E198,"Yes","No"))</f>
        <v/>
      </c>
      <c r="L198">
        <f>IF(F198="","",MAX(0,F198-E198))</f>
        <v/>
      </c>
      <c r="M198" s="13">
        <f>DATE(YEAR(D198),MONTH(D198),1)</f>
        <v/>
      </c>
    </row>
    <row r="199">
      <c r="A199" t="inlineStr">
        <is>
          <t>PO-24199</t>
        </is>
      </c>
      <c r="B199" t="inlineStr">
        <is>
          <t>GLS-002</t>
        </is>
      </c>
      <c r="C199">
        <f>INDEX(Items!$C$2:$C$25,MATCH(B199,Items!$A$2:$A$25,0))</f>
        <v/>
      </c>
      <c r="D199" s="4" t="n">
        <v>46157</v>
      </c>
      <c r="E199" s="4" t="n">
        <v>46166</v>
      </c>
      <c r="F199" s="4" t="n">
        <v>46163</v>
      </c>
      <c r="G199" t="n">
        <v>5</v>
      </c>
      <c r="H199" s="12">
        <f>INDEX(Items!$D$2:$D$25,MATCH(B199,Items!$A$2:$A$25,0))</f>
        <v/>
      </c>
      <c r="I199" s="12">
        <f>G199*H199</f>
        <v/>
      </c>
      <c r="J199">
        <f>IF(F199="","",F199-D199)</f>
        <v/>
      </c>
      <c r="K199">
        <f>IF(F199="","Open",IF(F199&lt;=E199,"Yes","No"))</f>
        <v/>
      </c>
      <c r="L199">
        <f>IF(F199="","",MAX(0,F199-E199))</f>
        <v/>
      </c>
      <c r="M199" s="13">
        <f>DATE(YEAR(D199),MONTH(D199),1)</f>
        <v/>
      </c>
    </row>
    <row r="200">
      <c r="A200" t="inlineStr">
        <is>
          <t>PO-24200</t>
        </is>
      </c>
      <c r="B200" t="inlineStr">
        <is>
          <t>STR-002</t>
        </is>
      </c>
      <c r="C200">
        <f>INDEX(Items!$C$2:$C$25,MATCH(B200,Items!$A$2:$A$25,0))</f>
        <v/>
      </c>
      <c r="D200" s="4" t="n">
        <v>46157</v>
      </c>
      <c r="E200" s="4" t="n">
        <v>46169</v>
      </c>
      <c r="F200" s="4" t="n">
        <v>46166</v>
      </c>
      <c r="G200" t="n">
        <v>12</v>
      </c>
      <c r="H200" s="12">
        <f>INDEX(Items!$D$2:$D$25,MATCH(B200,Items!$A$2:$A$25,0))</f>
        <v/>
      </c>
      <c r="I200" s="12">
        <f>G200*H200</f>
        <v/>
      </c>
      <c r="J200">
        <f>IF(F200="","",F200-D200)</f>
        <v/>
      </c>
      <c r="K200">
        <f>IF(F200="","Open",IF(F200&lt;=E200,"Yes","No"))</f>
        <v/>
      </c>
      <c r="L200">
        <f>IF(F200="","",MAX(0,F200-E200))</f>
        <v/>
      </c>
      <c r="M200" s="13">
        <f>DATE(YEAR(D200),MONTH(D200),1)</f>
        <v/>
      </c>
    </row>
    <row r="201">
      <c r="A201" t="inlineStr">
        <is>
          <t>PO-24201</t>
        </is>
      </c>
      <c r="B201" t="inlineStr">
        <is>
          <t>GLS-001</t>
        </is>
      </c>
      <c r="C201">
        <f>INDEX(Items!$C$2:$C$25,MATCH(B201,Items!$A$2:$A$25,0))</f>
        <v/>
      </c>
      <c r="D201" s="4" t="n">
        <v>46158</v>
      </c>
      <c r="E201" s="4" t="n">
        <v>46167</v>
      </c>
      <c r="F201" s="4" t="n">
        <v>46169</v>
      </c>
      <c r="G201" t="n">
        <v>3</v>
      </c>
      <c r="H201" s="12">
        <f>INDEX(Items!$D$2:$D$25,MATCH(B201,Items!$A$2:$A$25,0))</f>
        <v/>
      </c>
      <c r="I201" s="12">
        <f>G201*H201</f>
        <v/>
      </c>
      <c r="J201">
        <f>IF(F201="","",F201-D201)</f>
        <v/>
      </c>
      <c r="K201">
        <f>IF(F201="","Open",IF(F201&lt;=E201,"Yes","No"))</f>
        <v/>
      </c>
      <c r="L201">
        <f>IF(F201="","",MAX(0,F201-E201))</f>
        <v/>
      </c>
      <c r="M201" s="13">
        <f>DATE(YEAR(D201),MONTH(D201),1)</f>
        <v/>
      </c>
    </row>
    <row r="202">
      <c r="A202" t="inlineStr">
        <is>
          <t>PO-24202</t>
        </is>
      </c>
      <c r="B202" t="inlineStr">
        <is>
          <t>CON-004</t>
        </is>
      </c>
      <c r="C202">
        <f>INDEX(Items!$C$2:$C$25,MATCH(B202,Items!$A$2:$A$25,0))</f>
        <v/>
      </c>
      <c r="D202" s="4" t="n">
        <v>46161</v>
      </c>
      <c r="E202" s="4" t="n">
        <v>46168</v>
      </c>
      <c r="F202" s="4" t="n">
        <v>46166</v>
      </c>
      <c r="G202" t="n">
        <v>10</v>
      </c>
      <c r="H202" s="12">
        <f>INDEX(Items!$D$2:$D$25,MATCH(B202,Items!$A$2:$A$25,0))</f>
        <v/>
      </c>
      <c r="I202" s="12">
        <f>G202*H202</f>
        <v/>
      </c>
      <c r="J202">
        <f>IF(F202="","",F202-D202)</f>
        <v/>
      </c>
      <c r="K202">
        <f>IF(F202="","Open",IF(F202&lt;=E202,"Yes","No"))</f>
        <v/>
      </c>
      <c r="L202">
        <f>IF(F202="","",MAX(0,F202-E202))</f>
        <v/>
      </c>
      <c r="M202" s="13">
        <f>DATE(YEAR(D202),MONTH(D202),1)</f>
        <v/>
      </c>
    </row>
    <row r="203">
      <c r="A203" t="inlineStr">
        <is>
          <t>PO-24203</t>
        </is>
      </c>
      <c r="B203" t="inlineStr">
        <is>
          <t>GLS-001</t>
        </is>
      </c>
      <c r="C203">
        <f>INDEX(Items!$C$2:$C$25,MATCH(B203,Items!$A$2:$A$25,0))</f>
        <v/>
      </c>
      <c r="D203" s="4" t="n">
        <v>46163</v>
      </c>
      <c r="E203" s="4" t="n">
        <v>46172</v>
      </c>
      <c r="F203" s="4" t="n">
        <v>46170</v>
      </c>
      <c r="G203" t="n">
        <v>2</v>
      </c>
      <c r="H203" s="12">
        <f>INDEX(Items!$D$2:$D$25,MATCH(B203,Items!$A$2:$A$25,0))</f>
        <v/>
      </c>
      <c r="I203" s="12">
        <f>G203*H203</f>
        <v/>
      </c>
      <c r="J203">
        <f>IF(F203="","",F203-D203)</f>
        <v/>
      </c>
      <c r="K203">
        <f>IF(F203="","Open",IF(F203&lt;=E203,"Yes","No"))</f>
        <v/>
      </c>
      <c r="L203">
        <f>IF(F203="","",MAX(0,F203-E203))</f>
        <v/>
      </c>
      <c r="M203" s="13">
        <f>DATE(YEAR(D203),MONTH(D203),1)</f>
        <v/>
      </c>
    </row>
    <row r="204">
      <c r="A204" t="inlineStr">
        <is>
          <t>PO-24204</t>
        </is>
      </c>
      <c r="B204" t="inlineStr">
        <is>
          <t>MED-004</t>
        </is>
      </c>
      <c r="C204">
        <f>INDEX(Items!$C$2:$C$25,MATCH(B204,Items!$A$2:$A$25,0))</f>
        <v/>
      </c>
      <c r="D204" s="4" t="n">
        <v>46163</v>
      </c>
      <c r="E204" s="4" t="n">
        <v>46173</v>
      </c>
      <c r="F204" s="4" t="n">
        <v>46172</v>
      </c>
      <c r="G204" t="n">
        <v>60</v>
      </c>
      <c r="H204" s="12">
        <f>INDEX(Items!$D$2:$D$25,MATCH(B204,Items!$A$2:$A$25,0))</f>
        <v/>
      </c>
      <c r="I204" s="12">
        <f>G204*H204</f>
        <v/>
      </c>
      <c r="J204">
        <f>IF(F204="","",F204-D204)</f>
        <v/>
      </c>
      <c r="K204">
        <f>IF(F204="","Open",IF(F204&lt;=E204,"Yes","No"))</f>
        <v/>
      </c>
      <c r="L204">
        <f>IF(F204="","",MAX(0,F204-E204))</f>
        <v/>
      </c>
      <c r="M204" s="13">
        <f>DATE(YEAR(D204),MONTH(D204),1)</f>
        <v/>
      </c>
    </row>
    <row r="205">
      <c r="A205" t="inlineStr">
        <is>
          <t>PO-24205</t>
        </is>
      </c>
      <c r="B205" t="inlineStr">
        <is>
          <t>RGT-004</t>
        </is>
      </c>
      <c r="C205">
        <f>INDEX(Items!$C$2:$C$25,MATCH(B205,Items!$A$2:$A$25,0))</f>
        <v/>
      </c>
      <c r="D205" s="4" t="n">
        <v>46164</v>
      </c>
      <c r="E205" s="4" t="n">
        <v>46178</v>
      </c>
      <c r="F205" s="4" t="n">
        <v>46177</v>
      </c>
      <c r="G205" t="n">
        <v>8</v>
      </c>
      <c r="H205" s="12">
        <f>INDEX(Items!$D$2:$D$25,MATCH(B205,Items!$A$2:$A$25,0))</f>
        <v/>
      </c>
      <c r="I205" s="12">
        <f>G205*H205</f>
        <v/>
      </c>
      <c r="J205">
        <f>IF(F205="","",F205-D205)</f>
        <v/>
      </c>
      <c r="K205">
        <f>IF(F205="","Open",IF(F205&lt;=E205,"Yes","No"))</f>
        <v/>
      </c>
      <c r="L205">
        <f>IF(F205="","",MAX(0,F205-E205))</f>
        <v/>
      </c>
      <c r="M205" s="13">
        <f>DATE(YEAR(D205),MONTH(D205),1)</f>
        <v/>
      </c>
    </row>
    <row r="206">
      <c r="A206" t="inlineStr">
        <is>
          <t>PO-24206</t>
        </is>
      </c>
      <c r="B206" t="inlineStr">
        <is>
          <t>MED-005</t>
        </is>
      </c>
      <c r="C206">
        <f>INDEX(Items!$C$2:$C$25,MATCH(B206,Items!$A$2:$A$25,0))</f>
        <v/>
      </c>
      <c r="D206" s="4" t="n">
        <v>46168</v>
      </c>
      <c r="E206" s="4" t="n">
        <v>46178</v>
      </c>
      <c r="F206" s="4" t="n">
        <v>46176</v>
      </c>
      <c r="G206" t="n">
        <v>20</v>
      </c>
      <c r="H206" s="12">
        <f>INDEX(Items!$D$2:$D$25,MATCH(B206,Items!$A$2:$A$25,0))</f>
        <v/>
      </c>
      <c r="I206" s="12">
        <f>G206*H206</f>
        <v/>
      </c>
      <c r="J206">
        <f>IF(F206="","",F206-D206)</f>
        <v/>
      </c>
      <c r="K206">
        <f>IF(F206="","Open",IF(F206&lt;=E206,"Yes","No"))</f>
        <v/>
      </c>
      <c r="L206">
        <f>IF(F206="","",MAX(0,F206-E206))</f>
        <v/>
      </c>
      <c r="M206" s="13">
        <f>DATE(YEAR(D206),MONTH(D206),1)</f>
        <v/>
      </c>
    </row>
    <row r="207">
      <c r="A207" t="inlineStr">
        <is>
          <t>PO-24207</t>
        </is>
      </c>
      <c r="B207" t="inlineStr">
        <is>
          <t>RGT-001</t>
        </is>
      </c>
      <c r="C207">
        <f>INDEX(Items!$C$2:$C$25,MATCH(B207,Items!$A$2:$A$25,0))</f>
        <v/>
      </c>
      <c r="D207" s="4" t="n">
        <v>46170</v>
      </c>
      <c r="E207" s="4" t="n">
        <v>46184</v>
      </c>
      <c r="F207" s="4" t="n">
        <v>46184</v>
      </c>
      <c r="G207" t="n">
        <v>4</v>
      </c>
      <c r="H207" s="12">
        <f>INDEX(Items!$D$2:$D$25,MATCH(B207,Items!$A$2:$A$25,0))</f>
        <v/>
      </c>
      <c r="I207" s="12">
        <f>G207*H207</f>
        <v/>
      </c>
      <c r="J207">
        <f>IF(F207="","",F207-D207)</f>
        <v/>
      </c>
      <c r="K207">
        <f>IF(F207="","Open",IF(F207&lt;=E207,"Yes","No"))</f>
        <v/>
      </c>
      <c r="L207">
        <f>IF(F207="","",MAX(0,F207-E207))</f>
        <v/>
      </c>
      <c r="M207" s="13">
        <f>DATE(YEAR(D207),MONTH(D207),1)</f>
        <v/>
      </c>
    </row>
    <row r="208">
      <c r="A208" t="inlineStr">
        <is>
          <t>PO-24208</t>
        </is>
      </c>
      <c r="B208" t="inlineStr">
        <is>
          <t>MED-002</t>
        </is>
      </c>
      <c r="C208">
        <f>INDEX(Items!$C$2:$C$25,MATCH(B208,Items!$A$2:$A$25,0))</f>
        <v/>
      </c>
      <c r="D208" s="4" t="n">
        <v>46171</v>
      </c>
      <c r="E208" s="4" t="n">
        <v>46181</v>
      </c>
      <c r="F208" s="4" t="n">
        <v>46178</v>
      </c>
      <c r="G208" t="n">
        <v>21</v>
      </c>
      <c r="H208" s="12">
        <f>INDEX(Items!$D$2:$D$25,MATCH(B208,Items!$A$2:$A$25,0))</f>
        <v/>
      </c>
      <c r="I208" s="12">
        <f>G208*H208</f>
        <v/>
      </c>
      <c r="J208">
        <f>IF(F208="","",F208-D208)</f>
        <v/>
      </c>
      <c r="K208">
        <f>IF(F208="","Open",IF(F208&lt;=E208,"Yes","No"))</f>
        <v/>
      </c>
      <c r="L208">
        <f>IF(F208="","",MAX(0,F208-E208))</f>
        <v/>
      </c>
      <c r="M208" s="13">
        <f>DATE(YEAR(D208),MONTH(D208),1)</f>
        <v/>
      </c>
    </row>
    <row r="209">
      <c r="A209" t="inlineStr">
        <is>
          <t>PO-24209</t>
        </is>
      </c>
      <c r="B209" t="inlineStr">
        <is>
          <t>MED-003</t>
        </is>
      </c>
      <c r="C209">
        <f>INDEX(Items!$C$2:$C$25,MATCH(B209,Items!$A$2:$A$25,0))</f>
        <v/>
      </c>
      <c r="D209" s="4" t="n">
        <v>46171</v>
      </c>
      <c r="E209" s="4" t="n">
        <v>46181</v>
      </c>
      <c r="F209" s="4" t="n">
        <v>46190</v>
      </c>
      <c r="G209" t="n">
        <v>6</v>
      </c>
      <c r="H209" s="12">
        <f>INDEX(Items!$D$2:$D$25,MATCH(B209,Items!$A$2:$A$25,0))</f>
        <v/>
      </c>
      <c r="I209" s="12">
        <f>G209*H209</f>
        <v/>
      </c>
      <c r="J209">
        <f>IF(F209="","",F209-D209)</f>
        <v/>
      </c>
      <c r="K209">
        <f>IF(F209="","Open",IF(F209&lt;=E209,"Yes","No"))</f>
        <v/>
      </c>
      <c r="L209">
        <f>IF(F209="","",MAX(0,F209-E209))</f>
        <v/>
      </c>
      <c r="M209" s="13">
        <f>DATE(YEAR(D209),MONTH(D209),1)</f>
        <v/>
      </c>
    </row>
    <row r="210">
      <c r="A210" t="inlineStr">
        <is>
          <t>PO-24210</t>
        </is>
      </c>
      <c r="B210" t="inlineStr">
        <is>
          <t>RGT-003</t>
        </is>
      </c>
      <c r="C210">
        <f>INDEX(Items!$C$2:$C$25,MATCH(B210,Items!$A$2:$A$25,0))</f>
        <v/>
      </c>
      <c r="D210" s="4" t="n">
        <v>46172</v>
      </c>
      <c r="E210" s="4" t="n">
        <v>46186</v>
      </c>
      <c r="F210" s="4" t="n">
        <v>46195</v>
      </c>
      <c r="G210" t="n">
        <v>6</v>
      </c>
      <c r="H210" s="12">
        <f>INDEX(Items!$D$2:$D$25,MATCH(B210,Items!$A$2:$A$25,0))</f>
        <v/>
      </c>
      <c r="I210" s="12">
        <f>G210*H210</f>
        <v/>
      </c>
      <c r="J210">
        <f>IF(F210="","",F210-D210)</f>
        <v/>
      </c>
      <c r="K210">
        <f>IF(F210="","Open",IF(F210&lt;=E210,"Yes","No"))</f>
        <v/>
      </c>
      <c r="L210">
        <f>IF(F210="","",MAX(0,F210-E210))</f>
        <v/>
      </c>
      <c r="M210" s="13">
        <f>DATE(YEAR(D210),MONTH(D210),1)</f>
        <v/>
      </c>
    </row>
    <row r="211">
      <c r="A211" t="inlineStr">
        <is>
          <t>PO-24211</t>
        </is>
      </c>
      <c r="B211" t="inlineStr">
        <is>
          <t>STR-003</t>
        </is>
      </c>
      <c r="C211">
        <f>INDEX(Items!$C$2:$C$25,MATCH(B211,Items!$A$2:$A$25,0))</f>
        <v/>
      </c>
      <c r="D211" s="4" t="n">
        <v>46172</v>
      </c>
      <c r="E211" s="4" t="n">
        <v>46184</v>
      </c>
      <c r="F211" s="4" t="n">
        <v>46183</v>
      </c>
      <c r="G211" t="n">
        <v>8</v>
      </c>
      <c r="H211" s="12">
        <f>INDEX(Items!$D$2:$D$25,MATCH(B211,Items!$A$2:$A$25,0))</f>
        <v/>
      </c>
      <c r="I211" s="12">
        <f>G211*H211</f>
        <v/>
      </c>
      <c r="J211">
        <f>IF(F211="","",F211-D211)</f>
        <v/>
      </c>
      <c r="K211">
        <f>IF(F211="","Open",IF(F211&lt;=E211,"Yes","No"))</f>
        <v/>
      </c>
      <c r="L211">
        <f>IF(F211="","",MAX(0,F211-E211))</f>
        <v/>
      </c>
      <c r="M211" s="13">
        <f>DATE(YEAR(D211),MONTH(D211),1)</f>
        <v/>
      </c>
    </row>
    <row r="212">
      <c r="A212" t="inlineStr">
        <is>
          <t>PO-24212</t>
        </is>
      </c>
      <c r="B212" t="inlineStr">
        <is>
          <t>MED-005</t>
        </is>
      </c>
      <c r="C212">
        <f>INDEX(Items!$C$2:$C$25,MATCH(B212,Items!$A$2:$A$25,0))</f>
        <v/>
      </c>
      <c r="D212" s="4" t="n">
        <v>46173</v>
      </c>
      <c r="E212" s="4" t="n">
        <v>46183</v>
      </c>
      <c r="F212" s="4" t="n">
        <v>46182</v>
      </c>
      <c r="G212" t="n">
        <v>20</v>
      </c>
      <c r="H212" s="12">
        <f>INDEX(Items!$D$2:$D$25,MATCH(B212,Items!$A$2:$A$25,0))</f>
        <v/>
      </c>
      <c r="I212" s="12">
        <f>G212*H212</f>
        <v/>
      </c>
      <c r="J212">
        <f>IF(F212="","",F212-D212)</f>
        <v/>
      </c>
      <c r="K212">
        <f>IF(F212="","Open",IF(F212&lt;=E212,"Yes","No"))</f>
        <v/>
      </c>
      <c r="L212">
        <f>IF(F212="","",MAX(0,F212-E212))</f>
        <v/>
      </c>
      <c r="M212" s="13">
        <f>DATE(YEAR(D212),MONTH(D212),1)</f>
        <v/>
      </c>
    </row>
    <row r="213">
      <c r="A213" t="inlineStr">
        <is>
          <t>PO-24213</t>
        </is>
      </c>
      <c r="B213" t="inlineStr">
        <is>
          <t>BIO-002</t>
        </is>
      </c>
      <c r="C213">
        <f>INDEX(Items!$C$2:$C$25,MATCH(B213,Items!$A$2:$A$25,0))</f>
        <v/>
      </c>
      <c r="D213" s="4" t="n">
        <v>46174</v>
      </c>
      <c r="E213" s="4" t="n">
        <v>46192</v>
      </c>
      <c r="F213" s="4" t="n">
        <v>46191</v>
      </c>
      <c r="G213" t="n">
        <v>3</v>
      </c>
      <c r="H213" s="12">
        <f>INDEX(Items!$D$2:$D$25,MATCH(B213,Items!$A$2:$A$25,0))</f>
        <v/>
      </c>
      <c r="I213" s="12">
        <f>G213*H213</f>
        <v/>
      </c>
      <c r="J213">
        <f>IF(F213="","",F213-D213)</f>
        <v/>
      </c>
      <c r="K213">
        <f>IF(F213="","Open",IF(F213&lt;=E213,"Yes","No"))</f>
        <v/>
      </c>
      <c r="L213">
        <f>IF(F213="","",MAX(0,F213-E213))</f>
        <v/>
      </c>
      <c r="M213" s="13">
        <f>DATE(YEAR(D213),MONTH(D213),1)</f>
        <v/>
      </c>
    </row>
    <row r="214">
      <c r="A214" t="inlineStr">
        <is>
          <t>PO-24214</t>
        </is>
      </c>
      <c r="B214" t="inlineStr">
        <is>
          <t>GLS-002</t>
        </is>
      </c>
      <c r="C214">
        <f>INDEX(Items!$C$2:$C$25,MATCH(B214,Items!$A$2:$A$25,0))</f>
        <v/>
      </c>
      <c r="D214" s="4" t="n">
        <v>46174</v>
      </c>
      <c r="E214" s="4" t="n">
        <v>46183</v>
      </c>
      <c r="F214" s="4" t="n">
        <v>46182</v>
      </c>
      <c r="G214" t="n">
        <v>6</v>
      </c>
      <c r="H214" s="12">
        <f>INDEX(Items!$D$2:$D$25,MATCH(B214,Items!$A$2:$A$25,0))</f>
        <v/>
      </c>
      <c r="I214" s="12">
        <f>G214*H214</f>
        <v/>
      </c>
      <c r="J214">
        <f>IF(F214="","",F214-D214)</f>
        <v/>
      </c>
      <c r="K214">
        <f>IF(F214="","Open",IF(F214&lt;=E214,"Yes","No"))</f>
        <v/>
      </c>
      <c r="L214">
        <f>IF(F214="","",MAX(0,F214-E214))</f>
        <v/>
      </c>
      <c r="M214" s="13">
        <f>DATE(YEAR(D214),MONTH(D214),1)</f>
        <v/>
      </c>
    </row>
    <row r="215">
      <c r="A215" t="inlineStr">
        <is>
          <t>PO-24215</t>
        </is>
      </c>
      <c r="B215" t="inlineStr">
        <is>
          <t>GAS-002</t>
        </is>
      </c>
      <c r="C215">
        <f>INDEX(Items!$C$2:$C$25,MATCH(B215,Items!$A$2:$A$25,0))</f>
        <v/>
      </c>
      <c r="D215" s="4" t="n">
        <v>46178</v>
      </c>
      <c r="E215" s="4" t="n">
        <v>46183</v>
      </c>
      <c r="F215" s="4" t="n">
        <v>46181</v>
      </c>
      <c r="G215" t="n">
        <v>3</v>
      </c>
      <c r="H215" s="12">
        <f>INDEX(Items!$D$2:$D$25,MATCH(B215,Items!$A$2:$A$25,0))</f>
        <v/>
      </c>
      <c r="I215" s="12">
        <f>G215*H215</f>
        <v/>
      </c>
      <c r="J215">
        <f>IF(F215="","",F215-D215)</f>
        <v/>
      </c>
      <c r="K215">
        <f>IF(F215="","Open",IF(F215&lt;=E215,"Yes","No"))</f>
        <v/>
      </c>
      <c r="L215">
        <f>IF(F215="","",MAX(0,F215-E215))</f>
        <v/>
      </c>
      <c r="M215" s="13">
        <f>DATE(YEAR(D215),MONTH(D215),1)</f>
        <v/>
      </c>
    </row>
    <row r="216">
      <c r="A216" t="inlineStr">
        <is>
          <t>PO-24216</t>
        </is>
      </c>
      <c r="B216" t="inlineStr">
        <is>
          <t>RGT-002</t>
        </is>
      </c>
      <c r="C216">
        <f>INDEX(Items!$C$2:$C$25,MATCH(B216,Items!$A$2:$A$25,0))</f>
        <v/>
      </c>
      <c r="D216" s="4" t="n">
        <v>46178</v>
      </c>
      <c r="E216" s="4" t="n">
        <v>46192</v>
      </c>
      <c r="F216" s="4" t="n">
        <v>46190</v>
      </c>
      <c r="G216" t="n">
        <v>1</v>
      </c>
      <c r="H216" s="12">
        <f>INDEX(Items!$D$2:$D$25,MATCH(B216,Items!$A$2:$A$25,0))</f>
        <v/>
      </c>
      <c r="I216" s="12">
        <f>G216*H216</f>
        <v/>
      </c>
      <c r="J216">
        <f>IF(F216="","",F216-D216)</f>
        <v/>
      </c>
      <c r="K216">
        <f>IF(F216="","Open",IF(F216&lt;=E216,"Yes","No"))</f>
        <v/>
      </c>
      <c r="L216">
        <f>IF(F216="","",MAX(0,F216-E216))</f>
        <v/>
      </c>
      <c r="M216" s="13">
        <f>DATE(YEAR(D216),MONTH(D216),1)</f>
        <v/>
      </c>
    </row>
    <row r="217">
      <c r="A217" t="inlineStr">
        <is>
          <t>PO-24217</t>
        </is>
      </c>
      <c r="B217" t="inlineStr">
        <is>
          <t>GLS-002</t>
        </is>
      </c>
      <c r="C217">
        <f>INDEX(Items!$C$2:$C$25,MATCH(B217,Items!$A$2:$A$25,0))</f>
        <v/>
      </c>
      <c r="D217" s="4" t="n">
        <v>46179</v>
      </c>
      <c r="E217" s="4" t="n">
        <v>46188</v>
      </c>
      <c r="F217" s="4" t="n">
        <v>46187</v>
      </c>
      <c r="G217" t="n">
        <v>2</v>
      </c>
      <c r="H217" s="12">
        <f>INDEX(Items!$D$2:$D$25,MATCH(B217,Items!$A$2:$A$25,0))</f>
        <v/>
      </c>
      <c r="I217" s="12">
        <f>G217*H217</f>
        <v/>
      </c>
      <c r="J217">
        <f>IF(F217="","",F217-D217)</f>
        <v/>
      </c>
      <c r="K217">
        <f>IF(F217="","Open",IF(F217&lt;=E217,"Yes","No"))</f>
        <v/>
      </c>
      <c r="L217">
        <f>IF(F217="","",MAX(0,F217-E217))</f>
        <v/>
      </c>
      <c r="M217" s="13">
        <f>DATE(YEAR(D217),MONTH(D217),1)</f>
        <v/>
      </c>
    </row>
    <row r="218">
      <c r="A218" t="inlineStr">
        <is>
          <t>PO-24218</t>
        </is>
      </c>
      <c r="B218" t="inlineStr">
        <is>
          <t>BIO-001</t>
        </is>
      </c>
      <c r="C218">
        <f>INDEX(Items!$C$2:$C$25,MATCH(B218,Items!$A$2:$A$25,0))</f>
        <v/>
      </c>
      <c r="D218" s="4" t="n">
        <v>46180</v>
      </c>
      <c r="E218" s="4" t="n">
        <v>46198</v>
      </c>
      <c r="F218" s="4" t="n">
        <v>46198</v>
      </c>
      <c r="G218" t="n">
        <v>5</v>
      </c>
      <c r="H218" s="12">
        <f>INDEX(Items!$D$2:$D$25,MATCH(B218,Items!$A$2:$A$25,0))</f>
        <v/>
      </c>
      <c r="I218" s="12">
        <f>G218*H218</f>
        <v/>
      </c>
      <c r="J218">
        <f>IF(F218="","",F218-D218)</f>
        <v/>
      </c>
      <c r="K218">
        <f>IF(F218="","Open",IF(F218&lt;=E218,"Yes","No"))</f>
        <v/>
      </c>
      <c r="L218">
        <f>IF(F218="","",MAX(0,F218-E218))</f>
        <v/>
      </c>
      <c r="M218" s="13">
        <f>DATE(YEAR(D218),MONTH(D218),1)</f>
        <v/>
      </c>
    </row>
    <row r="219">
      <c r="A219" t="inlineStr">
        <is>
          <t>PO-24219</t>
        </is>
      </c>
      <c r="B219" t="inlineStr">
        <is>
          <t>CON-002</t>
        </is>
      </c>
      <c r="C219">
        <f>INDEX(Items!$C$2:$C$25,MATCH(B219,Items!$A$2:$A$25,0))</f>
        <v/>
      </c>
      <c r="D219" s="4" t="n">
        <v>46181</v>
      </c>
      <c r="E219" s="4" t="n">
        <v>46188</v>
      </c>
      <c r="F219" s="4" t="n">
        <v>46194</v>
      </c>
      <c r="G219" t="n">
        <v>18</v>
      </c>
      <c r="H219" s="12">
        <f>INDEX(Items!$D$2:$D$25,MATCH(B219,Items!$A$2:$A$25,0))</f>
        <v/>
      </c>
      <c r="I219" s="12">
        <f>G219*H219</f>
        <v/>
      </c>
      <c r="J219">
        <f>IF(F219="","",F219-D219)</f>
        <v/>
      </c>
      <c r="K219">
        <f>IF(F219="","Open",IF(F219&lt;=E219,"Yes","No"))</f>
        <v/>
      </c>
      <c r="L219">
        <f>IF(F219="","",MAX(0,F219-E219))</f>
        <v/>
      </c>
      <c r="M219" s="13">
        <f>DATE(YEAR(D219),MONTH(D219),1)</f>
        <v/>
      </c>
    </row>
    <row r="220">
      <c r="A220" t="inlineStr">
        <is>
          <t>PO-24220</t>
        </is>
      </c>
      <c r="B220" t="inlineStr">
        <is>
          <t>MED-001</t>
        </is>
      </c>
      <c r="C220">
        <f>INDEX(Items!$C$2:$C$25,MATCH(B220,Items!$A$2:$A$25,0))</f>
        <v/>
      </c>
      <c r="D220" s="4" t="n">
        <v>46184</v>
      </c>
      <c r="E220" s="4" t="n">
        <v>46194</v>
      </c>
      <c r="F220" s="4" t="n">
        <v>46193</v>
      </c>
      <c r="G220" t="n">
        <v>60</v>
      </c>
      <c r="H220" s="12">
        <f>INDEX(Items!$D$2:$D$25,MATCH(B220,Items!$A$2:$A$25,0))</f>
        <v/>
      </c>
      <c r="I220" s="12">
        <f>G220*H220</f>
        <v/>
      </c>
      <c r="J220">
        <f>IF(F220="","",F220-D220)</f>
        <v/>
      </c>
      <c r="K220">
        <f>IF(F220="","Open",IF(F220&lt;=E220,"Yes","No"))</f>
        <v/>
      </c>
      <c r="L220">
        <f>IF(F220="","",MAX(0,F220-E220))</f>
        <v/>
      </c>
      <c r="M220" s="13">
        <f>DATE(YEAR(D220),MONTH(D220),1)</f>
        <v/>
      </c>
    </row>
    <row r="221">
      <c r="A221" t="inlineStr">
        <is>
          <t>PO-24221</t>
        </is>
      </c>
      <c r="B221" t="inlineStr">
        <is>
          <t>GLS-002</t>
        </is>
      </c>
      <c r="C221">
        <f>INDEX(Items!$C$2:$C$25,MATCH(B221,Items!$A$2:$A$25,0))</f>
        <v/>
      </c>
      <c r="D221" s="4" t="n">
        <v>46185</v>
      </c>
      <c r="E221" s="4" t="n">
        <v>46194</v>
      </c>
      <c r="F221" s="4" t="n">
        <v>46192</v>
      </c>
      <c r="G221" t="n">
        <v>2</v>
      </c>
      <c r="H221" s="12">
        <f>INDEX(Items!$D$2:$D$25,MATCH(B221,Items!$A$2:$A$25,0))</f>
        <v/>
      </c>
      <c r="I221" s="12">
        <f>G221*H221</f>
        <v/>
      </c>
      <c r="J221">
        <f>IF(F221="","",F221-D221)</f>
        <v/>
      </c>
      <c r="K221">
        <f>IF(F221="","Open",IF(F221&lt;=E221,"Yes","No"))</f>
        <v/>
      </c>
      <c r="L221">
        <f>IF(F221="","",MAX(0,F221-E221))</f>
        <v/>
      </c>
      <c r="M221" s="13">
        <f>DATE(YEAR(D221),MONTH(D221),1)</f>
        <v/>
      </c>
    </row>
    <row r="222">
      <c r="A222" t="inlineStr">
        <is>
          <t>PO-24222</t>
        </is>
      </c>
      <c r="B222" t="inlineStr">
        <is>
          <t>BIO-001</t>
        </is>
      </c>
      <c r="C222">
        <f>INDEX(Items!$C$2:$C$25,MATCH(B222,Items!$A$2:$A$25,0))</f>
        <v/>
      </c>
      <c r="D222" s="4" t="n">
        <v>46186</v>
      </c>
      <c r="E222" s="4" t="n">
        <v>46204</v>
      </c>
      <c r="F222" s="4" t="n">
        <v>46201</v>
      </c>
      <c r="G222" t="n">
        <v>2</v>
      </c>
      <c r="H222" s="12">
        <f>INDEX(Items!$D$2:$D$25,MATCH(B222,Items!$A$2:$A$25,0))</f>
        <v/>
      </c>
      <c r="I222" s="12">
        <f>G222*H222</f>
        <v/>
      </c>
      <c r="J222">
        <f>IF(F222="","",F222-D222)</f>
        <v/>
      </c>
      <c r="K222">
        <f>IF(F222="","Open",IF(F222&lt;=E222,"Yes","No"))</f>
        <v/>
      </c>
      <c r="L222">
        <f>IF(F222="","",MAX(0,F222-E222))</f>
        <v/>
      </c>
      <c r="M222" s="13">
        <f>DATE(YEAR(D222),MONTH(D222),1)</f>
        <v/>
      </c>
    </row>
    <row r="223">
      <c r="A223" t="inlineStr">
        <is>
          <t>PO-24223</t>
        </is>
      </c>
      <c r="B223" t="inlineStr">
        <is>
          <t>MED-005</t>
        </is>
      </c>
      <c r="C223">
        <f>INDEX(Items!$C$2:$C$25,MATCH(B223,Items!$A$2:$A$25,0))</f>
        <v/>
      </c>
      <c r="D223" s="4" t="n">
        <v>46188</v>
      </c>
      <c r="E223" s="4" t="n">
        <v>46198</v>
      </c>
      <c r="F223" s="4" t="n">
        <v>46196</v>
      </c>
      <c r="G223" t="n">
        <v>5</v>
      </c>
      <c r="H223" s="12">
        <f>INDEX(Items!$D$2:$D$25,MATCH(B223,Items!$A$2:$A$25,0))</f>
        <v/>
      </c>
      <c r="I223" s="12">
        <f>G223*H223</f>
        <v/>
      </c>
      <c r="J223">
        <f>IF(F223="","",F223-D223)</f>
        <v/>
      </c>
      <c r="K223">
        <f>IF(F223="","Open",IF(F223&lt;=E223,"Yes","No"))</f>
        <v/>
      </c>
      <c r="L223">
        <f>IF(F223="","",MAX(0,F223-E223))</f>
        <v/>
      </c>
      <c r="M223" s="13">
        <f>DATE(YEAR(D223),MONTH(D223),1)</f>
        <v/>
      </c>
    </row>
    <row r="224">
      <c r="A224" t="inlineStr">
        <is>
          <t>PO-24224</t>
        </is>
      </c>
      <c r="B224" t="inlineStr">
        <is>
          <t>CAL-002</t>
        </is>
      </c>
      <c r="C224">
        <f>INDEX(Items!$C$2:$C$25,MATCH(B224,Items!$A$2:$A$25,0))</f>
        <v/>
      </c>
      <c r="D224" s="4" t="n">
        <v>46189</v>
      </c>
      <c r="E224" s="4" t="n">
        <v>46210</v>
      </c>
      <c r="F224" s="4" t="n">
        <v>46207</v>
      </c>
      <c r="G224" t="n">
        <v>2</v>
      </c>
      <c r="H224" s="12">
        <f>INDEX(Items!$D$2:$D$25,MATCH(B224,Items!$A$2:$A$25,0))</f>
        <v/>
      </c>
      <c r="I224" s="12">
        <f>G224*H224</f>
        <v/>
      </c>
      <c r="J224">
        <f>IF(F224="","",F224-D224)</f>
        <v/>
      </c>
      <c r="K224">
        <f>IF(F224="","Open",IF(F224&lt;=E224,"Yes","No"))</f>
        <v/>
      </c>
      <c r="L224">
        <f>IF(F224="","",MAX(0,F224-E224))</f>
        <v/>
      </c>
      <c r="M224" s="13">
        <f>DATE(YEAR(D224),MONTH(D224),1)</f>
        <v/>
      </c>
    </row>
    <row r="225">
      <c r="A225" t="inlineStr">
        <is>
          <t>PO-24225</t>
        </is>
      </c>
      <c r="B225" t="inlineStr">
        <is>
          <t>MED-003</t>
        </is>
      </c>
      <c r="C225">
        <f>INDEX(Items!$C$2:$C$25,MATCH(B225,Items!$A$2:$A$25,0))</f>
        <v/>
      </c>
      <c r="D225" s="4" t="n">
        <v>46189</v>
      </c>
      <c r="E225" s="4" t="n">
        <v>46199</v>
      </c>
      <c r="F225" s="4" t="n">
        <v>46199</v>
      </c>
      <c r="G225" t="n">
        <v>12</v>
      </c>
      <c r="H225" s="12">
        <f>INDEX(Items!$D$2:$D$25,MATCH(B225,Items!$A$2:$A$25,0))</f>
        <v/>
      </c>
      <c r="I225" s="12">
        <f>G225*H225</f>
        <v/>
      </c>
      <c r="J225">
        <f>IF(F225="","",F225-D225)</f>
        <v/>
      </c>
      <c r="K225">
        <f>IF(F225="","Open",IF(F225&lt;=E225,"Yes","No"))</f>
        <v/>
      </c>
      <c r="L225">
        <f>IF(F225="","",MAX(0,F225-E225))</f>
        <v/>
      </c>
      <c r="M225" s="13">
        <f>DATE(YEAR(D225),MONTH(D225),1)</f>
        <v/>
      </c>
    </row>
    <row r="226">
      <c r="A226" t="inlineStr">
        <is>
          <t>PO-24226</t>
        </is>
      </c>
      <c r="B226" t="inlineStr">
        <is>
          <t>CAL-001</t>
        </is>
      </c>
      <c r="C226">
        <f>INDEX(Items!$C$2:$C$25,MATCH(B226,Items!$A$2:$A$25,0))</f>
        <v/>
      </c>
      <c r="D226" s="4" t="n">
        <v>46190</v>
      </c>
      <c r="E226" s="4" t="n">
        <v>46211</v>
      </c>
      <c r="F226" s="4" t="n">
        <v>46219</v>
      </c>
      <c r="G226" t="n">
        <v>10</v>
      </c>
      <c r="H226" s="12">
        <f>INDEX(Items!$D$2:$D$25,MATCH(B226,Items!$A$2:$A$25,0))</f>
        <v/>
      </c>
      <c r="I226" s="12">
        <f>G226*H226</f>
        <v/>
      </c>
      <c r="J226">
        <f>IF(F226="","",F226-D226)</f>
        <v/>
      </c>
      <c r="K226">
        <f>IF(F226="","Open",IF(F226&lt;=E226,"Yes","No"))</f>
        <v/>
      </c>
      <c r="L226">
        <f>IF(F226="","",MAX(0,F226-E226))</f>
        <v/>
      </c>
      <c r="M226" s="13">
        <f>DATE(YEAR(D226),MONTH(D226),1)</f>
        <v/>
      </c>
    </row>
    <row r="227">
      <c r="A227" t="inlineStr">
        <is>
          <t>PO-24227</t>
        </is>
      </c>
      <c r="B227" t="inlineStr">
        <is>
          <t>CON-001</t>
        </is>
      </c>
      <c r="C227">
        <f>INDEX(Items!$C$2:$C$25,MATCH(B227,Items!$A$2:$A$25,0))</f>
        <v/>
      </c>
      <c r="D227" s="4" t="n">
        <v>46190</v>
      </c>
      <c r="E227" s="4" t="n">
        <v>46197</v>
      </c>
      <c r="F227" s="4" t="n">
        <v>46194</v>
      </c>
      <c r="G227" t="n">
        <v>9</v>
      </c>
      <c r="H227" s="12">
        <f>INDEX(Items!$D$2:$D$25,MATCH(B227,Items!$A$2:$A$25,0))</f>
        <v/>
      </c>
      <c r="I227" s="12">
        <f>G227*H227</f>
        <v/>
      </c>
      <c r="J227">
        <f>IF(F227="","",F227-D227)</f>
        <v/>
      </c>
      <c r="K227">
        <f>IF(F227="","Open",IF(F227&lt;=E227,"Yes","No"))</f>
        <v/>
      </c>
      <c r="L227">
        <f>IF(F227="","",MAX(0,F227-E227))</f>
        <v/>
      </c>
      <c r="M227" s="13">
        <f>DATE(YEAR(D227),MONTH(D227),1)</f>
        <v/>
      </c>
    </row>
    <row r="228">
      <c r="A228" t="inlineStr">
        <is>
          <t>PO-24228</t>
        </is>
      </c>
      <c r="B228" t="inlineStr">
        <is>
          <t>BIO-001</t>
        </is>
      </c>
      <c r="C228">
        <f>INDEX(Items!$C$2:$C$25,MATCH(B228,Items!$A$2:$A$25,0))</f>
        <v/>
      </c>
      <c r="D228" s="4" t="n">
        <v>46191</v>
      </c>
      <c r="E228" s="4" t="n">
        <v>46209</v>
      </c>
      <c r="F228" s="4" t="n">
        <v>46207</v>
      </c>
      <c r="G228" t="n">
        <v>1</v>
      </c>
      <c r="H228" s="12">
        <f>INDEX(Items!$D$2:$D$25,MATCH(B228,Items!$A$2:$A$25,0))</f>
        <v/>
      </c>
      <c r="I228" s="12">
        <f>G228*H228</f>
        <v/>
      </c>
      <c r="J228">
        <f>IF(F228="","",F228-D228)</f>
        <v/>
      </c>
      <c r="K228">
        <f>IF(F228="","Open",IF(F228&lt;=E228,"Yes","No"))</f>
        <v/>
      </c>
      <c r="L228">
        <f>IF(F228="","",MAX(0,F228-E228))</f>
        <v/>
      </c>
      <c r="M228" s="13">
        <f>DATE(YEAR(D228),MONTH(D228),1)</f>
        <v/>
      </c>
    </row>
    <row r="229">
      <c r="A229" t="inlineStr">
        <is>
          <t>PO-24229</t>
        </is>
      </c>
      <c r="B229" t="inlineStr">
        <is>
          <t>CAL-002</t>
        </is>
      </c>
      <c r="C229">
        <f>INDEX(Items!$C$2:$C$25,MATCH(B229,Items!$A$2:$A$25,0))</f>
        <v/>
      </c>
      <c r="D229" s="4" t="n">
        <v>46192</v>
      </c>
      <c r="E229" s="4" t="n">
        <v>46213</v>
      </c>
      <c r="F229" s="4" t="n">
        <v>46217</v>
      </c>
      <c r="G229" t="n">
        <v>3</v>
      </c>
      <c r="H229" s="12">
        <f>INDEX(Items!$D$2:$D$25,MATCH(B229,Items!$A$2:$A$25,0))</f>
        <v/>
      </c>
      <c r="I229" s="12">
        <f>G229*H229</f>
        <v/>
      </c>
      <c r="J229">
        <f>IF(F229="","",F229-D229)</f>
        <v/>
      </c>
      <c r="K229">
        <f>IF(F229="","Open",IF(F229&lt;=E229,"Yes","No"))</f>
        <v/>
      </c>
      <c r="L229">
        <f>IF(F229="","",MAX(0,F229-E229))</f>
        <v/>
      </c>
      <c r="M229" s="13">
        <f>DATE(YEAR(D229),MONTH(D229),1)</f>
        <v/>
      </c>
    </row>
    <row r="230">
      <c r="A230" t="inlineStr">
        <is>
          <t>PO-24230</t>
        </is>
      </c>
      <c r="B230" t="inlineStr">
        <is>
          <t>BIO-002</t>
        </is>
      </c>
      <c r="C230">
        <f>INDEX(Items!$C$2:$C$25,MATCH(B230,Items!$A$2:$A$25,0))</f>
        <v/>
      </c>
      <c r="D230" s="4" t="n">
        <v>46197</v>
      </c>
      <c r="E230" s="4" t="n">
        <v>46215</v>
      </c>
      <c r="F230" s="4" t="n">
        <v>46215</v>
      </c>
      <c r="G230" t="n">
        <v>1</v>
      </c>
      <c r="H230" s="12">
        <f>INDEX(Items!$D$2:$D$25,MATCH(B230,Items!$A$2:$A$25,0))</f>
        <v/>
      </c>
      <c r="I230" s="12">
        <f>G230*H230</f>
        <v/>
      </c>
      <c r="J230">
        <f>IF(F230="","",F230-D230)</f>
        <v/>
      </c>
      <c r="K230">
        <f>IF(F230="","Open",IF(F230&lt;=E230,"Yes","No"))</f>
        <v/>
      </c>
      <c r="L230">
        <f>IF(F230="","",MAX(0,F230-E230))</f>
        <v/>
      </c>
      <c r="M230" s="13">
        <f>DATE(YEAR(D230),MONTH(D230),1)</f>
        <v/>
      </c>
    </row>
    <row r="231">
      <c r="A231" t="inlineStr">
        <is>
          <t>PO-24231</t>
        </is>
      </c>
      <c r="B231" t="inlineStr">
        <is>
          <t>RGT-004</t>
        </is>
      </c>
      <c r="C231">
        <f>INDEX(Items!$C$2:$C$25,MATCH(B231,Items!$A$2:$A$25,0))</f>
        <v/>
      </c>
      <c r="D231" s="4" t="n">
        <v>46197</v>
      </c>
      <c r="E231" s="4" t="n">
        <v>46211</v>
      </c>
      <c r="F231" s="4" t="n">
        <v>46210</v>
      </c>
      <c r="G231" t="n">
        <v>6</v>
      </c>
      <c r="H231" s="12">
        <f>INDEX(Items!$D$2:$D$25,MATCH(B231,Items!$A$2:$A$25,0))</f>
        <v/>
      </c>
      <c r="I231" s="12">
        <f>G231*H231</f>
        <v/>
      </c>
      <c r="J231">
        <f>IF(F231="","",F231-D231)</f>
        <v/>
      </c>
      <c r="K231">
        <f>IF(F231="","Open",IF(F231&lt;=E231,"Yes","No"))</f>
        <v/>
      </c>
      <c r="L231">
        <f>IF(F231="","",MAX(0,F231-E231))</f>
        <v/>
      </c>
      <c r="M231" s="13">
        <f>DATE(YEAR(D231),MONTH(D231),1)</f>
        <v/>
      </c>
    </row>
    <row r="232">
      <c r="A232" t="inlineStr">
        <is>
          <t>PO-24232</t>
        </is>
      </c>
      <c r="B232" t="inlineStr">
        <is>
          <t>CAL-002</t>
        </is>
      </c>
      <c r="C232">
        <f>INDEX(Items!$C$2:$C$25,MATCH(B232,Items!$A$2:$A$25,0))</f>
        <v/>
      </c>
      <c r="D232" s="4" t="n">
        <v>46202</v>
      </c>
      <c r="E232" s="4" t="n">
        <v>46223</v>
      </c>
      <c r="F232" s="4" t="n">
        <v>46232</v>
      </c>
      <c r="G232" t="n">
        <v>5</v>
      </c>
      <c r="H232" s="12">
        <f>INDEX(Items!$D$2:$D$25,MATCH(B232,Items!$A$2:$A$25,0))</f>
        <v/>
      </c>
      <c r="I232" s="12">
        <f>G232*H232</f>
        <v/>
      </c>
      <c r="J232">
        <f>IF(F232="","",F232-D232)</f>
        <v/>
      </c>
      <c r="K232">
        <f>IF(F232="","Open",IF(F232&lt;=E232,"Yes","No"))</f>
        <v/>
      </c>
      <c r="L232">
        <f>IF(F232="","",MAX(0,F232-E232))</f>
        <v/>
      </c>
      <c r="M232" s="13">
        <f>DATE(YEAR(D232),MONTH(D232),1)</f>
        <v/>
      </c>
    </row>
    <row r="233">
      <c r="A233" t="inlineStr">
        <is>
          <t>PO-24233</t>
        </is>
      </c>
      <c r="B233" t="inlineStr">
        <is>
          <t>GAS-002</t>
        </is>
      </c>
      <c r="C233">
        <f>INDEX(Items!$C$2:$C$25,MATCH(B233,Items!$A$2:$A$25,0))</f>
        <v/>
      </c>
      <c r="D233" s="4" t="n">
        <v>46202</v>
      </c>
      <c r="E233" s="4" t="n">
        <v>46207</v>
      </c>
      <c r="F233" s="4" t="n">
        <v>46205</v>
      </c>
      <c r="G233" t="n">
        <v>3</v>
      </c>
      <c r="H233" s="12">
        <f>INDEX(Items!$D$2:$D$25,MATCH(B233,Items!$A$2:$A$25,0))</f>
        <v/>
      </c>
      <c r="I233" s="12">
        <f>G233*H233</f>
        <v/>
      </c>
      <c r="J233">
        <f>IF(F233="","",F233-D233)</f>
        <v/>
      </c>
      <c r="K233">
        <f>IF(F233="","Open",IF(F233&lt;=E233,"Yes","No"))</f>
        <v/>
      </c>
      <c r="L233">
        <f>IF(F233="","",MAX(0,F233-E233))</f>
        <v/>
      </c>
      <c r="M233" s="13">
        <f>DATE(YEAR(D233),MONTH(D233),1)</f>
        <v/>
      </c>
    </row>
    <row r="234">
      <c r="A234" t="inlineStr">
        <is>
          <t>PO-24234</t>
        </is>
      </c>
      <c r="B234" t="inlineStr">
        <is>
          <t>MED-001</t>
        </is>
      </c>
      <c r="C234">
        <f>INDEX(Items!$C$2:$C$25,MATCH(B234,Items!$A$2:$A$25,0))</f>
        <v/>
      </c>
      <c r="D234" s="4" t="n">
        <v>46204</v>
      </c>
      <c r="E234" s="4" t="n">
        <v>46214</v>
      </c>
      <c r="F234" s="4" t="n">
        <v>46214</v>
      </c>
      <c r="G234" t="n">
        <v>15</v>
      </c>
      <c r="H234" s="12">
        <f>INDEX(Items!$D$2:$D$25,MATCH(B234,Items!$A$2:$A$25,0))</f>
        <v/>
      </c>
      <c r="I234" s="12">
        <f>G234*H234</f>
        <v/>
      </c>
      <c r="J234">
        <f>IF(F234="","",F234-D234)</f>
        <v/>
      </c>
      <c r="K234">
        <f>IF(F234="","Open",IF(F234&lt;=E234,"Yes","No"))</f>
        <v/>
      </c>
      <c r="L234">
        <f>IF(F234="","",MAX(0,F234-E234))</f>
        <v/>
      </c>
      <c r="M234" s="13">
        <f>DATE(YEAR(D234),MONTH(D234),1)</f>
        <v/>
      </c>
    </row>
    <row r="235">
      <c r="A235" t="inlineStr">
        <is>
          <t>PO-24235</t>
        </is>
      </c>
      <c r="B235" t="inlineStr">
        <is>
          <t>STR-002</t>
        </is>
      </c>
      <c r="C235">
        <f>INDEX(Items!$C$2:$C$25,MATCH(B235,Items!$A$2:$A$25,0))</f>
        <v/>
      </c>
      <c r="D235" s="4" t="n">
        <v>46205</v>
      </c>
      <c r="E235" s="4" t="n">
        <v>46217</v>
      </c>
      <c r="F235" s="4" t="n">
        <v>46214</v>
      </c>
      <c r="G235" t="n">
        <v>2</v>
      </c>
      <c r="H235" s="12">
        <f>INDEX(Items!$D$2:$D$25,MATCH(B235,Items!$A$2:$A$25,0))</f>
        <v/>
      </c>
      <c r="I235" s="12">
        <f>G235*H235</f>
        <v/>
      </c>
      <c r="J235">
        <f>IF(F235="","",F235-D235)</f>
        <v/>
      </c>
      <c r="K235">
        <f>IF(F235="","Open",IF(F235&lt;=E235,"Yes","No"))</f>
        <v/>
      </c>
      <c r="L235">
        <f>IF(F235="","",MAX(0,F235-E235))</f>
        <v/>
      </c>
      <c r="M235" s="13">
        <f>DATE(YEAR(D235),MONTH(D235),1)</f>
        <v/>
      </c>
    </row>
    <row r="236">
      <c r="A236" t="inlineStr">
        <is>
          <t>PO-24236</t>
        </is>
      </c>
      <c r="B236" t="inlineStr">
        <is>
          <t>RGT-003</t>
        </is>
      </c>
      <c r="C236">
        <f>INDEX(Items!$C$2:$C$25,MATCH(B236,Items!$A$2:$A$25,0))</f>
        <v/>
      </c>
      <c r="D236" s="4" t="n">
        <v>46206</v>
      </c>
      <c r="E236" s="4" t="n">
        <v>46220</v>
      </c>
      <c r="F236" s="4" t="n">
        <v>46228</v>
      </c>
      <c r="G236" t="n">
        <v>6</v>
      </c>
      <c r="H236" s="12">
        <f>INDEX(Items!$D$2:$D$25,MATCH(B236,Items!$A$2:$A$25,0))</f>
        <v/>
      </c>
      <c r="I236" s="12">
        <f>G236*H236</f>
        <v/>
      </c>
      <c r="J236">
        <f>IF(F236="","",F236-D236)</f>
        <v/>
      </c>
      <c r="K236">
        <f>IF(F236="","Open",IF(F236&lt;=E236,"Yes","No"))</f>
        <v/>
      </c>
      <c r="L236">
        <f>IF(F236="","",MAX(0,F236-E236))</f>
        <v/>
      </c>
      <c r="M236" s="13">
        <f>DATE(YEAR(D236),MONTH(D236),1)</f>
        <v/>
      </c>
    </row>
    <row r="237">
      <c r="A237" t="inlineStr">
        <is>
          <t>PO-24237</t>
        </is>
      </c>
      <c r="B237" t="inlineStr">
        <is>
          <t>STR-002</t>
        </is>
      </c>
      <c r="C237">
        <f>INDEX(Items!$C$2:$C$25,MATCH(B237,Items!$A$2:$A$25,0))</f>
        <v/>
      </c>
      <c r="D237" s="4" t="n">
        <v>46206</v>
      </c>
      <c r="E237" s="4" t="n">
        <v>46218</v>
      </c>
      <c r="F237" s="4" t="n">
        <v>46216</v>
      </c>
      <c r="G237" t="n">
        <v>10</v>
      </c>
      <c r="H237" s="12">
        <f>INDEX(Items!$D$2:$D$25,MATCH(B237,Items!$A$2:$A$25,0))</f>
        <v/>
      </c>
      <c r="I237" s="12">
        <f>G237*H237</f>
        <v/>
      </c>
      <c r="J237">
        <f>IF(F237="","",F237-D237)</f>
        <v/>
      </c>
      <c r="K237">
        <f>IF(F237="","Open",IF(F237&lt;=E237,"Yes","No"))</f>
        <v/>
      </c>
      <c r="L237">
        <f>IF(F237="","",MAX(0,F237-E237))</f>
        <v/>
      </c>
      <c r="M237" s="13">
        <f>DATE(YEAR(D237),MONTH(D237),1)</f>
        <v/>
      </c>
    </row>
    <row r="238">
      <c r="A238" t="inlineStr">
        <is>
          <t>PO-24238</t>
        </is>
      </c>
      <c r="B238" t="inlineStr">
        <is>
          <t>GAS-001</t>
        </is>
      </c>
      <c r="C238">
        <f>INDEX(Items!$C$2:$C$25,MATCH(B238,Items!$A$2:$A$25,0))</f>
        <v/>
      </c>
      <c r="D238" s="4" t="n">
        <v>46207</v>
      </c>
      <c r="E238" s="4" t="n">
        <v>46212</v>
      </c>
      <c r="F238" s="4" t="n">
        <v>46212</v>
      </c>
      <c r="G238" t="n">
        <v>5</v>
      </c>
      <c r="H238" s="12">
        <f>INDEX(Items!$D$2:$D$25,MATCH(B238,Items!$A$2:$A$25,0))</f>
        <v/>
      </c>
      <c r="I238" s="12">
        <f>G238*H238</f>
        <v/>
      </c>
      <c r="J238">
        <f>IF(F238="","",F238-D238)</f>
        <v/>
      </c>
      <c r="K238">
        <f>IF(F238="","Open",IF(F238&lt;=E238,"Yes","No"))</f>
        <v/>
      </c>
      <c r="L238">
        <f>IF(F238="","",MAX(0,F238-E238))</f>
        <v/>
      </c>
      <c r="M238" s="13">
        <f>DATE(YEAR(D238),MONTH(D238),1)</f>
        <v/>
      </c>
    </row>
    <row r="239">
      <c r="A239" t="inlineStr">
        <is>
          <t>PO-24239</t>
        </is>
      </c>
      <c r="B239" t="inlineStr">
        <is>
          <t>MED-005</t>
        </is>
      </c>
      <c r="C239">
        <f>INDEX(Items!$C$2:$C$25,MATCH(B239,Items!$A$2:$A$25,0))</f>
        <v/>
      </c>
      <c r="D239" s="4" t="n">
        <v>46207</v>
      </c>
      <c r="E239" s="4" t="n">
        <v>46217</v>
      </c>
      <c r="F239" s="4" t="n">
        <v>46215</v>
      </c>
      <c r="G239" t="n">
        <v>25</v>
      </c>
      <c r="H239" s="12">
        <f>INDEX(Items!$D$2:$D$25,MATCH(B239,Items!$A$2:$A$25,0))</f>
        <v/>
      </c>
      <c r="I239" s="12">
        <f>G239*H239</f>
        <v/>
      </c>
      <c r="J239">
        <f>IF(F239="","",F239-D239)</f>
        <v/>
      </c>
      <c r="K239">
        <f>IF(F239="","Open",IF(F239&lt;=E239,"Yes","No"))</f>
        <v/>
      </c>
      <c r="L239">
        <f>IF(F239="","",MAX(0,F239-E239))</f>
        <v/>
      </c>
      <c r="M239" s="13">
        <f>DATE(YEAR(D239),MONTH(D239),1)</f>
        <v/>
      </c>
    </row>
    <row r="240">
      <c r="A240" t="inlineStr">
        <is>
          <t>PO-24240</t>
        </is>
      </c>
      <c r="B240" t="inlineStr">
        <is>
          <t>GLS-002</t>
        </is>
      </c>
      <c r="C240">
        <f>INDEX(Items!$C$2:$C$25,MATCH(B240,Items!$A$2:$A$25,0))</f>
        <v/>
      </c>
      <c r="D240" s="4" t="n">
        <v>46208</v>
      </c>
      <c r="E240" s="4" t="n">
        <v>46217</v>
      </c>
      <c r="F240" s="4" t="n">
        <v>46223</v>
      </c>
      <c r="G240" t="n">
        <v>1</v>
      </c>
      <c r="H240" s="12">
        <f>INDEX(Items!$D$2:$D$25,MATCH(B240,Items!$A$2:$A$25,0))</f>
        <v/>
      </c>
      <c r="I240" s="12">
        <f>G240*H240</f>
        <v/>
      </c>
      <c r="J240">
        <f>IF(F240="","",F240-D240)</f>
        <v/>
      </c>
      <c r="K240">
        <f>IF(F240="","Open",IF(F240&lt;=E240,"Yes","No"))</f>
        <v/>
      </c>
      <c r="L240">
        <f>IF(F240="","",MAX(0,F240-E240))</f>
        <v/>
      </c>
      <c r="M240" s="13">
        <f>DATE(YEAR(D240),MONTH(D240),1)</f>
        <v/>
      </c>
    </row>
    <row r="241">
      <c r="A241" t="inlineStr">
        <is>
          <t>PO-24241</t>
        </is>
      </c>
      <c r="B241" t="inlineStr">
        <is>
          <t>MED-004</t>
        </is>
      </c>
      <c r="C241">
        <f>INDEX(Items!$C$2:$C$25,MATCH(B241,Items!$A$2:$A$25,0))</f>
        <v/>
      </c>
      <c r="D241" s="4" t="n">
        <v>46209</v>
      </c>
      <c r="E241" s="4" t="n">
        <v>46219</v>
      </c>
      <c r="F241" s="4" t="n">
        <v>46218</v>
      </c>
      <c r="G241" t="n">
        <v>30</v>
      </c>
      <c r="H241" s="12">
        <f>INDEX(Items!$D$2:$D$25,MATCH(B241,Items!$A$2:$A$25,0))</f>
        <v/>
      </c>
      <c r="I241" s="12">
        <f>G241*H241</f>
        <v/>
      </c>
      <c r="J241">
        <f>IF(F241="","",F241-D241)</f>
        <v/>
      </c>
      <c r="K241">
        <f>IF(F241="","Open",IF(F241&lt;=E241,"Yes","No"))</f>
        <v/>
      </c>
      <c r="L241">
        <f>IF(F241="","",MAX(0,F241-E241))</f>
        <v/>
      </c>
      <c r="M241" s="13">
        <f>DATE(YEAR(D241),MONTH(D241),1)</f>
        <v/>
      </c>
    </row>
    <row r="242">
      <c r="A242" t="inlineStr">
        <is>
          <t>PO-24242</t>
        </is>
      </c>
      <c r="B242" t="inlineStr">
        <is>
          <t>BIO-002</t>
        </is>
      </c>
      <c r="C242">
        <f>INDEX(Items!$C$2:$C$25,MATCH(B242,Items!$A$2:$A$25,0))</f>
        <v/>
      </c>
      <c r="D242" s="4" t="n">
        <v>46210</v>
      </c>
      <c r="E242" s="4" t="n">
        <v>46228</v>
      </c>
      <c r="F242" s="4" t="n">
        <v>46225</v>
      </c>
      <c r="G242" t="n">
        <v>3</v>
      </c>
      <c r="H242" s="12">
        <f>INDEX(Items!$D$2:$D$25,MATCH(B242,Items!$A$2:$A$25,0))</f>
        <v/>
      </c>
      <c r="I242" s="12">
        <f>G242*H242</f>
        <v/>
      </c>
      <c r="J242">
        <f>IF(F242="","",F242-D242)</f>
        <v/>
      </c>
      <c r="K242">
        <f>IF(F242="","Open",IF(F242&lt;=E242,"Yes","No"))</f>
        <v/>
      </c>
      <c r="L242">
        <f>IF(F242="","",MAX(0,F242-E242))</f>
        <v/>
      </c>
      <c r="M242" s="13">
        <f>DATE(YEAR(D242),MONTH(D242),1)</f>
        <v/>
      </c>
    </row>
    <row r="243">
      <c r="A243" t="inlineStr">
        <is>
          <t>PO-24243</t>
        </is>
      </c>
      <c r="B243" t="inlineStr">
        <is>
          <t>GAS-002</t>
        </is>
      </c>
      <c r="C243">
        <f>INDEX(Items!$C$2:$C$25,MATCH(B243,Items!$A$2:$A$25,0))</f>
        <v/>
      </c>
      <c r="D243" s="4" t="n">
        <v>46210</v>
      </c>
      <c r="E243" s="4" t="n">
        <v>46215</v>
      </c>
      <c r="F243" s="4" t="n">
        <v>46214</v>
      </c>
      <c r="G243" t="n">
        <v>4</v>
      </c>
      <c r="H243" s="12">
        <f>INDEX(Items!$D$2:$D$25,MATCH(B243,Items!$A$2:$A$25,0))</f>
        <v/>
      </c>
      <c r="I243" s="12">
        <f>G243*H243</f>
        <v/>
      </c>
      <c r="J243">
        <f>IF(F243="","",F243-D243)</f>
        <v/>
      </c>
      <c r="K243">
        <f>IF(F243="","Open",IF(F243&lt;=E243,"Yes","No"))</f>
        <v/>
      </c>
      <c r="L243">
        <f>IF(F243="","",MAX(0,F243-E243))</f>
        <v/>
      </c>
      <c r="M243" s="13">
        <f>DATE(YEAR(D243),MONTH(D243),1)</f>
        <v/>
      </c>
    </row>
    <row r="244">
      <c r="A244" t="inlineStr">
        <is>
          <t>PO-24244</t>
        </is>
      </c>
      <c r="B244" t="inlineStr">
        <is>
          <t>BIO-001</t>
        </is>
      </c>
      <c r="C244">
        <f>INDEX(Items!$C$2:$C$25,MATCH(B244,Items!$A$2:$A$25,0))</f>
        <v/>
      </c>
      <c r="D244" s="4" t="n">
        <v>46213</v>
      </c>
      <c r="E244" s="4" t="n">
        <v>46231</v>
      </c>
      <c r="F244" s="4" t="n">
        <v>46230</v>
      </c>
      <c r="G244" t="n">
        <v>4</v>
      </c>
      <c r="H244" s="12">
        <f>INDEX(Items!$D$2:$D$25,MATCH(B244,Items!$A$2:$A$25,0))</f>
        <v/>
      </c>
      <c r="I244" s="12">
        <f>G244*H244</f>
        <v/>
      </c>
      <c r="J244">
        <f>IF(F244="","",F244-D244)</f>
        <v/>
      </c>
      <c r="K244">
        <f>IF(F244="","Open",IF(F244&lt;=E244,"Yes","No"))</f>
        <v/>
      </c>
      <c r="L244">
        <f>IF(F244="","",MAX(0,F244-E244))</f>
        <v/>
      </c>
      <c r="M244" s="13">
        <f>DATE(YEAR(D244),MONTH(D244),1)</f>
        <v/>
      </c>
    </row>
    <row r="245">
      <c r="A245" t="inlineStr">
        <is>
          <t>PO-24245</t>
        </is>
      </c>
      <c r="B245" t="inlineStr">
        <is>
          <t>MED-001</t>
        </is>
      </c>
      <c r="C245">
        <f>INDEX(Items!$C$2:$C$25,MATCH(B245,Items!$A$2:$A$25,0))</f>
        <v/>
      </c>
      <c r="D245" s="4" t="n">
        <v>46213</v>
      </c>
      <c r="E245" s="4" t="n">
        <v>46223</v>
      </c>
      <c r="F245" s="4" t="n">
        <v>46222</v>
      </c>
      <c r="G245" t="n">
        <v>15</v>
      </c>
      <c r="H245" s="12">
        <f>INDEX(Items!$D$2:$D$25,MATCH(B245,Items!$A$2:$A$25,0))</f>
        <v/>
      </c>
      <c r="I245" s="12">
        <f>G245*H245</f>
        <v/>
      </c>
      <c r="J245">
        <f>IF(F245="","",F245-D245)</f>
        <v/>
      </c>
      <c r="K245">
        <f>IF(F245="","Open",IF(F245&lt;=E245,"Yes","No"))</f>
        <v/>
      </c>
      <c r="L245">
        <f>IF(F245="","",MAX(0,F245-E245))</f>
        <v/>
      </c>
      <c r="M245" s="13">
        <f>DATE(YEAR(D245),MONTH(D245),1)</f>
        <v/>
      </c>
    </row>
    <row r="246">
      <c r="A246" t="inlineStr">
        <is>
          <t>PO-24246</t>
        </is>
      </c>
      <c r="B246" t="inlineStr">
        <is>
          <t>RGT-001</t>
        </is>
      </c>
      <c r="C246">
        <f>INDEX(Items!$C$2:$C$25,MATCH(B246,Items!$A$2:$A$25,0))</f>
        <v/>
      </c>
      <c r="D246" s="4" t="n">
        <v>46213</v>
      </c>
      <c r="E246" s="4" t="n">
        <v>46227</v>
      </c>
      <c r="F246" s="4" t="n">
        <v>46228</v>
      </c>
      <c r="G246" t="n">
        <v>4</v>
      </c>
      <c r="H246" s="12">
        <f>INDEX(Items!$D$2:$D$25,MATCH(B246,Items!$A$2:$A$25,0))</f>
        <v/>
      </c>
      <c r="I246" s="12">
        <f>G246*H246</f>
        <v/>
      </c>
      <c r="J246">
        <f>IF(F246="","",F246-D246)</f>
        <v/>
      </c>
      <c r="K246">
        <f>IF(F246="","Open",IF(F246&lt;=E246,"Yes","No"))</f>
        <v/>
      </c>
      <c r="L246">
        <f>IF(F246="","",MAX(0,F246-E246))</f>
        <v/>
      </c>
      <c r="M246" s="13">
        <f>DATE(YEAR(D246),MONTH(D246),1)</f>
        <v/>
      </c>
    </row>
    <row r="247">
      <c r="A247" t="inlineStr">
        <is>
          <t>PO-24247</t>
        </is>
      </c>
      <c r="B247" t="inlineStr">
        <is>
          <t>CAL-001</t>
        </is>
      </c>
      <c r="C247">
        <f>INDEX(Items!$C$2:$C$25,MATCH(B247,Items!$A$2:$A$25,0))</f>
        <v/>
      </c>
      <c r="D247" s="4" t="n">
        <v>46214</v>
      </c>
      <c r="E247" s="4" t="n">
        <v>46235</v>
      </c>
      <c r="F247" s="4" t="n">
        <v>46235</v>
      </c>
      <c r="G247" t="n">
        <v>20</v>
      </c>
      <c r="H247" s="12">
        <f>INDEX(Items!$D$2:$D$25,MATCH(B247,Items!$A$2:$A$25,0))</f>
        <v/>
      </c>
      <c r="I247" s="12">
        <f>G247*H247</f>
        <v/>
      </c>
      <c r="J247">
        <f>IF(F247="","",F247-D247)</f>
        <v/>
      </c>
      <c r="K247">
        <f>IF(F247="","Open",IF(F247&lt;=E247,"Yes","No"))</f>
        <v/>
      </c>
      <c r="L247">
        <f>IF(F247="","",MAX(0,F247-E247))</f>
        <v/>
      </c>
      <c r="M247" s="13">
        <f>DATE(YEAR(D247),MONTH(D247),1)</f>
        <v/>
      </c>
    </row>
    <row r="248">
      <c r="A248" t="inlineStr">
        <is>
          <t>PO-24248</t>
        </is>
      </c>
      <c r="B248" t="inlineStr">
        <is>
          <t>RGT-004</t>
        </is>
      </c>
      <c r="C248">
        <f>INDEX(Items!$C$2:$C$25,MATCH(B248,Items!$A$2:$A$25,0))</f>
        <v/>
      </c>
      <c r="D248" s="4" t="n">
        <v>46214</v>
      </c>
      <c r="E248" s="4" t="n">
        <v>46228</v>
      </c>
      <c r="F248" s="4" t="n">
        <v>46228</v>
      </c>
      <c r="G248" t="n">
        <v>12</v>
      </c>
      <c r="H248" s="12">
        <f>INDEX(Items!$D$2:$D$25,MATCH(B248,Items!$A$2:$A$25,0))</f>
        <v/>
      </c>
      <c r="I248" s="12">
        <f>G248*H248</f>
        <v/>
      </c>
      <c r="J248">
        <f>IF(F248="","",F248-D248)</f>
        <v/>
      </c>
      <c r="K248">
        <f>IF(F248="","Open",IF(F248&lt;=E248,"Yes","No"))</f>
        <v/>
      </c>
      <c r="L248">
        <f>IF(F248="","",MAX(0,F248-E248))</f>
        <v/>
      </c>
      <c r="M248" s="13">
        <f>DATE(YEAR(D248),MONTH(D248),1)</f>
        <v/>
      </c>
    </row>
    <row r="249">
      <c r="A249" t="inlineStr">
        <is>
          <t>PO-24249</t>
        </is>
      </c>
      <c r="B249" t="inlineStr">
        <is>
          <t>MED-004</t>
        </is>
      </c>
      <c r="C249">
        <f>INDEX(Items!$C$2:$C$25,MATCH(B249,Items!$A$2:$A$25,0))</f>
        <v/>
      </c>
      <c r="D249" s="4" t="n">
        <v>46216</v>
      </c>
      <c r="E249" s="4" t="n">
        <v>46226</v>
      </c>
      <c r="F249" s="4" t="n">
        <v>46225</v>
      </c>
      <c r="G249" t="n">
        <v>50</v>
      </c>
      <c r="H249" s="12">
        <f>INDEX(Items!$D$2:$D$25,MATCH(B249,Items!$A$2:$A$25,0))</f>
        <v/>
      </c>
      <c r="I249" s="12">
        <f>G249*H249</f>
        <v/>
      </c>
      <c r="J249">
        <f>IF(F249="","",F249-D249)</f>
        <v/>
      </c>
      <c r="K249">
        <f>IF(F249="","Open",IF(F249&lt;=E249,"Yes","No"))</f>
        <v/>
      </c>
      <c r="L249">
        <f>IF(F249="","",MAX(0,F249-E249))</f>
        <v/>
      </c>
      <c r="M249" s="13">
        <f>DATE(YEAR(D249),MONTH(D249),1)</f>
        <v/>
      </c>
    </row>
    <row r="250">
      <c r="A250" t="inlineStr">
        <is>
          <t>PO-24250</t>
        </is>
      </c>
      <c r="B250" t="inlineStr">
        <is>
          <t>GAS-002</t>
        </is>
      </c>
      <c r="C250">
        <f>INDEX(Items!$C$2:$C$25,MATCH(B250,Items!$A$2:$A$25,0))</f>
        <v/>
      </c>
      <c r="D250" s="4" t="n">
        <v>46218</v>
      </c>
      <c r="E250" s="4" t="n">
        <v>46223</v>
      </c>
      <c r="F250" s="4" t="n">
        <v>46223</v>
      </c>
      <c r="G250" t="n">
        <v>4</v>
      </c>
      <c r="H250" s="12">
        <f>INDEX(Items!$D$2:$D$25,MATCH(B250,Items!$A$2:$A$25,0))</f>
        <v/>
      </c>
      <c r="I250" s="12">
        <f>G250*H250</f>
        <v/>
      </c>
      <c r="J250">
        <f>IF(F250="","",F250-D250)</f>
        <v/>
      </c>
      <c r="K250">
        <f>IF(F250="","Open",IF(F250&lt;=E250,"Yes","No"))</f>
        <v/>
      </c>
      <c r="L250">
        <f>IF(F250="","",MAX(0,F250-E250))</f>
        <v/>
      </c>
      <c r="M250" s="13">
        <f>DATE(YEAR(D250),MONTH(D250),1)</f>
        <v/>
      </c>
    </row>
    <row r="251">
      <c r="A251" t="inlineStr">
        <is>
          <t>PO-24251</t>
        </is>
      </c>
      <c r="B251" t="inlineStr">
        <is>
          <t>CAL-001</t>
        </is>
      </c>
      <c r="C251">
        <f>INDEX(Items!$C$2:$C$25,MATCH(B251,Items!$A$2:$A$25,0))</f>
        <v/>
      </c>
      <c r="D251" s="4" t="n">
        <v>46219</v>
      </c>
      <c r="E251" s="4" t="n">
        <v>46240</v>
      </c>
      <c r="F251" s="4" t="n">
        <v>46240</v>
      </c>
      <c r="G251" t="n">
        <v>30</v>
      </c>
      <c r="H251" s="12">
        <f>INDEX(Items!$D$2:$D$25,MATCH(B251,Items!$A$2:$A$25,0))</f>
        <v/>
      </c>
      <c r="I251" s="12">
        <f>G251*H251</f>
        <v/>
      </c>
      <c r="J251">
        <f>IF(F251="","",F251-D251)</f>
        <v/>
      </c>
      <c r="K251">
        <f>IF(F251="","Open",IF(F251&lt;=E251,"Yes","No"))</f>
        <v/>
      </c>
      <c r="L251">
        <f>IF(F251="","",MAX(0,F251-E251))</f>
        <v/>
      </c>
      <c r="M251" s="13">
        <f>DATE(YEAR(D251),MONTH(D251),1)</f>
        <v/>
      </c>
    </row>
    <row r="252">
      <c r="A252" t="inlineStr">
        <is>
          <t>PO-24252</t>
        </is>
      </c>
      <c r="B252" t="inlineStr">
        <is>
          <t>MED-005</t>
        </is>
      </c>
      <c r="C252">
        <f>INDEX(Items!$C$2:$C$25,MATCH(B252,Items!$A$2:$A$25,0))</f>
        <v/>
      </c>
      <c r="D252" s="4" t="n">
        <v>46219</v>
      </c>
      <c r="E252" s="4" t="n">
        <v>46229</v>
      </c>
      <c r="F252" s="4" t="n">
        <v>46229</v>
      </c>
      <c r="G252" t="n">
        <v>10</v>
      </c>
      <c r="H252" s="12">
        <f>INDEX(Items!$D$2:$D$25,MATCH(B252,Items!$A$2:$A$25,0))</f>
        <v/>
      </c>
      <c r="I252" s="12">
        <f>G252*H252</f>
        <v/>
      </c>
      <c r="J252">
        <f>IF(F252="","",F252-D252)</f>
        <v/>
      </c>
      <c r="K252">
        <f>IF(F252="","Open",IF(F252&lt;=E252,"Yes","No"))</f>
        <v/>
      </c>
      <c r="L252">
        <f>IF(F252="","",MAX(0,F252-E252))</f>
        <v/>
      </c>
      <c r="M252" s="13">
        <f>DATE(YEAR(D252),MONTH(D252),1)</f>
        <v/>
      </c>
    </row>
    <row r="253">
      <c r="A253" t="inlineStr">
        <is>
          <t>PO-24253</t>
        </is>
      </c>
      <c r="B253" t="inlineStr">
        <is>
          <t>MED-001</t>
        </is>
      </c>
      <c r="C253">
        <f>INDEX(Items!$C$2:$C$25,MATCH(B253,Items!$A$2:$A$25,0))</f>
        <v/>
      </c>
      <c r="D253" s="4" t="n">
        <v>46220</v>
      </c>
      <c r="E253" s="4" t="n">
        <v>46230</v>
      </c>
      <c r="F253" s="4" t="n">
        <v>46230</v>
      </c>
      <c r="G253" t="n">
        <v>75</v>
      </c>
      <c r="H253" s="12">
        <f>INDEX(Items!$D$2:$D$25,MATCH(B253,Items!$A$2:$A$25,0))</f>
        <v/>
      </c>
      <c r="I253" s="12">
        <f>G253*H253</f>
        <v/>
      </c>
      <c r="J253">
        <f>IF(F253="","",F253-D253)</f>
        <v/>
      </c>
      <c r="K253">
        <f>IF(F253="","Open",IF(F253&lt;=E253,"Yes","No"))</f>
        <v/>
      </c>
      <c r="L253">
        <f>IF(F253="","",MAX(0,F253-E253))</f>
        <v/>
      </c>
      <c r="M253" s="13">
        <f>DATE(YEAR(D253),MONTH(D253),1)</f>
        <v/>
      </c>
    </row>
    <row r="254">
      <c r="A254" t="inlineStr">
        <is>
          <t>PO-24254</t>
        </is>
      </c>
      <c r="B254" t="inlineStr">
        <is>
          <t>GLS-002</t>
        </is>
      </c>
      <c r="C254">
        <f>INDEX(Items!$C$2:$C$25,MATCH(B254,Items!$A$2:$A$25,0))</f>
        <v/>
      </c>
      <c r="D254" s="4" t="n">
        <v>46222</v>
      </c>
      <c r="E254" s="4" t="n">
        <v>46231</v>
      </c>
      <c r="F254" s="4" t="n">
        <v>46228</v>
      </c>
      <c r="G254" t="n">
        <v>1</v>
      </c>
      <c r="H254" s="12">
        <f>INDEX(Items!$D$2:$D$25,MATCH(B254,Items!$A$2:$A$25,0))</f>
        <v/>
      </c>
      <c r="I254" s="12">
        <f>G254*H254</f>
        <v/>
      </c>
      <c r="J254">
        <f>IF(F254="","",F254-D254)</f>
        <v/>
      </c>
      <c r="K254">
        <f>IF(F254="","Open",IF(F254&lt;=E254,"Yes","No"))</f>
        <v/>
      </c>
      <c r="L254">
        <f>IF(F254="","",MAX(0,F254-E254))</f>
        <v/>
      </c>
      <c r="M254" s="13">
        <f>DATE(YEAR(D254),MONTH(D254),1)</f>
        <v/>
      </c>
    </row>
    <row r="255">
      <c r="A255" t="inlineStr">
        <is>
          <t>PO-24255</t>
        </is>
      </c>
      <c r="B255" t="inlineStr">
        <is>
          <t>STR-002</t>
        </is>
      </c>
      <c r="C255">
        <f>INDEX(Items!$C$2:$C$25,MATCH(B255,Items!$A$2:$A$25,0))</f>
        <v/>
      </c>
      <c r="D255" s="4" t="n">
        <v>46222</v>
      </c>
      <c r="E255" s="4" t="n">
        <v>46234</v>
      </c>
      <c r="F255" s="4" t="n">
        <v>46231</v>
      </c>
      <c r="G255" t="n">
        <v>6</v>
      </c>
      <c r="H255" s="12">
        <f>INDEX(Items!$D$2:$D$25,MATCH(B255,Items!$A$2:$A$25,0))</f>
        <v/>
      </c>
      <c r="I255" s="12">
        <f>G255*H255</f>
        <v/>
      </c>
      <c r="J255">
        <f>IF(F255="","",F255-D255)</f>
        <v/>
      </c>
      <c r="K255">
        <f>IF(F255="","Open",IF(F255&lt;=E255,"Yes","No"))</f>
        <v/>
      </c>
      <c r="L255">
        <f>IF(F255="","",MAX(0,F255-E255))</f>
        <v/>
      </c>
      <c r="M255" s="13">
        <f>DATE(YEAR(D255),MONTH(D255),1)</f>
        <v/>
      </c>
    </row>
    <row r="256">
      <c r="A256" t="inlineStr">
        <is>
          <t>PO-24256</t>
        </is>
      </c>
      <c r="B256" t="inlineStr">
        <is>
          <t>RGT-004</t>
        </is>
      </c>
      <c r="C256">
        <f>INDEX(Items!$C$2:$C$25,MATCH(B256,Items!$A$2:$A$25,0))</f>
        <v/>
      </c>
      <c r="D256" s="4" t="n">
        <v>46224</v>
      </c>
      <c r="E256" s="4" t="n">
        <v>46238</v>
      </c>
      <c r="F256" s="4" t="n">
        <v>46235</v>
      </c>
      <c r="G256" t="n">
        <v>10</v>
      </c>
      <c r="H256" s="12">
        <f>INDEX(Items!$D$2:$D$25,MATCH(B256,Items!$A$2:$A$25,0))</f>
        <v/>
      </c>
      <c r="I256" s="12">
        <f>G256*H256</f>
        <v/>
      </c>
      <c r="J256">
        <f>IF(F256="","",F256-D256)</f>
        <v/>
      </c>
      <c r="K256">
        <f>IF(F256="","Open",IF(F256&lt;=E256,"Yes","No"))</f>
        <v/>
      </c>
      <c r="L256">
        <f>IF(F256="","",MAX(0,F256-E256))</f>
        <v/>
      </c>
      <c r="M256" s="13">
        <f>DATE(YEAR(D256),MONTH(D256),1)</f>
        <v/>
      </c>
    </row>
    <row r="257">
      <c r="A257" t="inlineStr">
        <is>
          <t>PO-24257</t>
        </is>
      </c>
      <c r="B257" t="inlineStr">
        <is>
          <t>CON-002</t>
        </is>
      </c>
      <c r="C257">
        <f>INDEX(Items!$C$2:$C$25,MATCH(B257,Items!$A$2:$A$25,0))</f>
        <v/>
      </c>
      <c r="D257" s="4" t="n">
        <v>46225</v>
      </c>
      <c r="E257" s="4" t="n">
        <v>46232</v>
      </c>
      <c r="F257" s="4" t="n">
        <v>46229</v>
      </c>
      <c r="G257" t="n">
        <v>36</v>
      </c>
      <c r="H257" s="12">
        <f>INDEX(Items!$D$2:$D$25,MATCH(B257,Items!$A$2:$A$25,0))</f>
        <v/>
      </c>
      <c r="I257" s="12">
        <f>G257*H257</f>
        <v/>
      </c>
      <c r="J257">
        <f>IF(F257="","",F257-D257)</f>
        <v/>
      </c>
      <c r="K257">
        <f>IF(F257="","Open",IF(F257&lt;=E257,"Yes","No"))</f>
        <v/>
      </c>
      <c r="L257">
        <f>IF(F257="","",MAX(0,F257-E257))</f>
        <v/>
      </c>
      <c r="M257" s="13">
        <f>DATE(YEAR(D257),MONTH(D257),1)</f>
        <v/>
      </c>
    </row>
    <row r="258">
      <c r="A258" t="inlineStr">
        <is>
          <t>PO-24258</t>
        </is>
      </c>
      <c r="B258" t="inlineStr">
        <is>
          <t>MED-003</t>
        </is>
      </c>
      <c r="C258">
        <f>INDEX(Items!$C$2:$C$25,MATCH(B258,Items!$A$2:$A$25,0))</f>
        <v/>
      </c>
      <c r="D258" s="4" t="n">
        <v>46226</v>
      </c>
      <c r="E258" s="4" t="n">
        <v>46236</v>
      </c>
      <c r="F258" s="4" t="n">
        <v>46236</v>
      </c>
      <c r="G258" t="n">
        <v>12</v>
      </c>
      <c r="H258" s="12">
        <f>INDEX(Items!$D$2:$D$25,MATCH(B258,Items!$A$2:$A$25,0))</f>
        <v/>
      </c>
      <c r="I258" s="12">
        <f>G258*H258</f>
        <v/>
      </c>
      <c r="J258">
        <f>IF(F258="","",F258-D258)</f>
        <v/>
      </c>
      <c r="K258">
        <f>IF(F258="","Open",IF(F258&lt;=E258,"Yes","No"))</f>
        <v/>
      </c>
      <c r="L258">
        <f>IF(F258="","",MAX(0,F258-E258))</f>
        <v/>
      </c>
      <c r="M258" s="13">
        <f>DATE(YEAR(D258),MONTH(D258),1)</f>
        <v/>
      </c>
    </row>
    <row r="259">
      <c r="A259" t="inlineStr">
        <is>
          <t>PO-24259</t>
        </is>
      </c>
      <c r="B259" t="inlineStr">
        <is>
          <t>RGT-004</t>
        </is>
      </c>
      <c r="C259">
        <f>INDEX(Items!$C$2:$C$25,MATCH(B259,Items!$A$2:$A$25,0))</f>
        <v/>
      </c>
      <c r="D259" s="4" t="n">
        <v>46226</v>
      </c>
      <c r="E259" s="4" t="n">
        <v>46240</v>
      </c>
      <c r="F259" s="4" t="n">
        <v>46243</v>
      </c>
      <c r="G259" t="n">
        <v>8</v>
      </c>
      <c r="H259" s="12">
        <f>INDEX(Items!$D$2:$D$25,MATCH(B259,Items!$A$2:$A$25,0))</f>
        <v/>
      </c>
      <c r="I259" s="12">
        <f>G259*H259</f>
        <v/>
      </c>
      <c r="J259">
        <f>IF(F259="","",F259-D259)</f>
        <v/>
      </c>
      <c r="K259">
        <f>IF(F259="","Open",IF(F259&lt;=E259,"Yes","No"))</f>
        <v/>
      </c>
      <c r="L259">
        <f>IF(F259="","",MAX(0,F259-E259))</f>
        <v/>
      </c>
      <c r="M259" s="13">
        <f>DATE(YEAR(D259),MONTH(D259),1)</f>
        <v/>
      </c>
    </row>
    <row r="260">
      <c r="A260" t="inlineStr">
        <is>
          <t>PO-24260</t>
        </is>
      </c>
      <c r="B260" t="inlineStr">
        <is>
          <t>CAL-001</t>
        </is>
      </c>
      <c r="C260">
        <f>INDEX(Items!$C$2:$C$25,MATCH(B260,Items!$A$2:$A$25,0))</f>
        <v/>
      </c>
      <c r="D260" s="4" t="n">
        <v>46227</v>
      </c>
      <c r="E260" s="4" t="n">
        <v>46248</v>
      </c>
      <c r="F260" s="4" t="n">
        <v>46246</v>
      </c>
      <c r="G260" t="n">
        <v>30</v>
      </c>
      <c r="H260" s="12">
        <f>INDEX(Items!$D$2:$D$25,MATCH(B260,Items!$A$2:$A$25,0))</f>
        <v/>
      </c>
      <c r="I260" s="12">
        <f>G260*H260</f>
        <v/>
      </c>
      <c r="J260">
        <f>IF(F260="","",F260-D260)</f>
        <v/>
      </c>
      <c r="K260">
        <f>IF(F260="","Open",IF(F260&lt;=E260,"Yes","No"))</f>
        <v/>
      </c>
      <c r="L260">
        <f>IF(F260="","",MAX(0,F260-E260))</f>
        <v/>
      </c>
      <c r="M260" s="13">
        <f>DATE(YEAR(D260),MONTH(D260),1)</f>
        <v/>
      </c>
    </row>
    <row r="261">
      <c r="A261" t="inlineStr">
        <is>
          <t>PO-24261</t>
        </is>
      </c>
      <c r="B261" t="inlineStr">
        <is>
          <t>MED-002</t>
        </is>
      </c>
      <c r="C261">
        <f>INDEX(Items!$C$2:$C$25,MATCH(B261,Items!$A$2:$A$25,0))</f>
        <v/>
      </c>
      <c r="D261" s="4" t="n">
        <v>46227</v>
      </c>
      <c r="E261" s="4" t="n">
        <v>46237</v>
      </c>
      <c r="F261" s="4" t="n">
        <v>46236</v>
      </c>
      <c r="G261" t="n">
        <v>7</v>
      </c>
      <c r="H261" s="12">
        <f>INDEX(Items!$D$2:$D$25,MATCH(B261,Items!$A$2:$A$25,0))</f>
        <v/>
      </c>
      <c r="I261" s="12">
        <f>G261*H261</f>
        <v/>
      </c>
      <c r="J261">
        <f>IF(F261="","",F261-D261)</f>
        <v/>
      </c>
      <c r="K261">
        <f>IF(F261="","Open",IF(F261&lt;=E261,"Yes","No"))</f>
        <v/>
      </c>
      <c r="L261">
        <f>IF(F261="","",MAX(0,F261-E261))</f>
        <v/>
      </c>
      <c r="M261" s="13">
        <f>DATE(YEAR(D261),MONTH(D261),1)</f>
        <v/>
      </c>
    </row>
    <row r="262">
      <c r="A262" t="inlineStr">
        <is>
          <t>PO-24262</t>
        </is>
      </c>
      <c r="B262" t="inlineStr">
        <is>
          <t>MED-004</t>
        </is>
      </c>
      <c r="C262">
        <f>INDEX(Items!$C$2:$C$25,MATCH(B262,Items!$A$2:$A$25,0))</f>
        <v/>
      </c>
      <c r="D262" s="4" t="n">
        <v>46227</v>
      </c>
      <c r="E262" s="4" t="n">
        <v>46237</v>
      </c>
      <c r="F262" s="4" t="n">
        <v>46242</v>
      </c>
      <c r="G262" t="n">
        <v>50</v>
      </c>
      <c r="H262" s="12">
        <f>INDEX(Items!$D$2:$D$25,MATCH(B262,Items!$A$2:$A$25,0))</f>
        <v/>
      </c>
      <c r="I262" s="12">
        <f>G262*H262</f>
        <v/>
      </c>
      <c r="J262">
        <f>IF(F262="","",F262-D262)</f>
        <v/>
      </c>
      <c r="K262">
        <f>IF(F262="","Open",IF(F262&lt;=E262,"Yes","No"))</f>
        <v/>
      </c>
      <c r="L262">
        <f>IF(F262="","",MAX(0,F262-E262))</f>
        <v/>
      </c>
      <c r="M262" s="13">
        <f>DATE(YEAR(D262),MONTH(D262),1)</f>
        <v/>
      </c>
    </row>
    <row r="263">
      <c r="A263" t="inlineStr">
        <is>
          <t>PO-24263</t>
        </is>
      </c>
      <c r="B263" t="inlineStr">
        <is>
          <t>MED-003</t>
        </is>
      </c>
      <c r="C263">
        <f>INDEX(Items!$C$2:$C$25,MATCH(B263,Items!$A$2:$A$25,0))</f>
        <v/>
      </c>
      <c r="D263" s="4" t="n">
        <v>46229</v>
      </c>
      <c r="E263" s="4" t="n">
        <v>46239</v>
      </c>
      <c r="F263" s="4" t="n">
        <v>46237</v>
      </c>
      <c r="G263" t="n">
        <v>18</v>
      </c>
      <c r="H263" s="12">
        <f>INDEX(Items!$D$2:$D$25,MATCH(B263,Items!$A$2:$A$25,0))</f>
        <v/>
      </c>
      <c r="I263" s="12">
        <f>G263*H263</f>
        <v/>
      </c>
      <c r="J263">
        <f>IF(F263="","",F263-D263)</f>
        <v/>
      </c>
      <c r="K263">
        <f>IF(F263="","Open",IF(F263&lt;=E263,"Yes","No"))</f>
        <v/>
      </c>
      <c r="L263">
        <f>IF(F263="","",MAX(0,F263-E263))</f>
        <v/>
      </c>
      <c r="M263" s="13">
        <f>DATE(YEAR(D263),MONTH(D263),1)</f>
        <v/>
      </c>
    </row>
    <row r="264">
      <c r="A264" t="inlineStr">
        <is>
          <t>PO-24264</t>
        </is>
      </c>
      <c r="B264" t="inlineStr">
        <is>
          <t>BIO-001</t>
        </is>
      </c>
      <c r="C264">
        <f>INDEX(Items!$C$2:$C$25,MATCH(B264,Items!$A$2:$A$25,0))</f>
        <v/>
      </c>
      <c r="D264" s="4" t="n">
        <v>46230</v>
      </c>
      <c r="E264" s="4" t="n">
        <v>46248</v>
      </c>
      <c r="F264" s="4" t="n">
        <v>46246</v>
      </c>
      <c r="G264" t="n">
        <v>4</v>
      </c>
      <c r="H264" s="12">
        <f>INDEX(Items!$D$2:$D$25,MATCH(B264,Items!$A$2:$A$25,0))</f>
        <v/>
      </c>
      <c r="I264" s="12">
        <f>G264*H264</f>
        <v/>
      </c>
      <c r="J264">
        <f>IF(F264="","",F264-D264)</f>
        <v/>
      </c>
      <c r="K264">
        <f>IF(F264="","Open",IF(F264&lt;=E264,"Yes","No"))</f>
        <v/>
      </c>
      <c r="L264">
        <f>IF(F264="","",MAX(0,F264-E264))</f>
        <v/>
      </c>
      <c r="M264" s="13">
        <f>DATE(YEAR(D264),MONTH(D264),1)</f>
        <v/>
      </c>
    </row>
    <row r="265">
      <c r="A265" t="inlineStr">
        <is>
          <t>PO-24265</t>
        </is>
      </c>
      <c r="B265" t="inlineStr">
        <is>
          <t>MED-002</t>
        </is>
      </c>
      <c r="C265">
        <f>INDEX(Items!$C$2:$C$25,MATCH(B265,Items!$A$2:$A$25,0))</f>
        <v/>
      </c>
      <c r="D265" s="4" t="n">
        <v>46230</v>
      </c>
      <c r="E265" s="4" t="n">
        <v>46240</v>
      </c>
      <c r="F265" s="4" t="n">
        <v>46239</v>
      </c>
      <c r="G265" t="n">
        <v>7</v>
      </c>
      <c r="H265" s="12">
        <f>INDEX(Items!$D$2:$D$25,MATCH(B265,Items!$A$2:$A$25,0))</f>
        <v/>
      </c>
      <c r="I265" s="12">
        <f>G265*H265</f>
        <v/>
      </c>
      <c r="J265">
        <f>IF(F265="","",F265-D265)</f>
        <v/>
      </c>
      <c r="K265">
        <f>IF(F265="","Open",IF(F265&lt;=E265,"Yes","No"))</f>
        <v/>
      </c>
      <c r="L265">
        <f>IF(F265="","",MAX(0,F265-E265))</f>
        <v/>
      </c>
      <c r="M265" s="13">
        <f>DATE(YEAR(D265),MONTH(D265),1)</f>
        <v/>
      </c>
    </row>
    <row r="266">
      <c r="A266" t="inlineStr">
        <is>
          <t>PO-24266</t>
        </is>
      </c>
      <c r="B266" t="inlineStr">
        <is>
          <t>STR-001</t>
        </is>
      </c>
      <c r="C266">
        <f>INDEX(Items!$C$2:$C$25,MATCH(B266,Items!$A$2:$A$25,0))</f>
        <v/>
      </c>
      <c r="D266" s="4" t="n">
        <v>46232</v>
      </c>
      <c r="E266" s="4" t="n">
        <v>46244</v>
      </c>
      <c r="F266" s="4" t="n">
        <v>46244</v>
      </c>
      <c r="G266" t="n">
        <v>4</v>
      </c>
      <c r="H266" s="12">
        <f>INDEX(Items!$D$2:$D$25,MATCH(B266,Items!$A$2:$A$25,0))</f>
        <v/>
      </c>
      <c r="I266" s="12">
        <f>G266*H266</f>
        <v/>
      </c>
      <c r="J266">
        <f>IF(F266="","",F266-D266)</f>
        <v/>
      </c>
      <c r="K266">
        <f>IF(F266="","Open",IF(F266&lt;=E266,"Yes","No"))</f>
        <v/>
      </c>
      <c r="L266">
        <f>IF(F266="","",MAX(0,F266-E266))</f>
        <v/>
      </c>
      <c r="M266" s="13">
        <f>DATE(YEAR(D266),MONTH(D266),1)</f>
        <v/>
      </c>
    </row>
    <row r="267">
      <c r="A267" t="inlineStr">
        <is>
          <t>PO-24267</t>
        </is>
      </c>
      <c r="B267" t="inlineStr">
        <is>
          <t>BIO-001</t>
        </is>
      </c>
      <c r="C267">
        <f>INDEX(Items!$C$2:$C$25,MATCH(B267,Items!$A$2:$A$25,0))</f>
        <v/>
      </c>
      <c r="D267" s="4" t="n">
        <v>46236</v>
      </c>
      <c r="E267" s="4" t="n">
        <v>46254</v>
      </c>
      <c r="F267" s="4" t="n">
        <v>46254</v>
      </c>
      <c r="G267" t="n">
        <v>3</v>
      </c>
      <c r="H267" s="12">
        <f>INDEX(Items!$D$2:$D$25,MATCH(B267,Items!$A$2:$A$25,0))</f>
        <v/>
      </c>
      <c r="I267" s="12">
        <f>G267*H267</f>
        <v/>
      </c>
      <c r="J267">
        <f>IF(F267="","",F267-D267)</f>
        <v/>
      </c>
      <c r="K267">
        <f>IF(F267="","Open",IF(F267&lt;=E267,"Yes","No"))</f>
        <v/>
      </c>
      <c r="L267">
        <f>IF(F267="","",MAX(0,F267-E267))</f>
        <v/>
      </c>
      <c r="M267" s="13">
        <f>DATE(YEAR(D267),MONTH(D267),1)</f>
        <v/>
      </c>
    </row>
    <row r="268">
      <c r="A268" t="inlineStr">
        <is>
          <t>PO-24268</t>
        </is>
      </c>
      <c r="B268" t="inlineStr">
        <is>
          <t>MED-004</t>
        </is>
      </c>
      <c r="C268">
        <f>INDEX(Items!$C$2:$C$25,MATCH(B268,Items!$A$2:$A$25,0))</f>
        <v/>
      </c>
      <c r="D268" s="4" t="n">
        <v>46236</v>
      </c>
      <c r="E268" s="4" t="n">
        <v>46246</v>
      </c>
      <c r="F268" s="4" t="n">
        <v>46244</v>
      </c>
      <c r="G268" t="n">
        <v>40</v>
      </c>
      <c r="H268" s="12">
        <f>INDEX(Items!$D$2:$D$25,MATCH(B268,Items!$A$2:$A$25,0))</f>
        <v/>
      </c>
      <c r="I268" s="12">
        <f>G268*H268</f>
        <v/>
      </c>
      <c r="J268">
        <f>IF(F268="","",F268-D268)</f>
        <v/>
      </c>
      <c r="K268">
        <f>IF(F268="","Open",IF(F268&lt;=E268,"Yes","No"))</f>
        <v/>
      </c>
      <c r="L268">
        <f>IF(F268="","",MAX(0,F268-E268))</f>
        <v/>
      </c>
      <c r="M268" s="13">
        <f>DATE(YEAR(D268),MONTH(D268),1)</f>
        <v/>
      </c>
    </row>
    <row r="269">
      <c r="A269" t="inlineStr">
        <is>
          <t>PO-24269</t>
        </is>
      </c>
      <c r="B269" t="inlineStr">
        <is>
          <t>MED-005</t>
        </is>
      </c>
      <c r="C269">
        <f>INDEX(Items!$C$2:$C$25,MATCH(B269,Items!$A$2:$A$25,0))</f>
        <v/>
      </c>
      <c r="D269" s="4" t="n">
        <v>46236</v>
      </c>
      <c r="E269" s="4" t="n">
        <v>46246</v>
      </c>
      <c r="F269" s="4" t="n">
        <v>46249</v>
      </c>
      <c r="G269" t="n">
        <v>10</v>
      </c>
      <c r="H269" s="12">
        <f>INDEX(Items!$D$2:$D$25,MATCH(B269,Items!$A$2:$A$25,0))</f>
        <v/>
      </c>
      <c r="I269" s="12">
        <f>G269*H269</f>
        <v/>
      </c>
      <c r="J269">
        <f>IF(F269="","",F269-D269)</f>
        <v/>
      </c>
      <c r="K269">
        <f>IF(F269="","Open",IF(F269&lt;=E269,"Yes","No"))</f>
        <v/>
      </c>
      <c r="L269">
        <f>IF(F269="","",MAX(0,F269-E269))</f>
        <v/>
      </c>
      <c r="M269" s="13">
        <f>DATE(YEAR(D269),MONTH(D269),1)</f>
        <v/>
      </c>
    </row>
    <row r="270">
      <c r="A270" t="inlineStr">
        <is>
          <t>PO-24270</t>
        </is>
      </c>
      <c r="B270" t="inlineStr">
        <is>
          <t>RGT-002</t>
        </is>
      </c>
      <c r="C270">
        <f>INDEX(Items!$C$2:$C$25,MATCH(B270,Items!$A$2:$A$25,0))</f>
        <v/>
      </c>
      <c r="D270" s="4" t="n">
        <v>46237</v>
      </c>
      <c r="E270" s="4" t="n">
        <v>46251</v>
      </c>
      <c r="F270" s="4" t="n">
        <v>46250</v>
      </c>
      <c r="G270" t="n">
        <v>1</v>
      </c>
      <c r="H270" s="12">
        <f>INDEX(Items!$D$2:$D$25,MATCH(B270,Items!$A$2:$A$25,0))</f>
        <v/>
      </c>
      <c r="I270" s="12">
        <f>G270*H270</f>
        <v/>
      </c>
      <c r="J270">
        <f>IF(F270="","",F270-D270)</f>
        <v/>
      </c>
      <c r="K270">
        <f>IF(F270="","Open",IF(F270&lt;=E270,"Yes","No"))</f>
        <v/>
      </c>
      <c r="L270">
        <f>IF(F270="","",MAX(0,F270-E270))</f>
        <v/>
      </c>
      <c r="M270" s="13">
        <f>DATE(YEAR(D270),MONTH(D270),1)</f>
        <v/>
      </c>
    </row>
    <row r="271">
      <c r="A271" t="inlineStr">
        <is>
          <t>PO-24271</t>
        </is>
      </c>
      <c r="B271" t="inlineStr">
        <is>
          <t>GAS-001</t>
        </is>
      </c>
      <c r="C271">
        <f>INDEX(Items!$C$2:$C$25,MATCH(B271,Items!$A$2:$A$25,0))</f>
        <v/>
      </c>
      <c r="D271" s="4" t="n">
        <v>46239</v>
      </c>
      <c r="E271" s="4" t="n">
        <v>46244</v>
      </c>
      <c r="F271" s="4" t="n">
        <v>46248</v>
      </c>
      <c r="G271" t="n">
        <v>6</v>
      </c>
      <c r="H271" s="12">
        <f>INDEX(Items!$D$2:$D$25,MATCH(B271,Items!$A$2:$A$25,0))</f>
        <v/>
      </c>
      <c r="I271" s="12">
        <f>G271*H271</f>
        <v/>
      </c>
      <c r="J271">
        <f>IF(F271="","",F271-D271)</f>
        <v/>
      </c>
      <c r="K271">
        <f>IF(F271="","Open",IF(F271&lt;=E271,"Yes","No"))</f>
        <v/>
      </c>
      <c r="L271">
        <f>IF(F271="","",MAX(0,F271-E271))</f>
        <v/>
      </c>
      <c r="M271" s="13">
        <f>DATE(YEAR(D271),MONTH(D271),1)</f>
        <v/>
      </c>
    </row>
    <row r="272">
      <c r="A272" t="inlineStr">
        <is>
          <t>PO-24272</t>
        </is>
      </c>
      <c r="B272" t="inlineStr">
        <is>
          <t>CON-001</t>
        </is>
      </c>
      <c r="C272">
        <f>INDEX(Items!$C$2:$C$25,MATCH(B272,Items!$A$2:$A$25,0))</f>
        <v/>
      </c>
      <c r="D272" s="4" t="n">
        <v>46240</v>
      </c>
      <c r="E272" s="4" t="n">
        <v>46247</v>
      </c>
      <c r="F272" s="4" t="n">
        <v>46245</v>
      </c>
      <c r="G272" t="n">
        <v>6</v>
      </c>
      <c r="H272" s="12">
        <f>INDEX(Items!$D$2:$D$25,MATCH(B272,Items!$A$2:$A$25,0))</f>
        <v/>
      </c>
      <c r="I272" s="12">
        <f>G272*H272</f>
        <v/>
      </c>
      <c r="J272">
        <f>IF(F272="","",F272-D272)</f>
        <v/>
      </c>
      <c r="K272">
        <f>IF(F272="","Open",IF(F272&lt;=E272,"Yes","No"))</f>
        <v/>
      </c>
      <c r="L272">
        <f>IF(F272="","",MAX(0,F272-E272))</f>
        <v/>
      </c>
      <c r="M272" s="13">
        <f>DATE(YEAR(D272),MONTH(D272),1)</f>
        <v/>
      </c>
    </row>
    <row r="273">
      <c r="A273" t="inlineStr">
        <is>
          <t>PO-24273</t>
        </is>
      </c>
      <c r="B273" t="inlineStr">
        <is>
          <t>CON-003</t>
        </is>
      </c>
      <c r="C273">
        <f>INDEX(Items!$C$2:$C$25,MATCH(B273,Items!$A$2:$A$25,0))</f>
        <v/>
      </c>
      <c r="D273" s="4" t="n">
        <v>46240</v>
      </c>
      <c r="E273" s="4" t="n">
        <v>46247</v>
      </c>
      <c r="F273" s="4" t="n">
        <v>46247</v>
      </c>
      <c r="G273" t="n">
        <v>18</v>
      </c>
      <c r="H273" s="12">
        <f>INDEX(Items!$D$2:$D$25,MATCH(B273,Items!$A$2:$A$25,0))</f>
        <v/>
      </c>
      <c r="I273" s="12">
        <f>G273*H273</f>
        <v/>
      </c>
      <c r="J273">
        <f>IF(F273="","",F273-D273)</f>
        <v/>
      </c>
      <c r="K273">
        <f>IF(F273="","Open",IF(F273&lt;=E273,"Yes","No"))</f>
        <v/>
      </c>
      <c r="L273">
        <f>IF(F273="","",MAX(0,F273-E273))</f>
        <v/>
      </c>
      <c r="M273" s="13">
        <f>DATE(YEAR(D273),MONTH(D273),1)</f>
        <v/>
      </c>
    </row>
    <row r="274">
      <c r="A274" t="inlineStr">
        <is>
          <t>PO-24274</t>
        </is>
      </c>
      <c r="B274" t="inlineStr">
        <is>
          <t>GAS-001</t>
        </is>
      </c>
      <c r="C274">
        <f>INDEX(Items!$C$2:$C$25,MATCH(B274,Items!$A$2:$A$25,0))</f>
        <v/>
      </c>
      <c r="D274" s="4" t="n">
        <v>46241</v>
      </c>
      <c r="E274" s="4" t="n">
        <v>46246</v>
      </c>
      <c r="F274" s="4" t="n">
        <v>46245</v>
      </c>
      <c r="G274" t="n">
        <v>5</v>
      </c>
      <c r="H274" s="12">
        <f>INDEX(Items!$D$2:$D$25,MATCH(B274,Items!$A$2:$A$25,0))</f>
        <v/>
      </c>
      <c r="I274" s="12">
        <f>G274*H274</f>
        <v/>
      </c>
      <c r="J274">
        <f>IF(F274="","",F274-D274)</f>
        <v/>
      </c>
      <c r="K274">
        <f>IF(F274="","Open",IF(F274&lt;=E274,"Yes","No"))</f>
        <v/>
      </c>
      <c r="L274">
        <f>IF(F274="","",MAX(0,F274-E274))</f>
        <v/>
      </c>
      <c r="M274" s="13">
        <f>DATE(YEAR(D274),MONTH(D274),1)</f>
        <v/>
      </c>
    </row>
    <row r="275">
      <c r="A275" t="inlineStr">
        <is>
          <t>PO-24275</t>
        </is>
      </c>
      <c r="B275" t="inlineStr">
        <is>
          <t>CAL-002</t>
        </is>
      </c>
      <c r="C275">
        <f>INDEX(Items!$C$2:$C$25,MATCH(B275,Items!$A$2:$A$25,0))</f>
        <v/>
      </c>
      <c r="D275" s="4" t="n">
        <v>46245</v>
      </c>
      <c r="E275" s="4" t="n">
        <v>46266</v>
      </c>
      <c r="F275" s="4" t="n">
        <v>46266</v>
      </c>
      <c r="G275" t="n">
        <v>5</v>
      </c>
      <c r="H275" s="12">
        <f>INDEX(Items!$D$2:$D$25,MATCH(B275,Items!$A$2:$A$25,0))</f>
        <v/>
      </c>
      <c r="I275" s="12">
        <f>G275*H275</f>
        <v/>
      </c>
      <c r="J275">
        <f>IF(F275="","",F275-D275)</f>
        <v/>
      </c>
      <c r="K275">
        <f>IF(F275="","Open",IF(F275&lt;=E275,"Yes","No"))</f>
        <v/>
      </c>
      <c r="L275">
        <f>IF(F275="","",MAX(0,F275-E275))</f>
        <v/>
      </c>
      <c r="M275" s="13">
        <f>DATE(YEAR(D275),MONTH(D275),1)</f>
        <v/>
      </c>
    </row>
    <row r="276">
      <c r="A276" t="inlineStr">
        <is>
          <t>PO-24276</t>
        </is>
      </c>
      <c r="B276" t="inlineStr">
        <is>
          <t>MED-003</t>
        </is>
      </c>
      <c r="C276">
        <f>INDEX(Items!$C$2:$C$25,MATCH(B276,Items!$A$2:$A$25,0))</f>
        <v/>
      </c>
      <c r="D276" s="4" t="n">
        <v>46245</v>
      </c>
      <c r="E276" s="4" t="n">
        <v>46255</v>
      </c>
      <c r="F276" s="4" t="n">
        <v>46252</v>
      </c>
      <c r="G276" t="n">
        <v>24</v>
      </c>
      <c r="H276" s="12">
        <f>INDEX(Items!$D$2:$D$25,MATCH(B276,Items!$A$2:$A$25,0))</f>
        <v/>
      </c>
      <c r="I276" s="12">
        <f>G276*H276</f>
        <v/>
      </c>
      <c r="J276">
        <f>IF(F276="","",F276-D276)</f>
        <v/>
      </c>
      <c r="K276">
        <f>IF(F276="","Open",IF(F276&lt;=E276,"Yes","No"))</f>
        <v/>
      </c>
      <c r="L276">
        <f>IF(F276="","",MAX(0,F276-E276))</f>
        <v/>
      </c>
      <c r="M276" s="13">
        <f>DATE(YEAR(D276),MONTH(D276),1)</f>
        <v/>
      </c>
    </row>
    <row r="277">
      <c r="A277" t="inlineStr">
        <is>
          <t>PO-24277</t>
        </is>
      </c>
      <c r="B277" t="inlineStr">
        <is>
          <t>BIO-001</t>
        </is>
      </c>
      <c r="C277">
        <f>INDEX(Items!$C$2:$C$25,MATCH(B277,Items!$A$2:$A$25,0))</f>
        <v/>
      </c>
      <c r="D277" s="4" t="n">
        <v>46248</v>
      </c>
      <c r="E277" s="4" t="n">
        <v>46266</v>
      </c>
      <c r="F277" s="4" t="n">
        <v>46265</v>
      </c>
      <c r="G277" t="n">
        <v>6</v>
      </c>
      <c r="H277" s="12">
        <f>INDEX(Items!$D$2:$D$25,MATCH(B277,Items!$A$2:$A$25,0))</f>
        <v/>
      </c>
      <c r="I277" s="12">
        <f>G277*H277</f>
        <v/>
      </c>
      <c r="J277">
        <f>IF(F277="","",F277-D277)</f>
        <v/>
      </c>
      <c r="K277">
        <f>IF(F277="","Open",IF(F277&lt;=E277,"Yes","No"))</f>
        <v/>
      </c>
      <c r="L277">
        <f>IF(F277="","",MAX(0,F277-E277))</f>
        <v/>
      </c>
      <c r="M277" s="13">
        <f>DATE(YEAR(D277),MONTH(D277),1)</f>
        <v/>
      </c>
    </row>
    <row r="278">
      <c r="A278" t="inlineStr">
        <is>
          <t>PO-24278</t>
        </is>
      </c>
      <c r="B278" t="inlineStr">
        <is>
          <t>CON-004</t>
        </is>
      </c>
      <c r="C278">
        <f>INDEX(Items!$C$2:$C$25,MATCH(B278,Items!$A$2:$A$25,0))</f>
        <v/>
      </c>
      <c r="D278" s="4" t="n">
        <v>46248</v>
      </c>
      <c r="E278" s="4" t="n">
        <v>46255</v>
      </c>
      <c r="F278" s="4" t="n">
        <v>46252</v>
      </c>
      <c r="G278" t="n">
        <v>10</v>
      </c>
      <c r="H278" s="12">
        <f>INDEX(Items!$D$2:$D$25,MATCH(B278,Items!$A$2:$A$25,0))</f>
        <v/>
      </c>
      <c r="I278" s="12">
        <f>G278*H278</f>
        <v/>
      </c>
      <c r="J278">
        <f>IF(F278="","",F278-D278)</f>
        <v/>
      </c>
      <c r="K278">
        <f>IF(F278="","Open",IF(F278&lt;=E278,"Yes","No"))</f>
        <v/>
      </c>
      <c r="L278">
        <f>IF(F278="","",MAX(0,F278-E278))</f>
        <v/>
      </c>
      <c r="M278" s="13">
        <f>DATE(YEAR(D278),MONTH(D278),1)</f>
        <v/>
      </c>
    </row>
    <row r="279">
      <c r="A279" t="inlineStr">
        <is>
          <t>PO-24279</t>
        </is>
      </c>
      <c r="B279" t="inlineStr">
        <is>
          <t>MED-004</t>
        </is>
      </c>
      <c r="C279">
        <f>INDEX(Items!$C$2:$C$25,MATCH(B279,Items!$A$2:$A$25,0))</f>
        <v/>
      </c>
      <c r="D279" s="4" t="n">
        <v>46251</v>
      </c>
      <c r="E279" s="4" t="n">
        <v>46261</v>
      </c>
      <c r="F279" s="4" t="n">
        <v>46260</v>
      </c>
      <c r="G279" t="n">
        <v>20</v>
      </c>
      <c r="H279" s="12">
        <f>INDEX(Items!$D$2:$D$25,MATCH(B279,Items!$A$2:$A$25,0))</f>
        <v/>
      </c>
      <c r="I279" s="12">
        <f>G279*H279</f>
        <v/>
      </c>
      <c r="J279">
        <f>IF(F279="","",F279-D279)</f>
        <v/>
      </c>
      <c r="K279">
        <f>IF(F279="","Open",IF(F279&lt;=E279,"Yes","No"))</f>
        <v/>
      </c>
      <c r="L279">
        <f>IF(F279="","",MAX(0,F279-E279))</f>
        <v/>
      </c>
      <c r="M279" s="13">
        <f>DATE(YEAR(D279),MONTH(D279),1)</f>
        <v/>
      </c>
    </row>
    <row r="280">
      <c r="A280" t="inlineStr">
        <is>
          <t>PO-24280</t>
        </is>
      </c>
      <c r="B280" t="inlineStr">
        <is>
          <t>MED-004</t>
        </is>
      </c>
      <c r="C280">
        <f>INDEX(Items!$C$2:$C$25,MATCH(B280,Items!$A$2:$A$25,0))</f>
        <v/>
      </c>
      <c r="D280" s="4" t="n">
        <v>46252</v>
      </c>
      <c r="E280" s="4" t="n">
        <v>46262</v>
      </c>
      <c r="F280" s="4" t="n">
        <v>46260</v>
      </c>
      <c r="G280" t="n">
        <v>40</v>
      </c>
      <c r="H280" s="12">
        <f>INDEX(Items!$D$2:$D$25,MATCH(B280,Items!$A$2:$A$25,0))</f>
        <v/>
      </c>
      <c r="I280" s="12">
        <f>G280*H280</f>
        <v/>
      </c>
      <c r="J280">
        <f>IF(F280="","",F280-D280)</f>
        <v/>
      </c>
      <c r="K280">
        <f>IF(F280="","Open",IF(F280&lt;=E280,"Yes","No"))</f>
        <v/>
      </c>
      <c r="L280">
        <f>IF(F280="","",MAX(0,F280-E280))</f>
        <v/>
      </c>
      <c r="M280" s="13">
        <f>DATE(YEAR(D280),MONTH(D280),1)</f>
        <v/>
      </c>
    </row>
    <row r="281">
      <c r="A281" t="inlineStr">
        <is>
          <t>PO-24281</t>
        </is>
      </c>
      <c r="B281" t="inlineStr">
        <is>
          <t>STR-001</t>
        </is>
      </c>
      <c r="C281">
        <f>INDEX(Items!$C$2:$C$25,MATCH(B281,Items!$A$2:$A$25,0))</f>
        <v/>
      </c>
      <c r="D281" s="4" t="n">
        <v>46253</v>
      </c>
      <c r="E281" s="4" t="n">
        <v>46265</v>
      </c>
      <c r="F281" s="4" t="n">
        <v>46262</v>
      </c>
      <c r="G281" t="n">
        <v>4</v>
      </c>
      <c r="H281" s="12">
        <f>INDEX(Items!$D$2:$D$25,MATCH(B281,Items!$A$2:$A$25,0))</f>
        <v/>
      </c>
      <c r="I281" s="12">
        <f>G281*H281</f>
        <v/>
      </c>
      <c r="J281">
        <f>IF(F281="","",F281-D281)</f>
        <v/>
      </c>
      <c r="K281">
        <f>IF(F281="","Open",IF(F281&lt;=E281,"Yes","No"))</f>
        <v/>
      </c>
      <c r="L281">
        <f>IF(F281="","",MAX(0,F281-E281))</f>
        <v/>
      </c>
      <c r="M281" s="13">
        <f>DATE(YEAR(D281),MONTH(D281),1)</f>
        <v/>
      </c>
    </row>
    <row r="282">
      <c r="A282" t="inlineStr">
        <is>
          <t>PO-24282</t>
        </is>
      </c>
      <c r="B282" t="inlineStr">
        <is>
          <t>GLS-001</t>
        </is>
      </c>
      <c r="C282">
        <f>INDEX(Items!$C$2:$C$25,MATCH(B282,Items!$A$2:$A$25,0))</f>
        <v/>
      </c>
      <c r="D282" s="4" t="n">
        <v>46254</v>
      </c>
      <c r="E282" s="4" t="n">
        <v>46263</v>
      </c>
      <c r="F282" s="4" t="n">
        <v>46265</v>
      </c>
      <c r="G282" t="n">
        <v>1</v>
      </c>
      <c r="H282" s="12">
        <f>INDEX(Items!$D$2:$D$25,MATCH(B282,Items!$A$2:$A$25,0))</f>
        <v/>
      </c>
      <c r="I282" s="12">
        <f>G282*H282</f>
        <v/>
      </c>
      <c r="J282">
        <f>IF(F282="","",F282-D282)</f>
        <v/>
      </c>
      <c r="K282">
        <f>IF(F282="","Open",IF(F282&lt;=E282,"Yes","No"))</f>
        <v/>
      </c>
      <c r="L282">
        <f>IF(F282="","",MAX(0,F282-E282))</f>
        <v/>
      </c>
      <c r="M282" s="13">
        <f>DATE(YEAR(D282),MONTH(D282),1)</f>
        <v/>
      </c>
    </row>
    <row r="283">
      <c r="A283" t="inlineStr">
        <is>
          <t>PO-24283</t>
        </is>
      </c>
      <c r="B283" t="inlineStr">
        <is>
          <t>BIO-002</t>
        </is>
      </c>
      <c r="C283">
        <f>INDEX(Items!$C$2:$C$25,MATCH(B283,Items!$A$2:$A$25,0))</f>
        <v/>
      </c>
      <c r="D283" s="4" t="n">
        <v>46255</v>
      </c>
      <c r="E283" s="4" t="n">
        <v>46273</v>
      </c>
      <c r="F283" s="4" t="n">
        <v>46270</v>
      </c>
      <c r="G283" t="n">
        <v>3</v>
      </c>
      <c r="H283" s="12">
        <f>INDEX(Items!$D$2:$D$25,MATCH(B283,Items!$A$2:$A$25,0))</f>
        <v/>
      </c>
      <c r="I283" s="12">
        <f>G283*H283</f>
        <v/>
      </c>
      <c r="J283">
        <f>IF(F283="","",F283-D283)</f>
        <v/>
      </c>
      <c r="K283">
        <f>IF(F283="","Open",IF(F283&lt;=E283,"Yes","No"))</f>
        <v/>
      </c>
      <c r="L283">
        <f>IF(F283="","",MAX(0,F283-E283))</f>
        <v/>
      </c>
      <c r="M283" s="13">
        <f>DATE(YEAR(D283),MONTH(D283),1)</f>
        <v/>
      </c>
    </row>
    <row r="284">
      <c r="A284" t="inlineStr">
        <is>
          <t>PO-24284</t>
        </is>
      </c>
      <c r="B284" t="inlineStr">
        <is>
          <t>GAS-001</t>
        </is>
      </c>
      <c r="C284">
        <f>INDEX(Items!$C$2:$C$25,MATCH(B284,Items!$A$2:$A$25,0))</f>
        <v/>
      </c>
      <c r="D284" s="4" t="n">
        <v>46255</v>
      </c>
      <c r="E284" s="4" t="n">
        <v>46260</v>
      </c>
      <c r="F284" s="4" t="n">
        <v>46269</v>
      </c>
      <c r="G284" t="n">
        <v>2</v>
      </c>
      <c r="H284" s="12">
        <f>INDEX(Items!$D$2:$D$25,MATCH(B284,Items!$A$2:$A$25,0))</f>
        <v/>
      </c>
      <c r="I284" s="12">
        <f>G284*H284</f>
        <v/>
      </c>
      <c r="J284">
        <f>IF(F284="","",F284-D284)</f>
        <v/>
      </c>
      <c r="K284">
        <f>IF(F284="","Open",IF(F284&lt;=E284,"Yes","No"))</f>
        <v/>
      </c>
      <c r="L284">
        <f>IF(F284="","",MAX(0,F284-E284))</f>
        <v/>
      </c>
      <c r="M284" s="13">
        <f>DATE(YEAR(D284),MONTH(D284),1)</f>
        <v/>
      </c>
    </row>
    <row r="285">
      <c r="A285" t="inlineStr">
        <is>
          <t>PO-24285</t>
        </is>
      </c>
      <c r="B285" t="inlineStr">
        <is>
          <t>MED-005</t>
        </is>
      </c>
      <c r="C285">
        <f>INDEX(Items!$C$2:$C$25,MATCH(B285,Items!$A$2:$A$25,0))</f>
        <v/>
      </c>
      <c r="D285" s="4" t="n">
        <v>46255</v>
      </c>
      <c r="E285" s="4" t="n">
        <v>46265</v>
      </c>
      <c r="F285" s="4" t="n">
        <v>46265</v>
      </c>
      <c r="G285" t="n">
        <v>30</v>
      </c>
      <c r="H285" s="12">
        <f>INDEX(Items!$D$2:$D$25,MATCH(B285,Items!$A$2:$A$25,0))</f>
        <v/>
      </c>
      <c r="I285" s="12">
        <f>G285*H285</f>
        <v/>
      </c>
      <c r="J285">
        <f>IF(F285="","",F285-D285)</f>
        <v/>
      </c>
      <c r="K285">
        <f>IF(F285="","Open",IF(F285&lt;=E285,"Yes","No"))</f>
        <v/>
      </c>
      <c r="L285">
        <f>IF(F285="","",MAX(0,F285-E285))</f>
        <v/>
      </c>
      <c r="M285" s="13">
        <f>DATE(YEAR(D285),MONTH(D285),1)</f>
        <v/>
      </c>
    </row>
    <row r="286">
      <c r="A286" t="inlineStr">
        <is>
          <t>PO-24286</t>
        </is>
      </c>
      <c r="B286" t="inlineStr">
        <is>
          <t>STR-002</t>
        </is>
      </c>
      <c r="C286">
        <f>INDEX(Items!$C$2:$C$25,MATCH(B286,Items!$A$2:$A$25,0))</f>
        <v/>
      </c>
      <c r="D286" s="4" t="n">
        <v>46256</v>
      </c>
      <c r="E286" s="4" t="n">
        <v>46268</v>
      </c>
      <c r="F286" s="4" t="n">
        <v>46267</v>
      </c>
      <c r="G286" t="n">
        <v>6</v>
      </c>
      <c r="H286" s="12">
        <f>INDEX(Items!$D$2:$D$25,MATCH(B286,Items!$A$2:$A$25,0))</f>
        <v/>
      </c>
      <c r="I286" s="12">
        <f>G286*H286</f>
        <v/>
      </c>
      <c r="J286">
        <f>IF(F286="","",F286-D286)</f>
        <v/>
      </c>
      <c r="K286">
        <f>IF(F286="","Open",IF(F286&lt;=E286,"Yes","No"))</f>
        <v/>
      </c>
      <c r="L286">
        <f>IF(F286="","",MAX(0,F286-E286))</f>
        <v/>
      </c>
      <c r="M286" s="13">
        <f>DATE(YEAR(D286),MONTH(D286),1)</f>
        <v/>
      </c>
    </row>
    <row r="287">
      <c r="A287" t="inlineStr">
        <is>
          <t>PO-24287</t>
        </is>
      </c>
      <c r="B287" t="inlineStr">
        <is>
          <t>CON-004</t>
        </is>
      </c>
      <c r="C287">
        <f>INDEX(Items!$C$2:$C$25,MATCH(B287,Items!$A$2:$A$25,0))</f>
        <v/>
      </c>
      <c r="D287" s="4" t="n">
        <v>46257</v>
      </c>
      <c r="E287" s="4" t="n">
        <v>46264</v>
      </c>
      <c r="F287" s="4" t="n">
        <v>46264</v>
      </c>
      <c r="G287" t="n">
        <v>12</v>
      </c>
      <c r="H287" s="12">
        <f>INDEX(Items!$D$2:$D$25,MATCH(B287,Items!$A$2:$A$25,0))</f>
        <v/>
      </c>
      <c r="I287" s="12">
        <f>G287*H287</f>
        <v/>
      </c>
      <c r="J287">
        <f>IF(F287="","",F287-D287)</f>
        <v/>
      </c>
      <c r="K287">
        <f>IF(F287="","Open",IF(F287&lt;=E287,"Yes","No"))</f>
        <v/>
      </c>
      <c r="L287">
        <f>IF(F287="","",MAX(0,F287-E287))</f>
        <v/>
      </c>
      <c r="M287" s="13">
        <f>DATE(YEAR(D287),MONTH(D287),1)</f>
        <v/>
      </c>
    </row>
    <row r="288">
      <c r="A288" t="inlineStr">
        <is>
          <t>PO-24288</t>
        </is>
      </c>
      <c r="B288" t="inlineStr">
        <is>
          <t>GAS-001</t>
        </is>
      </c>
      <c r="C288">
        <f>INDEX(Items!$C$2:$C$25,MATCH(B288,Items!$A$2:$A$25,0))</f>
        <v/>
      </c>
      <c r="D288" s="4" t="n">
        <v>46262</v>
      </c>
      <c r="E288" s="4" t="n">
        <v>46267</v>
      </c>
      <c r="F288" s="4" t="n">
        <v>46264</v>
      </c>
      <c r="G288" t="n">
        <v>4</v>
      </c>
      <c r="H288" s="12">
        <f>INDEX(Items!$D$2:$D$25,MATCH(B288,Items!$A$2:$A$25,0))</f>
        <v/>
      </c>
      <c r="I288" s="12">
        <f>G288*H288</f>
        <v/>
      </c>
      <c r="J288">
        <f>IF(F288="","",F288-D288)</f>
        <v/>
      </c>
      <c r="K288">
        <f>IF(F288="","Open",IF(F288&lt;=E288,"Yes","No"))</f>
        <v/>
      </c>
      <c r="L288">
        <f>IF(F288="","",MAX(0,F288-E288))</f>
        <v/>
      </c>
      <c r="M288" s="13">
        <f>DATE(YEAR(D288),MONTH(D288),1)</f>
        <v/>
      </c>
    </row>
    <row r="289">
      <c r="A289" t="inlineStr">
        <is>
          <t>PO-24289</t>
        </is>
      </c>
      <c r="B289" t="inlineStr">
        <is>
          <t>BIO-002</t>
        </is>
      </c>
      <c r="C289">
        <f>INDEX(Items!$C$2:$C$25,MATCH(B289,Items!$A$2:$A$25,0))</f>
        <v/>
      </c>
      <c r="D289" s="4" t="n">
        <v>46263</v>
      </c>
      <c r="E289" s="4" t="n">
        <v>46281</v>
      </c>
      <c r="F289" s="4" t="n">
        <v>46278</v>
      </c>
      <c r="G289" t="n">
        <v>1</v>
      </c>
      <c r="H289" s="12">
        <f>INDEX(Items!$D$2:$D$25,MATCH(B289,Items!$A$2:$A$25,0))</f>
        <v/>
      </c>
      <c r="I289" s="12">
        <f>G289*H289</f>
        <v/>
      </c>
      <c r="J289">
        <f>IF(F289="","",F289-D289)</f>
        <v/>
      </c>
      <c r="K289">
        <f>IF(F289="","Open",IF(F289&lt;=E289,"Yes","No"))</f>
        <v/>
      </c>
      <c r="L289">
        <f>IF(F289="","",MAX(0,F289-E289))</f>
        <v/>
      </c>
      <c r="M289" s="13">
        <f>DATE(YEAR(D289),MONTH(D289),1)</f>
        <v/>
      </c>
    </row>
    <row r="290">
      <c r="A290" t="inlineStr">
        <is>
          <t>PO-24290</t>
        </is>
      </c>
      <c r="B290" t="inlineStr">
        <is>
          <t>CON-001</t>
        </is>
      </c>
      <c r="C290">
        <f>INDEX(Items!$C$2:$C$25,MATCH(B290,Items!$A$2:$A$25,0))</f>
        <v/>
      </c>
      <c r="D290" s="4" t="n">
        <v>46263</v>
      </c>
      <c r="E290" s="4" t="n">
        <v>46270</v>
      </c>
      <c r="F290" s="4" t="n">
        <v>46269</v>
      </c>
      <c r="G290" t="n">
        <v>3</v>
      </c>
      <c r="H290" s="12">
        <f>INDEX(Items!$D$2:$D$25,MATCH(B290,Items!$A$2:$A$25,0))</f>
        <v/>
      </c>
      <c r="I290" s="12">
        <f>G290*H290</f>
        <v/>
      </c>
      <c r="J290">
        <f>IF(F290="","",F290-D290)</f>
        <v/>
      </c>
      <c r="K290">
        <f>IF(F290="","Open",IF(F290&lt;=E290,"Yes","No"))</f>
        <v/>
      </c>
      <c r="L290">
        <f>IF(F290="","",MAX(0,F290-E290))</f>
        <v/>
      </c>
      <c r="M290" s="13">
        <f>DATE(YEAR(D290),MONTH(D290),1)</f>
        <v/>
      </c>
    </row>
    <row r="291">
      <c r="A291" t="inlineStr">
        <is>
          <t>PO-24291</t>
        </is>
      </c>
      <c r="B291" t="inlineStr">
        <is>
          <t>BIO-002</t>
        </is>
      </c>
      <c r="C291">
        <f>INDEX(Items!$C$2:$C$25,MATCH(B291,Items!$A$2:$A$25,0))</f>
        <v/>
      </c>
      <c r="D291" s="4" t="n">
        <v>46264</v>
      </c>
      <c r="E291" s="4" t="n">
        <v>46282</v>
      </c>
      <c r="F291" s="4" t="n">
        <v>46279</v>
      </c>
      <c r="G291" t="n">
        <v>1</v>
      </c>
      <c r="H291" s="12">
        <f>INDEX(Items!$D$2:$D$25,MATCH(B291,Items!$A$2:$A$25,0))</f>
        <v/>
      </c>
      <c r="I291" s="12">
        <f>G291*H291</f>
        <v/>
      </c>
      <c r="J291">
        <f>IF(F291="","",F291-D291)</f>
        <v/>
      </c>
      <c r="K291">
        <f>IF(F291="","Open",IF(F291&lt;=E291,"Yes","No"))</f>
        <v/>
      </c>
      <c r="L291">
        <f>IF(F291="","",MAX(0,F291-E291))</f>
        <v/>
      </c>
      <c r="M291" s="13">
        <f>DATE(YEAR(D291),MONTH(D291),1)</f>
        <v/>
      </c>
    </row>
    <row r="292">
      <c r="A292" t="inlineStr">
        <is>
          <t>PO-24292</t>
        </is>
      </c>
      <c r="B292" t="inlineStr">
        <is>
          <t>CAL-001</t>
        </is>
      </c>
      <c r="C292">
        <f>INDEX(Items!$C$2:$C$25,MATCH(B292,Items!$A$2:$A$25,0))</f>
        <v/>
      </c>
      <c r="D292" s="4" t="n">
        <v>46264</v>
      </c>
      <c r="E292" s="4" t="n">
        <v>46285</v>
      </c>
      <c r="F292" s="4" t="n">
        <v>46293</v>
      </c>
      <c r="G292" t="n">
        <v>25</v>
      </c>
      <c r="H292" s="12">
        <f>INDEX(Items!$D$2:$D$25,MATCH(B292,Items!$A$2:$A$25,0))</f>
        <v/>
      </c>
      <c r="I292" s="12">
        <f>G292*H292</f>
        <v/>
      </c>
      <c r="J292">
        <f>IF(F292="","",F292-D292)</f>
        <v/>
      </c>
      <c r="K292">
        <f>IF(F292="","Open",IF(F292&lt;=E292,"Yes","No"))</f>
        <v/>
      </c>
      <c r="L292">
        <f>IF(F292="","",MAX(0,F292-E292))</f>
        <v/>
      </c>
      <c r="M292" s="13">
        <f>DATE(YEAR(D292),MONTH(D292),1)</f>
        <v/>
      </c>
    </row>
    <row r="293">
      <c r="A293" t="inlineStr">
        <is>
          <t>PO-24293</t>
        </is>
      </c>
      <c r="B293" t="inlineStr">
        <is>
          <t>GAS-001</t>
        </is>
      </c>
      <c r="C293">
        <f>INDEX(Items!$C$2:$C$25,MATCH(B293,Items!$A$2:$A$25,0))</f>
        <v/>
      </c>
      <c r="D293" s="4" t="n">
        <v>46264</v>
      </c>
      <c r="E293" s="4" t="n">
        <v>46269</v>
      </c>
      <c r="F293" s="4" t="n">
        <v>46267</v>
      </c>
      <c r="G293" t="n">
        <v>2</v>
      </c>
      <c r="H293" s="12">
        <f>INDEX(Items!$D$2:$D$25,MATCH(B293,Items!$A$2:$A$25,0))</f>
        <v/>
      </c>
      <c r="I293" s="12">
        <f>G293*H293</f>
        <v/>
      </c>
      <c r="J293">
        <f>IF(F293="","",F293-D293)</f>
        <v/>
      </c>
      <c r="K293">
        <f>IF(F293="","Open",IF(F293&lt;=E293,"Yes","No"))</f>
        <v/>
      </c>
      <c r="L293">
        <f>IF(F293="","",MAX(0,F293-E293))</f>
        <v/>
      </c>
      <c r="M293" s="13">
        <f>DATE(YEAR(D293),MONTH(D293),1)</f>
        <v/>
      </c>
    </row>
    <row r="294">
      <c r="A294" t="inlineStr">
        <is>
          <t>PO-24294</t>
        </is>
      </c>
      <c r="B294" t="inlineStr">
        <is>
          <t>MED-005</t>
        </is>
      </c>
      <c r="C294">
        <f>INDEX(Items!$C$2:$C$25,MATCH(B294,Items!$A$2:$A$25,0))</f>
        <v/>
      </c>
      <c r="D294" s="4" t="n">
        <v>46266</v>
      </c>
      <c r="E294" s="4" t="n">
        <v>46276</v>
      </c>
      <c r="F294" s="4" t="n">
        <v>46273</v>
      </c>
      <c r="G294" t="n">
        <v>20</v>
      </c>
      <c r="H294" s="12">
        <f>INDEX(Items!$D$2:$D$25,MATCH(B294,Items!$A$2:$A$25,0))</f>
        <v/>
      </c>
      <c r="I294" s="12">
        <f>G294*H294</f>
        <v/>
      </c>
      <c r="J294">
        <f>IF(F294="","",F294-D294)</f>
        <v/>
      </c>
      <c r="K294">
        <f>IF(F294="","Open",IF(F294&lt;=E294,"Yes","No"))</f>
        <v/>
      </c>
      <c r="L294">
        <f>IF(F294="","",MAX(0,F294-E294))</f>
        <v/>
      </c>
      <c r="M294" s="13">
        <f>DATE(YEAR(D294),MONTH(D294),1)</f>
        <v/>
      </c>
    </row>
    <row r="295">
      <c r="A295" t="inlineStr">
        <is>
          <t>PO-24295</t>
        </is>
      </c>
      <c r="B295" t="inlineStr">
        <is>
          <t>RGT-004</t>
        </is>
      </c>
      <c r="C295">
        <f>INDEX(Items!$C$2:$C$25,MATCH(B295,Items!$A$2:$A$25,0))</f>
        <v/>
      </c>
      <c r="D295" s="4" t="n">
        <v>46267</v>
      </c>
      <c r="E295" s="4" t="n">
        <v>46281</v>
      </c>
      <c r="F295" s="4" t="n">
        <v>46280</v>
      </c>
      <c r="G295" t="n">
        <v>6</v>
      </c>
      <c r="H295" s="12">
        <f>INDEX(Items!$D$2:$D$25,MATCH(B295,Items!$A$2:$A$25,0))</f>
        <v/>
      </c>
      <c r="I295" s="12">
        <f>G295*H295</f>
        <v/>
      </c>
      <c r="J295">
        <f>IF(F295="","",F295-D295)</f>
        <v/>
      </c>
      <c r="K295">
        <f>IF(F295="","Open",IF(F295&lt;=E295,"Yes","No"))</f>
        <v/>
      </c>
      <c r="L295">
        <f>IF(F295="","",MAX(0,F295-E295))</f>
        <v/>
      </c>
      <c r="M295" s="13">
        <f>DATE(YEAR(D295),MONTH(D295),1)</f>
        <v/>
      </c>
    </row>
    <row r="296">
      <c r="A296" t="inlineStr">
        <is>
          <t>PO-24296</t>
        </is>
      </c>
      <c r="B296" t="inlineStr">
        <is>
          <t>RGT-001</t>
        </is>
      </c>
      <c r="C296">
        <f>INDEX(Items!$C$2:$C$25,MATCH(B296,Items!$A$2:$A$25,0))</f>
        <v/>
      </c>
      <c r="D296" s="4" t="n">
        <v>46268</v>
      </c>
      <c r="E296" s="4" t="n">
        <v>46282</v>
      </c>
      <c r="F296" s="4" t="n">
        <v>46291</v>
      </c>
      <c r="G296" t="n">
        <v>6</v>
      </c>
      <c r="H296" s="12">
        <f>INDEX(Items!$D$2:$D$25,MATCH(B296,Items!$A$2:$A$25,0))</f>
        <v/>
      </c>
      <c r="I296" s="12">
        <f>G296*H296</f>
        <v/>
      </c>
      <c r="J296">
        <f>IF(F296="","",F296-D296)</f>
        <v/>
      </c>
      <c r="K296">
        <f>IF(F296="","Open",IF(F296&lt;=E296,"Yes","No"))</f>
        <v/>
      </c>
      <c r="L296">
        <f>IF(F296="","",MAX(0,F296-E296))</f>
        <v/>
      </c>
      <c r="M296" s="13">
        <f>DATE(YEAR(D296),MONTH(D296),1)</f>
        <v/>
      </c>
    </row>
    <row r="297">
      <c r="A297" t="inlineStr">
        <is>
          <t>PO-24297</t>
        </is>
      </c>
      <c r="B297" t="inlineStr">
        <is>
          <t>CON-003</t>
        </is>
      </c>
      <c r="C297">
        <f>INDEX(Items!$C$2:$C$25,MATCH(B297,Items!$A$2:$A$25,0))</f>
        <v/>
      </c>
      <c r="D297" s="4" t="n">
        <v>46271</v>
      </c>
      <c r="E297" s="4" t="n">
        <v>46278</v>
      </c>
      <c r="F297" s="4" t="n">
        <v>46275</v>
      </c>
      <c r="G297" t="n">
        <v>18</v>
      </c>
      <c r="H297" s="12">
        <f>INDEX(Items!$D$2:$D$25,MATCH(B297,Items!$A$2:$A$25,0))</f>
        <v/>
      </c>
      <c r="I297" s="12">
        <f>G297*H297</f>
        <v/>
      </c>
      <c r="J297">
        <f>IF(F297="","",F297-D297)</f>
        <v/>
      </c>
      <c r="K297">
        <f>IF(F297="","Open",IF(F297&lt;=E297,"Yes","No"))</f>
        <v/>
      </c>
      <c r="L297">
        <f>IF(F297="","",MAX(0,F297-E297))</f>
        <v/>
      </c>
      <c r="M297" s="13">
        <f>DATE(YEAR(D297),MONTH(D297),1)</f>
        <v/>
      </c>
    </row>
    <row r="298">
      <c r="A298" t="inlineStr">
        <is>
          <t>PO-24298</t>
        </is>
      </c>
      <c r="B298" t="inlineStr">
        <is>
          <t>STR-001</t>
        </is>
      </c>
      <c r="C298">
        <f>INDEX(Items!$C$2:$C$25,MATCH(B298,Items!$A$2:$A$25,0))</f>
        <v/>
      </c>
      <c r="D298" s="4" t="n">
        <v>46271</v>
      </c>
      <c r="E298" s="4" t="n">
        <v>46283</v>
      </c>
      <c r="F298" s="4" t="n">
        <v>46282</v>
      </c>
      <c r="G298" t="n">
        <v>5</v>
      </c>
      <c r="H298" s="12">
        <f>INDEX(Items!$D$2:$D$25,MATCH(B298,Items!$A$2:$A$25,0))</f>
        <v/>
      </c>
      <c r="I298" s="12">
        <f>G298*H298</f>
        <v/>
      </c>
      <c r="J298">
        <f>IF(F298="","",F298-D298)</f>
        <v/>
      </c>
      <c r="K298">
        <f>IF(F298="","Open",IF(F298&lt;=E298,"Yes","No"))</f>
        <v/>
      </c>
      <c r="L298">
        <f>IF(F298="","",MAX(0,F298-E298))</f>
        <v/>
      </c>
      <c r="M298" s="13">
        <f>DATE(YEAR(D298),MONTH(D298),1)</f>
        <v/>
      </c>
    </row>
    <row r="299">
      <c r="A299" t="inlineStr">
        <is>
          <t>PO-24299</t>
        </is>
      </c>
      <c r="B299" t="inlineStr">
        <is>
          <t>RGT-004</t>
        </is>
      </c>
      <c r="C299">
        <f>INDEX(Items!$C$2:$C$25,MATCH(B299,Items!$A$2:$A$25,0))</f>
        <v/>
      </c>
      <c r="D299" s="4" t="n">
        <v>46272</v>
      </c>
      <c r="E299" s="4" t="n">
        <v>46286</v>
      </c>
      <c r="F299" s="4" t="n">
        <v>46294</v>
      </c>
      <c r="G299" t="n">
        <v>6</v>
      </c>
      <c r="H299" s="12">
        <f>INDEX(Items!$D$2:$D$25,MATCH(B299,Items!$A$2:$A$25,0))</f>
        <v/>
      </c>
      <c r="I299" s="12">
        <f>G299*H299</f>
        <v/>
      </c>
      <c r="J299">
        <f>IF(F299="","",F299-D299)</f>
        <v/>
      </c>
      <c r="K299">
        <f>IF(F299="","Open",IF(F299&lt;=E299,"Yes","No"))</f>
        <v/>
      </c>
      <c r="L299">
        <f>IF(F299="","",MAX(0,F299-E299))</f>
        <v/>
      </c>
      <c r="M299" s="13">
        <f>DATE(YEAR(D299),MONTH(D299),1)</f>
        <v/>
      </c>
    </row>
    <row r="300">
      <c r="A300" t="inlineStr">
        <is>
          <t>PO-24300</t>
        </is>
      </c>
      <c r="B300" t="inlineStr">
        <is>
          <t>CON-002</t>
        </is>
      </c>
      <c r="C300">
        <f>INDEX(Items!$C$2:$C$25,MATCH(B300,Items!$A$2:$A$25,0))</f>
        <v/>
      </c>
      <c r="D300" s="4" t="n">
        <v>46273</v>
      </c>
      <c r="E300" s="4" t="n">
        <v>46280</v>
      </c>
      <c r="F300" s="4" t="n">
        <v>46277</v>
      </c>
      <c r="G300" t="n">
        <v>36</v>
      </c>
      <c r="H300" s="12">
        <f>INDEX(Items!$D$2:$D$25,MATCH(B300,Items!$A$2:$A$25,0))</f>
        <v/>
      </c>
      <c r="I300" s="12">
        <f>G300*H300</f>
        <v/>
      </c>
      <c r="J300">
        <f>IF(F300="","",F300-D300)</f>
        <v/>
      </c>
      <c r="K300">
        <f>IF(F300="","Open",IF(F300&lt;=E300,"Yes","No"))</f>
        <v/>
      </c>
      <c r="L300">
        <f>IF(F300="","",MAX(0,F300-E300))</f>
        <v/>
      </c>
      <c r="M300" s="13">
        <f>DATE(YEAR(D300),MONTH(D300),1)</f>
        <v/>
      </c>
    </row>
    <row r="301">
      <c r="A301" t="inlineStr">
        <is>
          <t>PO-24301</t>
        </is>
      </c>
      <c r="B301" t="inlineStr">
        <is>
          <t>RGT-002</t>
        </is>
      </c>
      <c r="C301">
        <f>INDEX(Items!$C$2:$C$25,MATCH(B301,Items!$A$2:$A$25,0))</f>
        <v/>
      </c>
      <c r="D301" s="4" t="n">
        <v>46273</v>
      </c>
      <c r="E301" s="4" t="n">
        <v>46287</v>
      </c>
      <c r="F301" s="4" t="n">
        <v>46286</v>
      </c>
      <c r="G301" t="n">
        <v>3</v>
      </c>
      <c r="H301" s="12">
        <f>INDEX(Items!$D$2:$D$25,MATCH(B301,Items!$A$2:$A$25,0))</f>
        <v/>
      </c>
      <c r="I301" s="12">
        <f>G301*H301</f>
        <v/>
      </c>
      <c r="J301">
        <f>IF(F301="","",F301-D301)</f>
        <v/>
      </c>
      <c r="K301">
        <f>IF(F301="","Open",IF(F301&lt;=E301,"Yes","No"))</f>
        <v/>
      </c>
      <c r="L301">
        <f>IF(F301="","",MAX(0,F301-E301))</f>
        <v/>
      </c>
      <c r="M301" s="13">
        <f>DATE(YEAR(D301),MONTH(D301),1)</f>
        <v/>
      </c>
    </row>
    <row r="302">
      <c r="A302" t="inlineStr">
        <is>
          <t>PO-24302</t>
        </is>
      </c>
      <c r="B302" t="inlineStr">
        <is>
          <t>GLS-002</t>
        </is>
      </c>
      <c r="C302">
        <f>INDEX(Items!$C$2:$C$25,MATCH(B302,Items!$A$2:$A$25,0))</f>
        <v/>
      </c>
      <c r="D302" s="4" t="n">
        <v>46274</v>
      </c>
      <c r="E302" s="4" t="n">
        <v>46283</v>
      </c>
      <c r="F302" s="4" t="n">
        <v>46280</v>
      </c>
      <c r="G302" t="n">
        <v>1</v>
      </c>
      <c r="H302" s="12">
        <f>INDEX(Items!$D$2:$D$25,MATCH(B302,Items!$A$2:$A$25,0))</f>
        <v/>
      </c>
      <c r="I302" s="12">
        <f>G302*H302</f>
        <v/>
      </c>
      <c r="J302">
        <f>IF(F302="","",F302-D302)</f>
        <v/>
      </c>
      <c r="K302">
        <f>IF(F302="","Open",IF(F302&lt;=E302,"Yes","No"))</f>
        <v/>
      </c>
      <c r="L302">
        <f>IF(F302="","",MAX(0,F302-E302))</f>
        <v/>
      </c>
      <c r="M302" s="13">
        <f>DATE(YEAR(D302),MONTH(D302),1)</f>
        <v/>
      </c>
    </row>
    <row r="303">
      <c r="A303" t="inlineStr">
        <is>
          <t>PO-24303</t>
        </is>
      </c>
      <c r="B303" t="inlineStr">
        <is>
          <t>MED-002</t>
        </is>
      </c>
      <c r="C303">
        <f>INDEX(Items!$C$2:$C$25,MATCH(B303,Items!$A$2:$A$25,0))</f>
        <v/>
      </c>
      <c r="D303" s="4" t="n">
        <v>46275</v>
      </c>
      <c r="E303" s="4" t="n">
        <v>46285</v>
      </c>
      <c r="F303" s="4" t="n">
        <v>46285</v>
      </c>
      <c r="G303" t="n">
        <v>7</v>
      </c>
      <c r="H303" s="12">
        <f>INDEX(Items!$D$2:$D$25,MATCH(B303,Items!$A$2:$A$25,0))</f>
        <v/>
      </c>
      <c r="I303" s="12">
        <f>G303*H303</f>
        <v/>
      </c>
      <c r="J303">
        <f>IF(F303="","",F303-D303)</f>
        <v/>
      </c>
      <c r="K303">
        <f>IF(F303="","Open",IF(F303&lt;=E303,"Yes","No"))</f>
        <v/>
      </c>
      <c r="L303">
        <f>IF(F303="","",MAX(0,F303-E303))</f>
        <v/>
      </c>
      <c r="M303" s="13">
        <f>DATE(YEAR(D303),MONTH(D303),1)</f>
        <v/>
      </c>
    </row>
    <row r="304">
      <c r="A304" t="inlineStr">
        <is>
          <t>PO-24304</t>
        </is>
      </c>
      <c r="B304" t="inlineStr">
        <is>
          <t>MED-003</t>
        </is>
      </c>
      <c r="C304">
        <f>INDEX(Items!$C$2:$C$25,MATCH(B304,Items!$A$2:$A$25,0))</f>
        <v/>
      </c>
      <c r="D304" s="4" t="n">
        <v>46276</v>
      </c>
      <c r="E304" s="4" t="n">
        <v>46286</v>
      </c>
      <c r="F304" s="4" t="n">
        <v>46283</v>
      </c>
      <c r="G304" t="n">
        <v>6</v>
      </c>
      <c r="H304" s="12">
        <f>INDEX(Items!$D$2:$D$25,MATCH(B304,Items!$A$2:$A$25,0))</f>
        <v/>
      </c>
      <c r="I304" s="12">
        <f>G304*H304</f>
        <v/>
      </c>
      <c r="J304">
        <f>IF(F304="","",F304-D304)</f>
        <v/>
      </c>
      <c r="K304">
        <f>IF(F304="","Open",IF(F304&lt;=E304,"Yes","No"))</f>
        <v/>
      </c>
      <c r="L304">
        <f>IF(F304="","",MAX(0,F304-E304))</f>
        <v/>
      </c>
      <c r="M304" s="13">
        <f>DATE(YEAR(D304),MONTH(D304),1)</f>
        <v/>
      </c>
    </row>
    <row r="305">
      <c r="A305" t="inlineStr">
        <is>
          <t>PO-24305</t>
        </is>
      </c>
      <c r="B305" t="inlineStr">
        <is>
          <t>RGT-004</t>
        </is>
      </c>
      <c r="C305">
        <f>INDEX(Items!$C$2:$C$25,MATCH(B305,Items!$A$2:$A$25,0))</f>
        <v/>
      </c>
      <c r="D305" s="4" t="n">
        <v>46278</v>
      </c>
      <c r="E305" s="4" t="n">
        <v>46292</v>
      </c>
      <c r="F305" s="4" t="n">
        <v>46291</v>
      </c>
      <c r="G305" t="n">
        <v>12</v>
      </c>
      <c r="H305" s="12">
        <f>INDEX(Items!$D$2:$D$25,MATCH(B305,Items!$A$2:$A$25,0))</f>
        <v/>
      </c>
      <c r="I305" s="12">
        <f>G305*H305</f>
        <v/>
      </c>
      <c r="J305">
        <f>IF(F305="","",F305-D305)</f>
        <v/>
      </c>
      <c r="K305">
        <f>IF(F305="","Open",IF(F305&lt;=E305,"Yes","No"))</f>
        <v/>
      </c>
      <c r="L305">
        <f>IF(F305="","",MAX(0,F305-E305))</f>
        <v/>
      </c>
      <c r="M305" s="13">
        <f>DATE(YEAR(D305),MONTH(D305),1)</f>
        <v/>
      </c>
    </row>
    <row r="306">
      <c r="A306" t="inlineStr">
        <is>
          <t>PO-24306</t>
        </is>
      </c>
      <c r="B306" t="inlineStr">
        <is>
          <t>RGT-002</t>
        </is>
      </c>
      <c r="C306">
        <f>INDEX(Items!$C$2:$C$25,MATCH(B306,Items!$A$2:$A$25,0))</f>
        <v/>
      </c>
      <c r="D306" s="4" t="n">
        <v>46280</v>
      </c>
      <c r="E306" s="4" t="n">
        <v>46294</v>
      </c>
      <c r="F306" s="4" t="n">
        <v>46294</v>
      </c>
      <c r="G306" t="n">
        <v>3</v>
      </c>
      <c r="H306" s="12">
        <f>INDEX(Items!$D$2:$D$25,MATCH(B306,Items!$A$2:$A$25,0))</f>
        <v/>
      </c>
      <c r="I306" s="12">
        <f>G306*H306</f>
        <v/>
      </c>
      <c r="J306">
        <f>IF(F306="","",F306-D306)</f>
        <v/>
      </c>
      <c r="K306">
        <f>IF(F306="","Open",IF(F306&lt;=E306,"Yes","No"))</f>
        <v/>
      </c>
      <c r="L306">
        <f>IF(F306="","",MAX(0,F306-E306))</f>
        <v/>
      </c>
      <c r="M306" s="13">
        <f>DATE(YEAR(D306),MONTH(D306),1)</f>
        <v/>
      </c>
    </row>
    <row r="307">
      <c r="A307" t="inlineStr">
        <is>
          <t>PO-24307</t>
        </is>
      </c>
      <c r="B307" t="inlineStr">
        <is>
          <t>STR-002</t>
        </is>
      </c>
      <c r="C307">
        <f>INDEX(Items!$C$2:$C$25,MATCH(B307,Items!$A$2:$A$25,0))</f>
        <v/>
      </c>
      <c r="D307" s="4" t="n">
        <v>46283</v>
      </c>
      <c r="E307" s="4" t="n">
        <v>46295</v>
      </c>
      <c r="F307" s="4" t="n">
        <v>46292</v>
      </c>
      <c r="G307" t="n">
        <v>6</v>
      </c>
      <c r="H307" s="12">
        <f>INDEX(Items!$D$2:$D$25,MATCH(B307,Items!$A$2:$A$25,0))</f>
        <v/>
      </c>
      <c r="I307" s="12">
        <f>G307*H307</f>
        <v/>
      </c>
      <c r="J307">
        <f>IF(F307="","",F307-D307)</f>
        <v/>
      </c>
      <c r="K307">
        <f>IF(F307="","Open",IF(F307&lt;=E307,"Yes","No"))</f>
        <v/>
      </c>
      <c r="L307">
        <f>IF(F307="","",MAX(0,F307-E307))</f>
        <v/>
      </c>
      <c r="M307" s="13">
        <f>DATE(YEAR(D307),MONTH(D307),1)</f>
        <v/>
      </c>
    </row>
    <row r="308">
      <c r="A308" t="inlineStr">
        <is>
          <t>PO-24308</t>
        </is>
      </c>
      <c r="B308" t="inlineStr">
        <is>
          <t>STR-002</t>
        </is>
      </c>
      <c r="C308">
        <f>INDEX(Items!$C$2:$C$25,MATCH(B308,Items!$A$2:$A$25,0))</f>
        <v/>
      </c>
      <c r="D308" s="4" t="n">
        <v>46283</v>
      </c>
      <c r="E308" s="4" t="n">
        <v>46295</v>
      </c>
      <c r="F308" s="4" t="n">
        <v>46293</v>
      </c>
      <c r="G308" t="n">
        <v>2</v>
      </c>
      <c r="H308" s="12">
        <f>INDEX(Items!$D$2:$D$25,MATCH(B308,Items!$A$2:$A$25,0))</f>
        <v/>
      </c>
      <c r="I308" s="12">
        <f>G308*H308</f>
        <v/>
      </c>
      <c r="J308">
        <f>IF(F308="","",F308-D308)</f>
        <v/>
      </c>
      <c r="K308">
        <f>IF(F308="","Open",IF(F308&lt;=E308,"Yes","No"))</f>
        <v/>
      </c>
      <c r="L308">
        <f>IF(F308="","",MAX(0,F308-E308))</f>
        <v/>
      </c>
      <c r="M308" s="13">
        <f>DATE(YEAR(D308),MONTH(D308),1)</f>
        <v/>
      </c>
    </row>
    <row r="309">
      <c r="A309" t="inlineStr">
        <is>
          <t>PO-24309</t>
        </is>
      </c>
      <c r="B309" t="inlineStr">
        <is>
          <t>CAL-001</t>
        </is>
      </c>
      <c r="C309">
        <f>INDEX(Items!$C$2:$C$25,MATCH(B309,Items!$A$2:$A$25,0))</f>
        <v/>
      </c>
      <c r="D309" s="4" t="n">
        <v>46284</v>
      </c>
      <c r="E309" s="4" t="n">
        <v>46305</v>
      </c>
      <c r="F309" s="4" t="n"/>
      <c r="G309" t="n">
        <v>5</v>
      </c>
      <c r="H309" s="12">
        <f>INDEX(Items!$D$2:$D$25,MATCH(B309,Items!$A$2:$A$25,0))</f>
        <v/>
      </c>
      <c r="I309" s="12">
        <f>G309*H309</f>
        <v/>
      </c>
      <c r="J309">
        <f>IF(F309="","",F309-D309)</f>
        <v/>
      </c>
      <c r="K309">
        <f>IF(F309="","Open",IF(F309&lt;=E309,"Yes","No"))</f>
        <v/>
      </c>
      <c r="L309">
        <f>IF(F309="","",MAX(0,F309-E309))</f>
        <v/>
      </c>
      <c r="M309" s="13">
        <f>DATE(YEAR(D309),MONTH(D309),1)</f>
        <v/>
      </c>
    </row>
    <row r="310">
      <c r="A310" t="inlineStr">
        <is>
          <t>PO-24310</t>
        </is>
      </c>
      <c r="B310" t="inlineStr">
        <is>
          <t>GLS-002</t>
        </is>
      </c>
      <c r="C310">
        <f>INDEX(Items!$C$2:$C$25,MATCH(B310,Items!$A$2:$A$25,0))</f>
        <v/>
      </c>
      <c r="D310" s="4" t="n">
        <v>46284</v>
      </c>
      <c r="E310" s="4" t="n">
        <v>46293</v>
      </c>
      <c r="F310" s="4" t="n">
        <v>46291</v>
      </c>
      <c r="G310" t="n">
        <v>4</v>
      </c>
      <c r="H310" s="12">
        <f>INDEX(Items!$D$2:$D$25,MATCH(B310,Items!$A$2:$A$25,0))</f>
        <v/>
      </c>
      <c r="I310" s="12">
        <f>G310*H310</f>
        <v/>
      </c>
      <c r="J310">
        <f>IF(F310="","",F310-D310)</f>
        <v/>
      </c>
      <c r="K310">
        <f>IF(F310="","Open",IF(F310&lt;=E310,"Yes","No"))</f>
        <v/>
      </c>
      <c r="L310">
        <f>IF(F310="","",MAX(0,F310-E310))</f>
        <v/>
      </c>
      <c r="M310" s="13">
        <f>DATE(YEAR(D310),MONTH(D310),1)</f>
        <v/>
      </c>
    </row>
    <row r="311">
      <c r="A311" t="inlineStr">
        <is>
          <t>PO-24311</t>
        </is>
      </c>
      <c r="B311" t="inlineStr">
        <is>
          <t>BIO-002</t>
        </is>
      </c>
      <c r="C311">
        <f>INDEX(Items!$C$2:$C$25,MATCH(B311,Items!$A$2:$A$25,0))</f>
        <v/>
      </c>
      <c r="D311" s="4" t="n">
        <v>46286</v>
      </c>
      <c r="E311" s="4" t="n">
        <v>46304</v>
      </c>
      <c r="F311" s="4" t="n"/>
      <c r="G311" t="n">
        <v>3</v>
      </c>
      <c r="H311" s="12">
        <f>INDEX(Items!$D$2:$D$25,MATCH(B311,Items!$A$2:$A$25,0))</f>
        <v/>
      </c>
      <c r="I311" s="12">
        <f>G311*H311</f>
        <v/>
      </c>
      <c r="J311">
        <f>IF(F311="","",F311-D311)</f>
        <v/>
      </c>
      <c r="K311">
        <f>IF(F311="","Open",IF(F311&lt;=E311,"Yes","No"))</f>
        <v/>
      </c>
      <c r="L311">
        <f>IF(F311="","",MAX(0,F311-E311))</f>
        <v/>
      </c>
      <c r="M311" s="13">
        <f>DATE(YEAR(D311),MONTH(D311),1)</f>
        <v/>
      </c>
    </row>
    <row r="312">
      <c r="A312" t="inlineStr">
        <is>
          <t>PO-24312</t>
        </is>
      </c>
      <c r="B312" t="inlineStr">
        <is>
          <t>BIO-002</t>
        </is>
      </c>
      <c r="C312">
        <f>INDEX(Items!$C$2:$C$25,MATCH(B312,Items!$A$2:$A$25,0))</f>
        <v/>
      </c>
      <c r="D312" s="4" t="n">
        <v>46287</v>
      </c>
      <c r="E312" s="4" t="n">
        <v>46305</v>
      </c>
      <c r="F312" s="4" t="n"/>
      <c r="G312" t="n">
        <v>5</v>
      </c>
      <c r="H312" s="12">
        <f>INDEX(Items!$D$2:$D$25,MATCH(B312,Items!$A$2:$A$25,0))</f>
        <v/>
      </c>
      <c r="I312" s="12">
        <f>G312*H312</f>
        <v/>
      </c>
      <c r="J312">
        <f>IF(F312="","",F312-D312)</f>
        <v/>
      </c>
      <c r="K312">
        <f>IF(F312="","Open",IF(F312&lt;=E312,"Yes","No"))</f>
        <v/>
      </c>
      <c r="L312">
        <f>IF(F312="","",MAX(0,F312-E312))</f>
        <v/>
      </c>
      <c r="M312" s="13">
        <f>DATE(YEAR(D312),MONTH(D312),1)</f>
        <v/>
      </c>
    </row>
    <row r="313">
      <c r="A313" t="inlineStr">
        <is>
          <t>PO-24313</t>
        </is>
      </c>
      <c r="B313" t="inlineStr">
        <is>
          <t>CAL-001</t>
        </is>
      </c>
      <c r="C313">
        <f>INDEX(Items!$C$2:$C$25,MATCH(B313,Items!$A$2:$A$25,0))</f>
        <v/>
      </c>
      <c r="D313" s="4" t="n">
        <v>46287</v>
      </c>
      <c r="E313" s="4" t="n">
        <v>46308</v>
      </c>
      <c r="F313" s="4" t="n"/>
      <c r="G313" t="n">
        <v>20</v>
      </c>
      <c r="H313" s="12">
        <f>INDEX(Items!$D$2:$D$25,MATCH(B313,Items!$A$2:$A$25,0))</f>
        <v/>
      </c>
      <c r="I313" s="12">
        <f>G313*H313</f>
        <v/>
      </c>
      <c r="J313">
        <f>IF(F313="","",F313-D313)</f>
        <v/>
      </c>
      <c r="K313">
        <f>IF(F313="","Open",IF(F313&lt;=E313,"Yes","No"))</f>
        <v/>
      </c>
      <c r="L313">
        <f>IF(F313="","",MAX(0,F313-E313))</f>
        <v/>
      </c>
      <c r="M313" s="13">
        <f>DATE(YEAR(D313),MONTH(D313),1)</f>
        <v/>
      </c>
    </row>
    <row r="314">
      <c r="A314" t="inlineStr">
        <is>
          <t>PO-24314</t>
        </is>
      </c>
      <c r="B314" t="inlineStr">
        <is>
          <t>CON-004</t>
        </is>
      </c>
      <c r="C314">
        <f>INDEX(Items!$C$2:$C$25,MATCH(B314,Items!$A$2:$A$25,0))</f>
        <v/>
      </c>
      <c r="D314" s="4" t="n">
        <v>46287</v>
      </c>
      <c r="E314" s="4" t="n">
        <v>46294</v>
      </c>
      <c r="F314" s="4" t="n">
        <v>46293</v>
      </c>
      <c r="G314" t="n">
        <v>4</v>
      </c>
      <c r="H314" s="12">
        <f>INDEX(Items!$D$2:$D$25,MATCH(B314,Items!$A$2:$A$25,0))</f>
        <v/>
      </c>
      <c r="I314" s="12">
        <f>G314*H314</f>
        <v/>
      </c>
      <c r="J314">
        <f>IF(F314="","",F314-D314)</f>
        <v/>
      </c>
      <c r="K314">
        <f>IF(F314="","Open",IF(F314&lt;=E314,"Yes","No"))</f>
        <v/>
      </c>
      <c r="L314">
        <f>IF(F314="","",MAX(0,F314-E314))</f>
        <v/>
      </c>
      <c r="M314" s="13">
        <f>DATE(YEAR(D314),MONTH(D314),1)</f>
        <v/>
      </c>
    </row>
    <row r="315">
      <c r="A315" t="inlineStr">
        <is>
          <t>PO-24315</t>
        </is>
      </c>
      <c r="B315" t="inlineStr">
        <is>
          <t>STR-001</t>
        </is>
      </c>
      <c r="C315">
        <f>INDEX(Items!$C$2:$C$25,MATCH(B315,Items!$A$2:$A$25,0))</f>
        <v/>
      </c>
      <c r="D315" s="4" t="n">
        <v>46287</v>
      </c>
      <c r="E315" s="4" t="n">
        <v>46299</v>
      </c>
      <c r="F315" s="4" t="n">
        <v>46296</v>
      </c>
      <c r="G315" t="n">
        <v>2</v>
      </c>
      <c r="H315" s="12">
        <f>INDEX(Items!$D$2:$D$25,MATCH(B315,Items!$A$2:$A$25,0))</f>
        <v/>
      </c>
      <c r="I315" s="12">
        <f>G315*H315</f>
        <v/>
      </c>
      <c r="J315">
        <f>IF(F315="","",F315-D315)</f>
        <v/>
      </c>
      <c r="K315">
        <f>IF(F315="","Open",IF(F315&lt;=E315,"Yes","No"))</f>
        <v/>
      </c>
      <c r="L315">
        <f>IF(F315="","",MAX(0,F315-E315))</f>
        <v/>
      </c>
      <c r="M315" s="13">
        <f>DATE(YEAR(D315),MONTH(D315),1)</f>
        <v/>
      </c>
    </row>
    <row r="316">
      <c r="A316" t="inlineStr">
        <is>
          <t>PO-24316</t>
        </is>
      </c>
      <c r="B316" t="inlineStr">
        <is>
          <t>STR-002</t>
        </is>
      </c>
      <c r="C316">
        <f>INDEX(Items!$C$2:$C$25,MATCH(B316,Items!$A$2:$A$25,0))</f>
        <v/>
      </c>
      <c r="D316" s="4" t="n">
        <v>46288</v>
      </c>
      <c r="E316" s="4" t="n">
        <v>46300</v>
      </c>
      <c r="F316" s="4" t="n"/>
      <c r="G316" t="n">
        <v>12</v>
      </c>
      <c r="H316" s="12">
        <f>INDEX(Items!$D$2:$D$25,MATCH(B316,Items!$A$2:$A$25,0))</f>
        <v/>
      </c>
      <c r="I316" s="12">
        <f>G316*H316</f>
        <v/>
      </c>
      <c r="J316">
        <f>IF(F316="","",F316-D316)</f>
        <v/>
      </c>
      <c r="K316">
        <f>IF(F316="","Open",IF(F316&lt;=E316,"Yes","No"))</f>
        <v/>
      </c>
      <c r="L316">
        <f>IF(F316="","",MAX(0,F316-E316))</f>
        <v/>
      </c>
      <c r="M316" s="13">
        <f>DATE(YEAR(D316),MONTH(D316),1)</f>
        <v/>
      </c>
    </row>
    <row r="317">
      <c r="A317" t="inlineStr">
        <is>
          <t>PO-24317</t>
        </is>
      </c>
      <c r="B317" t="inlineStr">
        <is>
          <t>CON-001</t>
        </is>
      </c>
      <c r="C317">
        <f>INDEX(Items!$C$2:$C$25,MATCH(B317,Items!$A$2:$A$25,0))</f>
        <v/>
      </c>
      <c r="D317" s="4" t="n">
        <v>46289</v>
      </c>
      <c r="E317" s="4" t="n">
        <v>46296</v>
      </c>
      <c r="F317" s="4" t="n">
        <v>46293</v>
      </c>
      <c r="G317" t="n">
        <v>9</v>
      </c>
      <c r="H317" s="12">
        <f>INDEX(Items!$D$2:$D$25,MATCH(B317,Items!$A$2:$A$25,0))</f>
        <v/>
      </c>
      <c r="I317" s="12">
        <f>G317*H317</f>
        <v/>
      </c>
      <c r="J317">
        <f>IF(F317="","",F317-D317)</f>
        <v/>
      </c>
      <c r="K317">
        <f>IF(F317="","Open",IF(F317&lt;=E317,"Yes","No"))</f>
        <v/>
      </c>
      <c r="L317">
        <f>IF(F317="","",MAX(0,F317-E317))</f>
        <v/>
      </c>
      <c r="M317" s="13">
        <f>DATE(YEAR(D317),MONTH(D317),1)</f>
        <v/>
      </c>
    </row>
    <row r="318">
      <c r="A318" t="inlineStr">
        <is>
          <t>PO-24318</t>
        </is>
      </c>
      <c r="B318" t="inlineStr">
        <is>
          <t>BIO-001</t>
        </is>
      </c>
      <c r="C318">
        <f>INDEX(Items!$C$2:$C$25,MATCH(B318,Items!$A$2:$A$25,0))</f>
        <v/>
      </c>
      <c r="D318" s="4" t="n">
        <v>46290</v>
      </c>
      <c r="E318" s="4" t="n">
        <v>46308</v>
      </c>
      <c r="F318" s="4" t="n"/>
      <c r="G318" t="n">
        <v>4</v>
      </c>
      <c r="H318" s="12">
        <f>INDEX(Items!$D$2:$D$25,MATCH(B318,Items!$A$2:$A$25,0))</f>
        <v/>
      </c>
      <c r="I318" s="12">
        <f>G318*H318</f>
        <v/>
      </c>
      <c r="J318">
        <f>IF(F318="","",F318-D318)</f>
        <v/>
      </c>
      <c r="K318">
        <f>IF(F318="","Open",IF(F318&lt;=E318,"Yes","No"))</f>
        <v/>
      </c>
      <c r="L318">
        <f>IF(F318="","",MAX(0,F318-E318))</f>
        <v/>
      </c>
      <c r="M318" s="13">
        <f>DATE(YEAR(D318),MONTH(D318),1)</f>
        <v/>
      </c>
    </row>
    <row r="319">
      <c r="A319" t="inlineStr">
        <is>
          <t>PO-24319</t>
        </is>
      </c>
      <c r="B319" t="inlineStr">
        <is>
          <t>CAL-002</t>
        </is>
      </c>
      <c r="C319">
        <f>INDEX(Items!$C$2:$C$25,MATCH(B319,Items!$A$2:$A$25,0))</f>
        <v/>
      </c>
      <c r="D319" s="4" t="n">
        <v>46290</v>
      </c>
      <c r="E319" s="4" t="n">
        <v>46311</v>
      </c>
      <c r="F319" s="4" t="n"/>
      <c r="G319" t="n">
        <v>5</v>
      </c>
      <c r="H319" s="12">
        <f>INDEX(Items!$D$2:$D$25,MATCH(B319,Items!$A$2:$A$25,0))</f>
        <v/>
      </c>
      <c r="I319" s="12">
        <f>G319*H319</f>
        <v/>
      </c>
      <c r="J319">
        <f>IF(F319="","",F319-D319)</f>
        <v/>
      </c>
      <c r="K319">
        <f>IF(F319="","Open",IF(F319&lt;=E319,"Yes","No"))</f>
        <v/>
      </c>
      <c r="L319">
        <f>IF(F319="","",MAX(0,F319-E319))</f>
        <v/>
      </c>
      <c r="M319" s="13">
        <f>DATE(YEAR(D319),MONTH(D319),1)</f>
        <v/>
      </c>
    </row>
    <row r="320">
      <c r="A320" t="inlineStr">
        <is>
          <t>PO-24320</t>
        </is>
      </c>
      <c r="B320" t="inlineStr">
        <is>
          <t>GAS-002</t>
        </is>
      </c>
      <c r="C320">
        <f>INDEX(Items!$C$2:$C$25,MATCH(B320,Items!$A$2:$A$25,0))</f>
        <v/>
      </c>
      <c r="D320" s="4" t="n">
        <v>46291</v>
      </c>
      <c r="E320" s="4" t="n">
        <v>46296</v>
      </c>
      <c r="F320" s="4" t="n">
        <v>46296</v>
      </c>
      <c r="G320" t="n">
        <v>6</v>
      </c>
      <c r="H320" s="12">
        <f>INDEX(Items!$D$2:$D$25,MATCH(B320,Items!$A$2:$A$25,0))</f>
        <v/>
      </c>
      <c r="I320" s="12">
        <f>G320*H320</f>
        <v/>
      </c>
      <c r="J320">
        <f>IF(F320="","",F320-D320)</f>
        <v/>
      </c>
      <c r="K320">
        <f>IF(F320="","Open",IF(F320&lt;=E320,"Yes","No"))</f>
        <v/>
      </c>
      <c r="L320">
        <f>IF(F320="","",MAX(0,F320-E320))</f>
        <v/>
      </c>
      <c r="M320" s="13">
        <f>DATE(YEAR(D320),MONTH(D320),1)</f>
        <v/>
      </c>
    </row>
    <row r="321">
      <c r="A321" t="inlineStr">
        <is>
          <t>PO-24321</t>
        </is>
      </c>
      <c r="B321" t="inlineStr">
        <is>
          <t>RGT-002</t>
        </is>
      </c>
      <c r="C321">
        <f>INDEX(Items!$C$2:$C$25,MATCH(B321,Items!$A$2:$A$25,0))</f>
        <v/>
      </c>
      <c r="D321" s="4" t="n">
        <v>46291</v>
      </c>
      <c r="E321" s="4" t="n">
        <v>46305</v>
      </c>
      <c r="F321" s="4" t="n"/>
      <c r="G321" t="n">
        <v>3</v>
      </c>
      <c r="H321" s="12">
        <f>INDEX(Items!$D$2:$D$25,MATCH(B321,Items!$A$2:$A$25,0))</f>
        <v/>
      </c>
      <c r="I321" s="12">
        <f>G321*H321</f>
        <v/>
      </c>
      <c r="J321">
        <f>IF(F321="","",F321-D321)</f>
        <v/>
      </c>
      <c r="K321">
        <f>IF(F321="","Open",IF(F321&lt;=E321,"Yes","No"))</f>
        <v/>
      </c>
      <c r="L321">
        <f>IF(F321="","",MAX(0,F321-E321))</f>
        <v/>
      </c>
      <c r="M321" s="13">
        <f>DATE(YEAR(D321),MONTH(D321),1)</f>
        <v/>
      </c>
    </row>
  </sheetData>
  <conditionalFormatting sqref="K2:K321">
    <cfRule type="cellIs" priority="1" operator="equal" dxfId="0">
      <formula>"No"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1" customWidth="1" min="3" max="3"/>
    <col width="13" customWidth="1" min="4" max="4"/>
    <col width="12" customWidth="1" min="5" max="5"/>
    <col width="13" customWidth="1" min="6" max="6"/>
    <col width="11" customWidth="1" min="7" max="7"/>
  </cols>
  <sheetData>
    <row r="1">
      <c r="A1" s="11" t="inlineStr">
        <is>
          <t>Lot</t>
        </is>
      </c>
      <c r="B1" s="11" t="inlineStr">
        <is>
          <t>SKU</t>
        </is>
      </c>
      <c r="C1" s="11" t="inlineStr">
        <is>
          <t>QtyOnHand</t>
        </is>
      </c>
      <c r="D1" s="11" t="inlineStr">
        <is>
          <t>ReceivedDate</t>
        </is>
      </c>
      <c r="E1" s="11" t="inlineStr">
        <is>
          <t>ExpiryDate</t>
        </is>
      </c>
      <c r="F1" s="11" t="inlineStr">
        <is>
          <t>DaysToExpiry</t>
        </is>
      </c>
      <c r="G1" s="11" t="inlineStr">
        <is>
          <t>Status</t>
        </is>
      </c>
    </row>
    <row r="2">
      <c r="A2" t="inlineStr">
        <is>
          <t>L235215</t>
        </is>
      </c>
      <c r="B2" t="inlineStr">
        <is>
          <t>MED-001</t>
        </is>
      </c>
      <c r="C2" t="n">
        <v>38</v>
      </c>
      <c r="D2" s="4" t="n">
        <v>46191</v>
      </c>
      <c r="E2" s="4">
        <f>IF(INDEX(Items!$E$2:$E$25,MATCH(B2,Items!$A$2:$A$25,0))=0,"",D2+INDEX(Items!$E$2:$E$25,MATCH(B2,Items!$A$2:$A$25,0)))</f>
        <v/>
      </c>
      <c r="F2">
        <f>IF(E2="","",E2-Dashboard!$B$2)</f>
        <v/>
      </c>
      <c r="G2">
        <f>IF(E2="","No expiry",IF(F2&lt;0,"Expired",IF(F2&lt;=30,"Expiring","OK")))</f>
        <v/>
      </c>
    </row>
    <row r="3">
      <c r="A3" t="inlineStr">
        <is>
          <t>L424620</t>
        </is>
      </c>
      <c r="B3" t="inlineStr">
        <is>
          <t>MED-001</t>
        </is>
      </c>
      <c r="C3" t="n">
        <v>35</v>
      </c>
      <c r="D3" s="4" t="n">
        <v>46270</v>
      </c>
      <c r="E3" s="4">
        <f>IF(INDEX(Items!$E$2:$E$25,MATCH(B3,Items!$A$2:$A$25,0))=0,"",D3+INDEX(Items!$E$2:$E$25,MATCH(B3,Items!$A$2:$A$25,0)))</f>
        <v/>
      </c>
      <c r="F3">
        <f>IF(E3="","",E3-Dashboard!$B$2)</f>
        <v/>
      </c>
      <c r="G3">
        <f>IF(E3="","No expiry",IF(F3&lt;0,"Expired",IF(F3&lt;=30,"Expiring","OK")))</f>
        <v/>
      </c>
    </row>
    <row r="4">
      <c r="A4" t="inlineStr">
        <is>
          <t>L774751</t>
        </is>
      </c>
      <c r="B4" t="inlineStr">
        <is>
          <t>MED-001</t>
        </is>
      </c>
      <c r="C4" t="n">
        <v>50</v>
      </c>
      <c r="D4" s="4" t="n">
        <v>46195</v>
      </c>
      <c r="E4" s="4">
        <f>IF(INDEX(Items!$E$2:$E$25,MATCH(B4,Items!$A$2:$A$25,0))=0,"",D4+INDEX(Items!$E$2:$E$25,MATCH(B4,Items!$A$2:$A$25,0)))</f>
        <v/>
      </c>
      <c r="F4">
        <f>IF(E4="","",E4-Dashboard!$B$2)</f>
        <v/>
      </c>
      <c r="G4">
        <f>IF(E4="","No expiry",IF(F4&lt;0,"Expired",IF(F4&lt;=30,"Expiring","OK")))</f>
        <v/>
      </c>
    </row>
    <row r="5">
      <c r="A5" t="inlineStr">
        <is>
          <t>L802667</t>
        </is>
      </c>
      <c r="B5" t="inlineStr">
        <is>
          <t>MED-002</t>
        </is>
      </c>
      <c r="C5" t="n">
        <v>22</v>
      </c>
      <c r="D5" s="4" t="n">
        <v>46259</v>
      </c>
      <c r="E5" s="4">
        <f>IF(INDEX(Items!$E$2:$E$25,MATCH(B5,Items!$A$2:$A$25,0))=0,"",D5+INDEX(Items!$E$2:$E$25,MATCH(B5,Items!$A$2:$A$25,0)))</f>
        <v/>
      </c>
      <c r="F5">
        <f>IF(E5="","",E5-Dashboard!$B$2)</f>
        <v/>
      </c>
      <c r="G5">
        <f>IF(E5="","No expiry",IF(F5&lt;0,"Expired",IF(F5&lt;=30,"Expiring","OK")))</f>
        <v/>
      </c>
    </row>
    <row r="6">
      <c r="A6" t="inlineStr">
        <is>
          <t>L197992</t>
        </is>
      </c>
      <c r="B6" t="inlineStr">
        <is>
          <t>MED-002</t>
        </is>
      </c>
      <c r="C6" t="n">
        <v>20</v>
      </c>
      <c r="D6" s="4" t="n">
        <v>46157</v>
      </c>
      <c r="E6" s="4">
        <f>IF(INDEX(Items!$E$2:$E$25,MATCH(B6,Items!$A$2:$A$25,0))=0,"",D6+INDEX(Items!$E$2:$E$25,MATCH(B6,Items!$A$2:$A$25,0)))</f>
        <v/>
      </c>
      <c r="F6">
        <f>IF(E6="","",E6-Dashboard!$B$2)</f>
        <v/>
      </c>
      <c r="G6">
        <f>IF(E6="","No expiry",IF(F6&lt;0,"Expired",IF(F6&lt;=30,"Expiring","OK")))</f>
        <v/>
      </c>
    </row>
    <row r="7">
      <c r="A7" t="inlineStr">
        <is>
          <t>L633188</t>
        </is>
      </c>
      <c r="B7" t="inlineStr">
        <is>
          <t>MED-003</t>
        </is>
      </c>
      <c r="C7" t="n">
        <v>11</v>
      </c>
      <c r="D7" s="4" t="n">
        <v>46183</v>
      </c>
      <c r="E7" s="4">
        <f>IF(INDEX(Items!$E$2:$E$25,MATCH(B7,Items!$A$2:$A$25,0))=0,"",D7+INDEX(Items!$E$2:$E$25,MATCH(B7,Items!$A$2:$A$25,0)))</f>
        <v/>
      </c>
      <c r="F7">
        <f>IF(E7="","",E7-Dashboard!$B$2)</f>
        <v/>
      </c>
      <c r="G7">
        <f>IF(E7="","No expiry",IF(F7&lt;0,"Expired",IF(F7&lt;=30,"Expiring","OK")))</f>
        <v/>
      </c>
    </row>
    <row r="8">
      <c r="A8" t="inlineStr">
        <is>
          <t>L480211</t>
        </is>
      </c>
      <c r="B8" t="inlineStr">
        <is>
          <t>MED-003</t>
        </is>
      </c>
      <c r="C8" t="n">
        <v>9</v>
      </c>
      <c r="D8" s="4" t="n">
        <v>46287</v>
      </c>
      <c r="E8" s="4">
        <f>IF(INDEX(Items!$E$2:$E$25,MATCH(B8,Items!$A$2:$A$25,0))=0,"",D8+INDEX(Items!$E$2:$E$25,MATCH(B8,Items!$A$2:$A$25,0)))</f>
        <v/>
      </c>
      <c r="F8">
        <f>IF(E8="","",E8-Dashboard!$B$2)</f>
        <v/>
      </c>
      <c r="G8">
        <f>IF(E8="","No expiry",IF(F8&lt;0,"Expired",IF(F8&lt;=30,"Expiring","OK")))</f>
        <v/>
      </c>
    </row>
    <row r="9">
      <c r="A9" t="inlineStr">
        <is>
          <t>L324597</t>
        </is>
      </c>
      <c r="B9" t="inlineStr">
        <is>
          <t>MED-003</t>
        </is>
      </c>
      <c r="C9" t="n">
        <v>10</v>
      </c>
      <c r="D9" s="4" t="n">
        <v>46245</v>
      </c>
      <c r="E9" s="4">
        <f>IF(INDEX(Items!$E$2:$E$25,MATCH(B9,Items!$A$2:$A$25,0))=0,"",D9+INDEX(Items!$E$2:$E$25,MATCH(B9,Items!$A$2:$A$25,0)))</f>
        <v/>
      </c>
      <c r="F9">
        <f>IF(E9="","",E9-Dashboard!$B$2)</f>
        <v/>
      </c>
      <c r="G9">
        <f>IF(E9="","No expiry",IF(F9&lt;0,"Expired",IF(F9&lt;=30,"Expiring","OK")))</f>
        <v/>
      </c>
    </row>
    <row r="10">
      <c r="A10" t="inlineStr">
        <is>
          <t>L337547</t>
        </is>
      </c>
      <c r="B10" t="inlineStr">
        <is>
          <t>MED-004</t>
        </is>
      </c>
      <c r="C10" t="n">
        <v>8</v>
      </c>
      <c r="D10" s="4" t="n">
        <v>46242</v>
      </c>
      <c r="E10" s="4">
        <f>IF(INDEX(Items!$E$2:$E$25,MATCH(B10,Items!$A$2:$A$25,0))=0,"",D10+INDEX(Items!$E$2:$E$25,MATCH(B10,Items!$A$2:$A$25,0)))</f>
        <v/>
      </c>
      <c r="F10">
        <f>IF(E10="","",E10-Dashboard!$B$2)</f>
        <v/>
      </c>
      <c r="G10">
        <f>IF(E10="","No expiry",IF(F10&lt;0,"Expired",IF(F10&lt;=30,"Expiring","OK")))</f>
        <v/>
      </c>
    </row>
    <row r="11">
      <c r="A11" t="inlineStr">
        <is>
          <t>L180913</t>
        </is>
      </c>
      <c r="B11" t="inlineStr">
        <is>
          <t>MED-004</t>
        </is>
      </c>
      <c r="C11" t="n">
        <v>18</v>
      </c>
      <c r="D11" s="4" t="n">
        <v>46252</v>
      </c>
      <c r="E11" s="4">
        <f>IF(INDEX(Items!$E$2:$E$25,MATCH(B11,Items!$A$2:$A$25,0))=0,"",D11+INDEX(Items!$E$2:$E$25,MATCH(B11,Items!$A$2:$A$25,0)))</f>
        <v/>
      </c>
      <c r="F11">
        <f>IF(E11="","",E11-Dashboard!$B$2)</f>
        <v/>
      </c>
      <c r="G11">
        <f>IF(E11="","No expiry",IF(F11&lt;0,"Expired",IF(F11&lt;=30,"Expiring","OK")))</f>
        <v/>
      </c>
    </row>
    <row r="12">
      <c r="A12" t="inlineStr">
        <is>
          <t>L908320</t>
        </is>
      </c>
      <c r="B12" t="inlineStr">
        <is>
          <t>MED-005</t>
        </is>
      </c>
      <c r="C12" t="n">
        <v>17</v>
      </c>
      <c r="D12" s="4" t="n">
        <v>46162</v>
      </c>
      <c r="E12" s="4">
        <f>IF(INDEX(Items!$E$2:$E$25,MATCH(B12,Items!$A$2:$A$25,0))=0,"",D12+INDEX(Items!$E$2:$E$25,MATCH(B12,Items!$A$2:$A$25,0)))</f>
        <v/>
      </c>
      <c r="F12">
        <f>IF(E12="","",E12-Dashboard!$B$2)</f>
        <v/>
      </c>
      <c r="G12">
        <f>IF(E12="","No expiry",IF(F12&lt;0,"Expired",IF(F12&lt;=30,"Expiring","OK")))</f>
        <v/>
      </c>
    </row>
    <row r="13">
      <c r="A13" t="inlineStr">
        <is>
          <t>L139581</t>
        </is>
      </c>
      <c r="B13" t="inlineStr">
        <is>
          <t>RGT-001</t>
        </is>
      </c>
      <c r="C13" t="n">
        <v>5</v>
      </c>
      <c r="D13" s="4" t="n">
        <v>46157</v>
      </c>
      <c r="E13" s="4">
        <f>IF(INDEX(Items!$E$2:$E$25,MATCH(B13,Items!$A$2:$A$25,0))=0,"",D13+INDEX(Items!$E$2:$E$25,MATCH(B13,Items!$A$2:$A$25,0)))</f>
        <v/>
      </c>
      <c r="F13">
        <f>IF(E13="","",E13-Dashboard!$B$2)</f>
        <v/>
      </c>
      <c r="G13">
        <f>IF(E13="","No expiry",IF(F13&lt;0,"Expired",IF(F13&lt;=30,"Expiring","OK")))</f>
        <v/>
      </c>
    </row>
    <row r="14">
      <c r="A14" t="inlineStr">
        <is>
          <t>L903531</t>
        </is>
      </c>
      <c r="B14" t="inlineStr">
        <is>
          <t>RGT-001</t>
        </is>
      </c>
      <c r="C14" t="n">
        <v>4</v>
      </c>
      <c r="D14" s="4" t="n">
        <v>46205</v>
      </c>
      <c r="E14" s="4">
        <f>IF(INDEX(Items!$E$2:$E$25,MATCH(B14,Items!$A$2:$A$25,0))=0,"",D14+INDEX(Items!$E$2:$E$25,MATCH(B14,Items!$A$2:$A$25,0)))</f>
        <v/>
      </c>
      <c r="F14">
        <f>IF(E14="","",E14-Dashboard!$B$2)</f>
        <v/>
      </c>
      <c r="G14">
        <f>IF(E14="","No expiry",IF(F14&lt;0,"Expired",IF(F14&lt;=30,"Expiring","OK")))</f>
        <v/>
      </c>
    </row>
    <row r="15">
      <c r="A15" t="inlineStr">
        <is>
          <t>L726258</t>
        </is>
      </c>
      <c r="B15" t="inlineStr">
        <is>
          <t>RGT-001</t>
        </is>
      </c>
      <c r="C15" t="n">
        <v>3</v>
      </c>
      <c r="D15" s="4" t="n">
        <v>46258</v>
      </c>
      <c r="E15" s="4">
        <f>IF(INDEX(Items!$E$2:$E$25,MATCH(B15,Items!$A$2:$A$25,0))=0,"",D15+INDEX(Items!$E$2:$E$25,MATCH(B15,Items!$A$2:$A$25,0)))</f>
        <v/>
      </c>
      <c r="F15">
        <f>IF(E15="","",E15-Dashboard!$B$2)</f>
        <v/>
      </c>
      <c r="G15">
        <f>IF(E15="","No expiry",IF(F15&lt;0,"Expired",IF(F15&lt;=30,"Expiring","OK")))</f>
        <v/>
      </c>
    </row>
    <row r="16">
      <c r="A16" t="inlineStr">
        <is>
          <t>L289630</t>
        </is>
      </c>
      <c r="B16" t="inlineStr">
        <is>
          <t>RGT-002</t>
        </is>
      </c>
      <c r="C16" t="n">
        <v>5</v>
      </c>
      <c r="D16" s="4" t="n">
        <v>46250</v>
      </c>
      <c r="E16" s="4">
        <f>IF(INDEX(Items!$E$2:$E$25,MATCH(B16,Items!$A$2:$A$25,0))=0,"",D16+INDEX(Items!$E$2:$E$25,MATCH(B16,Items!$A$2:$A$25,0)))</f>
        <v/>
      </c>
      <c r="F16">
        <f>IF(E16="","",E16-Dashboard!$B$2)</f>
        <v/>
      </c>
      <c r="G16">
        <f>IF(E16="","No expiry",IF(F16&lt;0,"Expired",IF(F16&lt;=30,"Expiring","OK")))</f>
        <v/>
      </c>
    </row>
    <row r="17">
      <c r="A17" t="inlineStr">
        <is>
          <t>L856215</t>
        </is>
      </c>
      <c r="B17" t="inlineStr">
        <is>
          <t>RGT-003</t>
        </is>
      </c>
      <c r="C17" t="n">
        <v>7</v>
      </c>
      <c r="D17" s="4" t="n">
        <v>46249</v>
      </c>
      <c r="E17" s="4">
        <f>IF(INDEX(Items!$E$2:$E$25,MATCH(B17,Items!$A$2:$A$25,0))=0,"",D17+INDEX(Items!$E$2:$E$25,MATCH(B17,Items!$A$2:$A$25,0)))</f>
        <v/>
      </c>
      <c r="F17">
        <f>IF(E17="","",E17-Dashboard!$B$2)</f>
        <v/>
      </c>
      <c r="G17">
        <f>IF(E17="","No expiry",IF(F17&lt;0,"Expired",IF(F17&lt;=30,"Expiring","OK")))</f>
        <v/>
      </c>
    </row>
    <row r="18">
      <c r="A18" t="inlineStr">
        <is>
          <t>L530816</t>
        </is>
      </c>
      <c r="B18" t="inlineStr">
        <is>
          <t>RGT-003</t>
        </is>
      </c>
      <c r="C18" t="n">
        <v>5</v>
      </c>
      <c r="D18" s="4" t="n">
        <v>46280</v>
      </c>
      <c r="E18" s="4">
        <f>IF(INDEX(Items!$E$2:$E$25,MATCH(B18,Items!$A$2:$A$25,0))=0,"",D18+INDEX(Items!$E$2:$E$25,MATCH(B18,Items!$A$2:$A$25,0)))</f>
        <v/>
      </c>
      <c r="F18">
        <f>IF(E18="","",E18-Dashboard!$B$2)</f>
        <v/>
      </c>
      <c r="G18">
        <f>IF(E18="","No expiry",IF(F18&lt;0,"Expired",IF(F18&lt;=30,"Expiring","OK")))</f>
        <v/>
      </c>
    </row>
    <row r="19">
      <c r="A19" t="inlineStr">
        <is>
          <t>L565776</t>
        </is>
      </c>
      <c r="B19" t="inlineStr">
        <is>
          <t>RGT-003</t>
        </is>
      </c>
      <c r="C19" t="n">
        <v>9</v>
      </c>
      <c r="D19" s="4" t="n">
        <v>46231</v>
      </c>
      <c r="E19" s="4">
        <f>IF(INDEX(Items!$E$2:$E$25,MATCH(B19,Items!$A$2:$A$25,0))=0,"",D19+INDEX(Items!$E$2:$E$25,MATCH(B19,Items!$A$2:$A$25,0)))</f>
        <v/>
      </c>
      <c r="F19">
        <f>IF(E19="","",E19-Dashboard!$B$2)</f>
        <v/>
      </c>
      <c r="G19">
        <f>IF(E19="","No expiry",IF(F19&lt;0,"Expired",IF(F19&lt;=30,"Expiring","OK")))</f>
        <v/>
      </c>
    </row>
    <row r="20">
      <c r="A20" t="inlineStr">
        <is>
          <t>L345369</t>
        </is>
      </c>
      <c r="B20" t="inlineStr">
        <is>
          <t>RGT-004</t>
        </is>
      </c>
      <c r="C20" t="n">
        <v>8</v>
      </c>
      <c r="D20" s="4" t="n">
        <v>46177</v>
      </c>
      <c r="E20" s="4">
        <f>IF(INDEX(Items!$E$2:$E$25,MATCH(B20,Items!$A$2:$A$25,0))=0,"",D20+INDEX(Items!$E$2:$E$25,MATCH(B20,Items!$A$2:$A$25,0)))</f>
        <v/>
      </c>
      <c r="F20">
        <f>IF(E20="","",E20-Dashboard!$B$2)</f>
        <v/>
      </c>
      <c r="G20">
        <f>IF(E20="","No expiry",IF(F20&lt;0,"Expired",IF(F20&lt;=30,"Expiring","OK")))</f>
        <v/>
      </c>
    </row>
    <row r="21">
      <c r="A21" t="inlineStr">
        <is>
          <t>L424500</t>
        </is>
      </c>
      <c r="B21" t="inlineStr">
        <is>
          <t>RGT-004</t>
        </is>
      </c>
      <c r="C21" t="n">
        <v>7</v>
      </c>
      <c r="D21" s="4" t="n">
        <v>46230</v>
      </c>
      <c r="E21" s="4">
        <f>IF(INDEX(Items!$E$2:$E$25,MATCH(B21,Items!$A$2:$A$25,0))=0,"",D21+INDEX(Items!$E$2:$E$25,MATCH(B21,Items!$A$2:$A$25,0)))</f>
        <v/>
      </c>
      <c r="F21">
        <f>IF(E21="","",E21-Dashboard!$B$2)</f>
        <v/>
      </c>
      <c r="G21">
        <f>IF(E21="","No expiry",IF(F21&lt;0,"Expired",IF(F21&lt;=30,"Expiring","OK")))</f>
        <v/>
      </c>
    </row>
    <row r="22">
      <c r="A22" t="inlineStr">
        <is>
          <t>L811256</t>
        </is>
      </c>
      <c r="B22" t="inlineStr">
        <is>
          <t>CON-001</t>
        </is>
      </c>
      <c r="C22" t="n">
        <v>9</v>
      </c>
      <c r="D22" s="4" t="n">
        <v>46197</v>
      </c>
      <c r="E22" s="4">
        <f>IF(INDEX(Items!$E$2:$E$25,MATCH(B22,Items!$A$2:$A$25,0))=0,"",D22+INDEX(Items!$E$2:$E$25,MATCH(B22,Items!$A$2:$A$25,0)))</f>
        <v/>
      </c>
      <c r="F22">
        <f>IF(E22="","",E22-Dashboard!$B$2)</f>
        <v/>
      </c>
      <c r="G22">
        <f>IF(E22="","No expiry",IF(F22&lt;0,"Expired",IF(F22&lt;=30,"Expiring","OK")))</f>
        <v/>
      </c>
    </row>
    <row r="23">
      <c r="A23" t="inlineStr">
        <is>
          <t>L906814</t>
        </is>
      </c>
      <c r="B23" t="inlineStr">
        <is>
          <t>CON-002</t>
        </is>
      </c>
      <c r="C23" t="n">
        <v>9</v>
      </c>
      <c r="D23" s="4" t="n">
        <v>46173</v>
      </c>
      <c r="E23" s="4">
        <f>IF(INDEX(Items!$E$2:$E$25,MATCH(B23,Items!$A$2:$A$25,0))=0,"",D23+INDEX(Items!$E$2:$E$25,MATCH(B23,Items!$A$2:$A$25,0)))</f>
        <v/>
      </c>
      <c r="F23">
        <f>IF(E23="","",E23-Dashboard!$B$2)</f>
        <v/>
      </c>
      <c r="G23">
        <f>IF(E23="","No expiry",IF(F23&lt;0,"Expired",IF(F23&lt;=30,"Expiring","OK")))</f>
        <v/>
      </c>
    </row>
    <row r="24">
      <c r="A24" t="inlineStr">
        <is>
          <t>L627335</t>
        </is>
      </c>
      <c r="B24" t="inlineStr">
        <is>
          <t>CON-002</t>
        </is>
      </c>
      <c r="C24" t="n">
        <v>16</v>
      </c>
      <c r="D24" s="4" t="n">
        <v>46194</v>
      </c>
      <c r="E24" s="4">
        <f>IF(INDEX(Items!$E$2:$E$25,MATCH(B24,Items!$A$2:$A$25,0))=0,"",D24+INDEX(Items!$E$2:$E$25,MATCH(B24,Items!$A$2:$A$25,0)))</f>
        <v/>
      </c>
      <c r="F24">
        <f>IF(E24="","",E24-Dashboard!$B$2)</f>
        <v/>
      </c>
      <c r="G24">
        <f>IF(E24="","No expiry",IF(F24&lt;0,"Expired",IF(F24&lt;=30,"Expiring","OK")))</f>
        <v/>
      </c>
    </row>
    <row r="25">
      <c r="A25" t="inlineStr">
        <is>
          <t>L956572</t>
        </is>
      </c>
      <c r="B25" t="inlineStr">
        <is>
          <t>CON-003</t>
        </is>
      </c>
      <c r="C25" t="n">
        <v>6</v>
      </c>
      <c r="D25" s="4" t="n">
        <v>46250</v>
      </c>
      <c r="E25" s="4">
        <f>IF(INDEX(Items!$E$2:$E$25,MATCH(B25,Items!$A$2:$A$25,0))=0,"",D25+INDEX(Items!$E$2:$E$25,MATCH(B25,Items!$A$2:$A$25,0)))</f>
        <v/>
      </c>
      <c r="F25">
        <f>IF(E25="","",E25-Dashboard!$B$2)</f>
        <v/>
      </c>
      <c r="G25">
        <f>IF(E25="","No expiry",IF(F25&lt;0,"Expired",IF(F25&lt;=30,"Expiring","OK")))</f>
        <v/>
      </c>
    </row>
    <row r="26">
      <c r="A26" t="inlineStr">
        <is>
          <t>L362147</t>
        </is>
      </c>
      <c r="B26" t="inlineStr">
        <is>
          <t>CON-003</t>
        </is>
      </c>
      <c r="C26" t="n">
        <v>1</v>
      </c>
      <c r="D26" s="4" t="n">
        <v>46256</v>
      </c>
      <c r="E26" s="4">
        <f>IF(INDEX(Items!$E$2:$E$25,MATCH(B26,Items!$A$2:$A$25,0))=0,"",D26+INDEX(Items!$E$2:$E$25,MATCH(B26,Items!$A$2:$A$25,0)))</f>
        <v/>
      </c>
      <c r="F26">
        <f>IF(E26="","",E26-Dashboard!$B$2)</f>
        <v/>
      </c>
      <c r="G26">
        <f>IF(E26="","No expiry",IF(F26&lt;0,"Expired",IF(F26&lt;=30,"Expiring","OK")))</f>
        <v/>
      </c>
    </row>
    <row r="27">
      <c r="A27" t="inlineStr">
        <is>
          <t>L489244</t>
        </is>
      </c>
      <c r="B27" t="inlineStr">
        <is>
          <t>CON-004</t>
        </is>
      </c>
      <c r="C27" t="n">
        <v>8</v>
      </c>
      <c r="D27" s="4" t="n">
        <v>46168</v>
      </c>
      <c r="E27" s="4">
        <f>IF(INDEX(Items!$E$2:$E$25,MATCH(B27,Items!$A$2:$A$25,0))=0,"",D27+INDEX(Items!$E$2:$E$25,MATCH(B27,Items!$A$2:$A$25,0)))</f>
        <v/>
      </c>
      <c r="F27">
        <f>IF(E27="","",E27-Dashboard!$B$2)</f>
        <v/>
      </c>
      <c r="G27">
        <f>IF(E27="","No expiry",IF(F27&lt;0,"Expired",IF(F27&lt;=30,"Expiring","OK")))</f>
        <v/>
      </c>
    </row>
    <row r="28">
      <c r="A28" t="inlineStr">
        <is>
          <t>L845957</t>
        </is>
      </c>
      <c r="B28" t="inlineStr">
        <is>
          <t>CON-004</t>
        </is>
      </c>
      <c r="C28" t="n">
        <v>8</v>
      </c>
      <c r="D28" s="4" t="n">
        <v>46265</v>
      </c>
      <c r="E28" s="4">
        <f>IF(INDEX(Items!$E$2:$E$25,MATCH(B28,Items!$A$2:$A$25,0))=0,"",D28+INDEX(Items!$E$2:$E$25,MATCH(B28,Items!$A$2:$A$25,0)))</f>
        <v/>
      </c>
      <c r="F28">
        <f>IF(E28="","",E28-Dashboard!$B$2)</f>
        <v/>
      </c>
      <c r="G28">
        <f>IF(E28="","No expiry",IF(F28&lt;0,"Expired",IF(F28&lt;=30,"Expiring","OK")))</f>
        <v/>
      </c>
    </row>
    <row r="29">
      <c r="A29" t="inlineStr">
        <is>
          <t>L398910</t>
        </is>
      </c>
      <c r="B29" t="inlineStr">
        <is>
          <t>CON-004</t>
        </is>
      </c>
      <c r="C29" t="n">
        <v>1</v>
      </c>
      <c r="D29" s="4" t="n">
        <v>46260</v>
      </c>
      <c r="E29" s="4">
        <f>IF(INDEX(Items!$E$2:$E$25,MATCH(B29,Items!$A$2:$A$25,0))=0,"",D29+INDEX(Items!$E$2:$E$25,MATCH(B29,Items!$A$2:$A$25,0)))</f>
        <v/>
      </c>
      <c r="F29">
        <f>IF(E29="","",E29-Dashboard!$B$2)</f>
        <v/>
      </c>
      <c r="G29">
        <f>IF(E29="","No expiry",IF(F29&lt;0,"Expired",IF(F29&lt;=30,"Expiring","OK")))</f>
        <v/>
      </c>
    </row>
    <row r="30">
      <c r="A30" t="inlineStr">
        <is>
          <t>L571145</t>
        </is>
      </c>
      <c r="B30" t="inlineStr">
        <is>
          <t>STR-001</t>
        </is>
      </c>
      <c r="C30" t="n">
        <v>4</v>
      </c>
      <c r="D30" s="4" t="n">
        <v>46222</v>
      </c>
      <c r="E30" s="4">
        <f>IF(INDEX(Items!$E$2:$E$25,MATCH(B30,Items!$A$2:$A$25,0))=0,"",D30+INDEX(Items!$E$2:$E$25,MATCH(B30,Items!$A$2:$A$25,0)))</f>
        <v/>
      </c>
      <c r="F30">
        <f>IF(E30="","",E30-Dashboard!$B$2)</f>
        <v/>
      </c>
      <c r="G30">
        <f>IF(E30="","No expiry",IF(F30&lt;0,"Expired",IF(F30&lt;=30,"Expiring","OK")))</f>
        <v/>
      </c>
    </row>
    <row r="31">
      <c r="A31" t="inlineStr">
        <is>
          <t>L196168</t>
        </is>
      </c>
      <c r="B31" t="inlineStr">
        <is>
          <t>STR-002</t>
        </is>
      </c>
      <c r="C31" t="n">
        <v>3</v>
      </c>
      <c r="D31" s="4" t="n">
        <v>46180</v>
      </c>
      <c r="E31" s="4">
        <f>IF(INDEX(Items!$E$2:$E$25,MATCH(B31,Items!$A$2:$A$25,0))=0,"",D31+INDEX(Items!$E$2:$E$25,MATCH(B31,Items!$A$2:$A$25,0)))</f>
        <v/>
      </c>
      <c r="F31">
        <f>IF(E31="","",E31-Dashboard!$B$2)</f>
        <v/>
      </c>
      <c r="G31">
        <f>IF(E31="","No expiry",IF(F31&lt;0,"Expired",IF(F31&lt;=30,"Expiring","OK")))</f>
        <v/>
      </c>
    </row>
    <row r="32">
      <c r="A32" t="inlineStr">
        <is>
          <t>L127965</t>
        </is>
      </c>
      <c r="B32" t="inlineStr">
        <is>
          <t>STR-003</t>
        </is>
      </c>
      <c r="C32" t="n">
        <v>6</v>
      </c>
      <c r="D32" s="4" t="n">
        <v>46202</v>
      </c>
      <c r="E32" s="4">
        <f>IF(INDEX(Items!$E$2:$E$25,MATCH(B32,Items!$A$2:$A$25,0))=0,"",D32+INDEX(Items!$E$2:$E$25,MATCH(B32,Items!$A$2:$A$25,0)))</f>
        <v/>
      </c>
      <c r="F32">
        <f>IF(E32="","",E32-Dashboard!$B$2)</f>
        <v/>
      </c>
      <c r="G32">
        <f>IF(E32="","No expiry",IF(F32&lt;0,"Expired",IF(F32&lt;=30,"Expiring","OK")))</f>
        <v/>
      </c>
    </row>
    <row r="33">
      <c r="A33" t="inlineStr">
        <is>
          <t>L515712</t>
        </is>
      </c>
      <c r="B33" t="inlineStr">
        <is>
          <t>STR-003</t>
        </is>
      </c>
      <c r="C33" t="n">
        <v>8</v>
      </c>
      <c r="D33" s="4" t="n">
        <v>46278</v>
      </c>
      <c r="E33" s="4">
        <f>IF(INDEX(Items!$E$2:$E$25,MATCH(B33,Items!$A$2:$A$25,0))=0,"",D33+INDEX(Items!$E$2:$E$25,MATCH(B33,Items!$A$2:$A$25,0)))</f>
        <v/>
      </c>
      <c r="F33">
        <f>IF(E33="","",E33-Dashboard!$B$2)</f>
        <v/>
      </c>
      <c r="G33">
        <f>IF(E33="","No expiry",IF(F33&lt;0,"Expired",IF(F33&lt;=30,"Expiring","OK")))</f>
        <v/>
      </c>
    </row>
    <row r="34">
      <c r="A34" t="inlineStr">
        <is>
          <t>L504924</t>
        </is>
      </c>
      <c r="B34" t="inlineStr">
        <is>
          <t>GAS-001</t>
        </is>
      </c>
      <c r="C34" t="n">
        <v>0</v>
      </c>
      <c r="D34" s="4" t="n">
        <v>46231</v>
      </c>
      <c r="E34" s="4">
        <f>IF(INDEX(Items!$E$2:$E$25,MATCH(B34,Items!$A$2:$A$25,0))=0,"",D34+INDEX(Items!$E$2:$E$25,MATCH(B34,Items!$A$2:$A$25,0)))</f>
        <v/>
      </c>
      <c r="F34">
        <f>IF(E34="","",E34-Dashboard!$B$2)</f>
        <v/>
      </c>
      <c r="G34">
        <f>IF(E34="","No expiry",IF(F34&lt;0,"Expired",IF(F34&lt;=30,"Expiring","OK")))</f>
        <v/>
      </c>
    </row>
    <row r="35">
      <c r="A35" t="inlineStr">
        <is>
          <t>L335445</t>
        </is>
      </c>
      <c r="B35" t="inlineStr">
        <is>
          <t>GAS-001</t>
        </is>
      </c>
      <c r="C35" t="n">
        <v>0</v>
      </c>
      <c r="D35" s="4" t="n">
        <v>46196</v>
      </c>
      <c r="E35" s="4">
        <f>IF(INDEX(Items!$E$2:$E$25,MATCH(B35,Items!$A$2:$A$25,0))=0,"",D35+INDEX(Items!$E$2:$E$25,MATCH(B35,Items!$A$2:$A$25,0)))</f>
        <v/>
      </c>
      <c r="F35">
        <f>IF(E35="","",E35-Dashboard!$B$2)</f>
        <v/>
      </c>
      <c r="G35">
        <f>IF(E35="","No expiry",IF(F35&lt;0,"Expired",IF(F35&lt;=30,"Expiring","OK")))</f>
        <v/>
      </c>
    </row>
    <row r="36">
      <c r="A36" t="inlineStr">
        <is>
          <t>L979940</t>
        </is>
      </c>
      <c r="B36" t="inlineStr">
        <is>
          <t>GAS-002</t>
        </is>
      </c>
      <c r="C36" t="n">
        <v>2</v>
      </c>
      <c r="D36" s="4" t="n">
        <v>46266</v>
      </c>
      <c r="E36" s="4">
        <f>IF(INDEX(Items!$E$2:$E$25,MATCH(B36,Items!$A$2:$A$25,0))=0,"",D36+INDEX(Items!$E$2:$E$25,MATCH(B36,Items!$A$2:$A$25,0)))</f>
        <v/>
      </c>
      <c r="F36">
        <f>IF(E36="","",E36-Dashboard!$B$2)</f>
        <v/>
      </c>
      <c r="G36">
        <f>IF(E36="","No expiry",IF(F36&lt;0,"Expired",IF(F36&lt;=30,"Expiring","OK")))</f>
        <v/>
      </c>
    </row>
    <row r="37">
      <c r="A37" t="inlineStr">
        <is>
          <t>L244283</t>
        </is>
      </c>
      <c r="B37" t="inlineStr">
        <is>
          <t>GAS-002</t>
        </is>
      </c>
      <c r="C37" t="n">
        <v>0</v>
      </c>
      <c r="D37" s="4" t="n">
        <v>46254</v>
      </c>
      <c r="E37" s="4">
        <f>IF(INDEX(Items!$E$2:$E$25,MATCH(B37,Items!$A$2:$A$25,0))=0,"",D37+INDEX(Items!$E$2:$E$25,MATCH(B37,Items!$A$2:$A$25,0)))</f>
        <v/>
      </c>
      <c r="F37">
        <f>IF(E37="","",E37-Dashboard!$B$2)</f>
        <v/>
      </c>
      <c r="G37">
        <f>IF(E37="","No expiry",IF(F37&lt;0,"Expired",IF(F37&lt;=30,"Expiring","OK")))</f>
        <v/>
      </c>
    </row>
    <row r="38">
      <c r="A38" t="inlineStr">
        <is>
          <t>L829884</t>
        </is>
      </c>
      <c r="B38" t="inlineStr">
        <is>
          <t>CAL-001</t>
        </is>
      </c>
      <c r="C38" t="n">
        <v>4</v>
      </c>
      <c r="D38" s="4" t="n">
        <v>46171</v>
      </c>
      <c r="E38" s="4">
        <f>IF(INDEX(Items!$E$2:$E$25,MATCH(B38,Items!$A$2:$A$25,0))=0,"",D38+INDEX(Items!$E$2:$E$25,MATCH(B38,Items!$A$2:$A$25,0)))</f>
        <v/>
      </c>
      <c r="F38">
        <f>IF(E38="","",E38-Dashboard!$B$2)</f>
        <v/>
      </c>
      <c r="G38">
        <f>IF(E38="","No expiry",IF(F38&lt;0,"Expired",IF(F38&lt;=30,"Expiring","OK")))</f>
        <v/>
      </c>
    </row>
    <row r="39">
      <c r="A39" t="inlineStr">
        <is>
          <t>L570392</t>
        </is>
      </c>
      <c r="B39" t="inlineStr">
        <is>
          <t>CAL-001</t>
        </is>
      </c>
      <c r="C39" t="n">
        <v>19</v>
      </c>
      <c r="D39" s="4" t="n">
        <v>46171</v>
      </c>
      <c r="E39" s="4">
        <f>IF(INDEX(Items!$E$2:$E$25,MATCH(B39,Items!$A$2:$A$25,0))=0,"",D39+INDEX(Items!$E$2:$E$25,MATCH(B39,Items!$A$2:$A$25,0)))</f>
        <v/>
      </c>
      <c r="F39">
        <f>IF(E39="","",E39-Dashboard!$B$2)</f>
        <v/>
      </c>
      <c r="G39">
        <f>IF(E39="","No expiry",IF(F39&lt;0,"Expired",IF(F39&lt;=30,"Expiring","OK")))</f>
        <v/>
      </c>
    </row>
    <row r="40">
      <c r="A40" t="inlineStr">
        <is>
          <t>L119927</t>
        </is>
      </c>
      <c r="B40" t="inlineStr">
        <is>
          <t>CAL-002</t>
        </is>
      </c>
      <c r="C40" t="n">
        <v>1</v>
      </c>
      <c r="D40" s="4" t="n">
        <v>46271</v>
      </c>
      <c r="E40" s="4">
        <f>IF(INDEX(Items!$E$2:$E$25,MATCH(B40,Items!$A$2:$A$25,0))=0,"",D40+INDEX(Items!$E$2:$E$25,MATCH(B40,Items!$A$2:$A$25,0)))</f>
        <v/>
      </c>
      <c r="F40">
        <f>IF(E40="","",E40-Dashboard!$B$2)</f>
        <v/>
      </c>
      <c r="G40">
        <f>IF(E40="","No expiry",IF(F40&lt;0,"Expired",IF(F40&lt;=30,"Expiring","OK")))</f>
        <v/>
      </c>
    </row>
    <row r="41">
      <c r="A41" t="inlineStr">
        <is>
          <t>L675462</t>
        </is>
      </c>
      <c r="B41" t="inlineStr">
        <is>
          <t>BIO-001</t>
        </is>
      </c>
      <c r="C41" t="n">
        <v>4</v>
      </c>
      <c r="D41" s="4" t="n">
        <v>46253</v>
      </c>
      <c r="E41" s="4">
        <f>IF(INDEX(Items!$E$2:$E$25,MATCH(B41,Items!$A$2:$A$25,0))=0,"",D41+INDEX(Items!$E$2:$E$25,MATCH(B41,Items!$A$2:$A$25,0)))</f>
        <v/>
      </c>
      <c r="F41">
        <f>IF(E41="","",E41-Dashboard!$B$2)</f>
        <v/>
      </c>
      <c r="G41">
        <f>IF(E41="","No expiry",IF(F41&lt;0,"Expired",IF(F41&lt;=30,"Expiring","OK")))</f>
        <v/>
      </c>
    </row>
    <row r="42">
      <c r="A42" t="inlineStr">
        <is>
          <t>L216587</t>
        </is>
      </c>
      <c r="B42" t="inlineStr">
        <is>
          <t>BIO-002</t>
        </is>
      </c>
      <c r="C42" t="n">
        <v>2</v>
      </c>
      <c r="D42" s="4" t="n">
        <v>46183</v>
      </c>
      <c r="E42" s="4">
        <f>IF(INDEX(Items!$E$2:$E$25,MATCH(B42,Items!$A$2:$A$25,0))=0,"",D42+INDEX(Items!$E$2:$E$25,MATCH(B42,Items!$A$2:$A$25,0)))</f>
        <v/>
      </c>
      <c r="F42">
        <f>IF(E42="","",E42-Dashboard!$B$2)</f>
        <v/>
      </c>
      <c r="G42">
        <f>IF(E42="","No expiry",IF(F42&lt;0,"Expired",IF(F42&lt;=30,"Expiring","OK")))</f>
        <v/>
      </c>
    </row>
    <row r="43">
      <c r="A43" t="inlineStr">
        <is>
          <t>L415779</t>
        </is>
      </c>
      <c r="B43" t="inlineStr">
        <is>
          <t>BIO-002</t>
        </is>
      </c>
      <c r="C43" t="n">
        <v>0</v>
      </c>
      <c r="D43" s="4" t="n">
        <v>46231</v>
      </c>
      <c r="E43" s="4">
        <f>IF(INDEX(Items!$E$2:$E$25,MATCH(B43,Items!$A$2:$A$25,0))=0,"",D43+INDEX(Items!$E$2:$E$25,MATCH(B43,Items!$A$2:$A$25,0)))</f>
        <v/>
      </c>
      <c r="F43">
        <f>IF(E43="","",E43-Dashboard!$B$2)</f>
        <v/>
      </c>
      <c r="G43">
        <f>IF(E43="","No expiry",IF(F43&lt;0,"Expired",IF(F43&lt;=30,"Expiring","OK")))</f>
        <v/>
      </c>
    </row>
    <row r="44">
      <c r="A44" t="inlineStr">
        <is>
          <t>L350021</t>
        </is>
      </c>
      <c r="B44" t="inlineStr">
        <is>
          <t>BIO-002</t>
        </is>
      </c>
      <c r="C44" t="n">
        <v>3</v>
      </c>
      <c r="D44" s="4" t="n">
        <v>46279</v>
      </c>
      <c r="E44" s="4">
        <f>IF(INDEX(Items!$E$2:$E$25,MATCH(B44,Items!$A$2:$A$25,0))=0,"",D44+INDEX(Items!$E$2:$E$25,MATCH(B44,Items!$A$2:$A$25,0)))</f>
        <v/>
      </c>
      <c r="F44">
        <f>IF(E44="","",E44-Dashboard!$B$2)</f>
        <v/>
      </c>
      <c r="G44">
        <f>IF(E44="","No expiry",IF(F44&lt;0,"Expired",IF(F44&lt;=30,"Expiring","OK")))</f>
        <v/>
      </c>
    </row>
    <row r="45">
      <c r="A45" t="inlineStr">
        <is>
          <t>L165858</t>
        </is>
      </c>
      <c r="B45" t="inlineStr">
        <is>
          <t>GLS-001</t>
        </is>
      </c>
      <c r="C45" t="n">
        <v>0</v>
      </c>
      <c r="D45" s="4" t="n">
        <v>46174</v>
      </c>
      <c r="E45" s="4">
        <f>IF(INDEX(Items!$E$2:$E$25,MATCH(B45,Items!$A$2:$A$25,0))=0,"",D45+INDEX(Items!$E$2:$E$25,MATCH(B45,Items!$A$2:$A$25,0)))</f>
        <v/>
      </c>
      <c r="F45">
        <f>IF(E45="","",E45-Dashboard!$B$2)</f>
        <v/>
      </c>
      <c r="G45">
        <f>IF(E45="","No expiry",IF(F45&lt;0,"Expired",IF(F45&lt;=30,"Expiring","OK")))</f>
        <v/>
      </c>
    </row>
    <row r="46">
      <c r="A46" t="inlineStr">
        <is>
          <t>L725726</t>
        </is>
      </c>
      <c r="B46" t="inlineStr">
        <is>
          <t>GLS-001</t>
        </is>
      </c>
      <c r="C46" t="n">
        <v>4</v>
      </c>
      <c r="D46" s="4" t="n">
        <v>46164</v>
      </c>
      <c r="E46" s="4">
        <f>IF(INDEX(Items!$E$2:$E$25,MATCH(B46,Items!$A$2:$A$25,0))=0,"",D46+INDEX(Items!$E$2:$E$25,MATCH(B46,Items!$A$2:$A$25,0)))</f>
        <v/>
      </c>
      <c r="F46">
        <f>IF(E46="","",E46-Dashboard!$B$2)</f>
        <v/>
      </c>
      <c r="G46">
        <f>IF(E46="","No expiry",IF(F46&lt;0,"Expired",IF(F46&lt;=30,"Expiring","OK")))</f>
        <v/>
      </c>
    </row>
    <row r="47">
      <c r="A47" t="inlineStr">
        <is>
          <t>L762652</t>
        </is>
      </c>
      <c r="B47" t="inlineStr">
        <is>
          <t>GLS-001</t>
        </is>
      </c>
      <c r="C47" t="n">
        <v>4</v>
      </c>
      <c r="D47" s="4" t="n">
        <v>46287</v>
      </c>
      <c r="E47" s="4">
        <f>IF(INDEX(Items!$E$2:$E$25,MATCH(B47,Items!$A$2:$A$25,0))=0,"",D47+INDEX(Items!$E$2:$E$25,MATCH(B47,Items!$A$2:$A$25,0)))</f>
        <v/>
      </c>
      <c r="F47">
        <f>IF(E47="","",E47-Dashboard!$B$2)</f>
        <v/>
      </c>
      <c r="G47">
        <f>IF(E47="","No expiry",IF(F47&lt;0,"Expired",IF(F47&lt;=30,"Expiring","OK")))</f>
        <v/>
      </c>
    </row>
    <row r="48">
      <c r="A48" t="inlineStr">
        <is>
          <t>L853448</t>
        </is>
      </c>
      <c r="B48" t="inlineStr">
        <is>
          <t>GLS-002</t>
        </is>
      </c>
      <c r="C48" t="n">
        <v>1</v>
      </c>
      <c r="D48" s="4" t="n">
        <v>46230</v>
      </c>
      <c r="E48" s="4">
        <f>IF(INDEX(Items!$E$2:$E$25,MATCH(B48,Items!$A$2:$A$25,0))=0,"",D48+INDEX(Items!$E$2:$E$25,MATCH(B48,Items!$A$2:$A$25,0)))</f>
        <v/>
      </c>
      <c r="F48">
        <f>IF(E48="","",E48-Dashboard!$B$2)</f>
        <v/>
      </c>
      <c r="G48">
        <f>IF(E48="","No expiry",IF(F48&lt;0,"Expired",IF(F48&lt;=30,"Expiring","OK")))</f>
        <v/>
      </c>
    </row>
    <row r="49">
      <c r="A49" t="inlineStr">
        <is>
          <t>L550089</t>
        </is>
      </c>
      <c r="B49" t="inlineStr">
        <is>
          <t>GLS-002</t>
        </is>
      </c>
      <c r="C49" t="n">
        <v>0</v>
      </c>
      <c r="D49" s="4" t="n">
        <v>46217</v>
      </c>
      <c r="E49" s="4">
        <f>IF(INDEX(Items!$E$2:$E$25,MATCH(B49,Items!$A$2:$A$25,0))=0,"",D49+INDEX(Items!$E$2:$E$25,MATCH(B49,Items!$A$2:$A$25,0)))</f>
        <v/>
      </c>
      <c r="F49">
        <f>IF(E49="","",E49-Dashboard!$B$2)</f>
        <v/>
      </c>
      <c r="G49">
        <f>IF(E49="","No expiry",IF(F49&lt;0,"Expired",IF(F49&lt;=30,"Expiring","OK")))</f>
        <v/>
      </c>
    </row>
    <row r="50">
      <c r="A50" t="inlineStr">
        <is>
          <t>L352249</t>
        </is>
      </c>
      <c r="B50" t="inlineStr">
        <is>
          <t>GLS-002</t>
        </is>
      </c>
      <c r="C50" t="n">
        <v>4</v>
      </c>
      <c r="D50" s="4" t="n">
        <v>46201</v>
      </c>
      <c r="E50" s="4">
        <f>IF(INDEX(Items!$E$2:$E$25,MATCH(B50,Items!$A$2:$A$25,0))=0,"",D50+INDEX(Items!$E$2:$E$25,MATCH(B50,Items!$A$2:$A$25,0)))</f>
        <v/>
      </c>
      <c r="F50">
        <f>IF(E50="","",E50-Dashboard!$B$2)</f>
        <v/>
      </c>
      <c r="G50">
        <f>IF(E50="","No expiry",IF(F50&lt;0,"Expired",IF(F50&lt;=30,"Expiring","OK")))</f>
        <v/>
      </c>
    </row>
  </sheetData>
  <conditionalFormatting sqref="G2:G50">
    <cfRule type="cellIs" priority="1" operator="equal" dxfId="0">
      <formula>"Expired"</formula>
    </cfRule>
    <cfRule type="cellIs" priority="2" operator="equal" dxfId="1">
      <formula>"Expiring"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10" customWidth="1" min="3" max="3"/>
    <col width="11" customWidth="1" min="4" max="4"/>
    <col width="10" customWidth="1" min="5" max="5"/>
    <col width="11" customWidth="1" min="6" max="6"/>
    <col width="10" customWidth="1" min="7" max="7"/>
    <col width="13" customWidth="1" min="8" max="8"/>
  </cols>
  <sheetData>
    <row r="1">
      <c r="A1" s="11" t="inlineStr">
        <is>
          <t>SKU</t>
        </is>
      </c>
      <c r="B1" s="11" t="inlineStr">
        <is>
          <t>Description</t>
        </is>
      </c>
      <c r="C1" s="11" t="inlineStr">
        <is>
          <t>VendorID</t>
        </is>
      </c>
      <c r="D1" s="11" t="inlineStr">
        <is>
          <t>UsableQty</t>
        </is>
      </c>
      <c r="E1" s="11" t="inlineStr">
        <is>
          <t>MinStock</t>
        </is>
      </c>
      <c r="F1" s="11" t="inlineStr">
        <is>
          <t>OpenPOQty</t>
        </is>
      </c>
      <c r="G1" s="11" t="inlineStr">
        <is>
          <t>Reorder?</t>
        </is>
      </c>
      <c r="H1" s="11" t="inlineStr">
        <is>
          <t>SuggestedQty</t>
        </is>
      </c>
    </row>
    <row r="2">
      <c r="A2" t="inlineStr">
        <is>
          <t>MED-001</t>
        </is>
      </c>
      <c r="B2">
        <f>INDEX(Items!$B$2:$B$25,MATCH(A2,Items!$A$2:$A$25,0))</f>
        <v/>
      </c>
      <c r="C2">
        <f>INDEX(Items!$C$2:$C$25,MATCH(A2,Items!$A$2:$A$25,0))</f>
        <v/>
      </c>
      <c r="D2">
        <f>SUMIFS(Inventory!$C$2:$C$50,Inventory!$B$2:$B$50,A2,Inventory!$G$2:$G$50,"&lt;&gt;Expired")</f>
        <v/>
      </c>
      <c r="E2">
        <f>INDEX(Items!$F$2:$F$25,MATCH(A2,Items!$A$2:$A$25,0))</f>
        <v/>
      </c>
      <c r="F2">
        <f>SUMIFS(PurchaseOrders!$G$2:$G$321,PurchaseOrders!$B$2:$B$321,A2,PurchaseOrders!$K$2:$K$321,"Open")</f>
        <v/>
      </c>
      <c r="G2">
        <f>IF(D2+F2&lt;E2,"YES","no")</f>
        <v/>
      </c>
      <c r="H2">
        <f>IF(G2="YES",MAX(INDEX(Items!$G$2:$G$25,MATCH(A2,Items!$A$2:$A$25,0)),E2-D2-F2),0)</f>
        <v/>
      </c>
    </row>
    <row r="3">
      <c r="A3" t="inlineStr">
        <is>
          <t>MED-002</t>
        </is>
      </c>
      <c r="B3">
        <f>INDEX(Items!$B$2:$B$25,MATCH(A3,Items!$A$2:$A$25,0))</f>
        <v/>
      </c>
      <c r="C3">
        <f>INDEX(Items!$C$2:$C$25,MATCH(A3,Items!$A$2:$A$25,0))</f>
        <v/>
      </c>
      <c r="D3">
        <f>SUMIFS(Inventory!$C$2:$C$50,Inventory!$B$2:$B$50,A3,Inventory!$G$2:$G$50,"&lt;&gt;Expired")</f>
        <v/>
      </c>
      <c r="E3">
        <f>INDEX(Items!$F$2:$F$25,MATCH(A3,Items!$A$2:$A$25,0))</f>
        <v/>
      </c>
      <c r="F3">
        <f>SUMIFS(PurchaseOrders!$G$2:$G$321,PurchaseOrders!$B$2:$B$321,A3,PurchaseOrders!$K$2:$K$321,"Open")</f>
        <v/>
      </c>
      <c r="G3">
        <f>IF(D3+F3&lt;E3,"YES","no")</f>
        <v/>
      </c>
      <c r="H3">
        <f>IF(G3="YES",MAX(INDEX(Items!$G$2:$G$25,MATCH(A3,Items!$A$2:$A$25,0)),E3-D3-F3),0)</f>
        <v/>
      </c>
    </row>
    <row r="4">
      <c r="A4" t="inlineStr">
        <is>
          <t>MED-003</t>
        </is>
      </c>
      <c r="B4">
        <f>INDEX(Items!$B$2:$B$25,MATCH(A4,Items!$A$2:$A$25,0))</f>
        <v/>
      </c>
      <c r="C4">
        <f>INDEX(Items!$C$2:$C$25,MATCH(A4,Items!$A$2:$A$25,0))</f>
        <v/>
      </c>
      <c r="D4">
        <f>SUMIFS(Inventory!$C$2:$C$50,Inventory!$B$2:$B$50,A4,Inventory!$G$2:$G$50,"&lt;&gt;Expired")</f>
        <v/>
      </c>
      <c r="E4">
        <f>INDEX(Items!$F$2:$F$25,MATCH(A4,Items!$A$2:$A$25,0))</f>
        <v/>
      </c>
      <c r="F4">
        <f>SUMIFS(PurchaseOrders!$G$2:$G$321,PurchaseOrders!$B$2:$B$321,A4,PurchaseOrders!$K$2:$K$321,"Open")</f>
        <v/>
      </c>
      <c r="G4">
        <f>IF(D4+F4&lt;E4,"YES","no")</f>
        <v/>
      </c>
      <c r="H4">
        <f>IF(G4="YES",MAX(INDEX(Items!$G$2:$G$25,MATCH(A4,Items!$A$2:$A$25,0)),E4-D4-F4),0)</f>
        <v/>
      </c>
    </row>
    <row r="5">
      <c r="A5" t="inlineStr">
        <is>
          <t>MED-004</t>
        </is>
      </c>
      <c r="B5">
        <f>INDEX(Items!$B$2:$B$25,MATCH(A5,Items!$A$2:$A$25,0))</f>
        <v/>
      </c>
      <c r="C5">
        <f>INDEX(Items!$C$2:$C$25,MATCH(A5,Items!$A$2:$A$25,0))</f>
        <v/>
      </c>
      <c r="D5">
        <f>SUMIFS(Inventory!$C$2:$C$50,Inventory!$B$2:$B$50,A5,Inventory!$G$2:$G$50,"&lt;&gt;Expired")</f>
        <v/>
      </c>
      <c r="E5">
        <f>INDEX(Items!$F$2:$F$25,MATCH(A5,Items!$A$2:$A$25,0))</f>
        <v/>
      </c>
      <c r="F5">
        <f>SUMIFS(PurchaseOrders!$G$2:$G$321,PurchaseOrders!$B$2:$B$321,A5,PurchaseOrders!$K$2:$K$321,"Open")</f>
        <v/>
      </c>
      <c r="G5">
        <f>IF(D5+F5&lt;E5,"YES","no")</f>
        <v/>
      </c>
      <c r="H5">
        <f>IF(G5="YES",MAX(INDEX(Items!$G$2:$G$25,MATCH(A5,Items!$A$2:$A$25,0)),E5-D5-F5),0)</f>
        <v/>
      </c>
    </row>
    <row r="6">
      <c r="A6" t="inlineStr">
        <is>
          <t>MED-005</t>
        </is>
      </c>
      <c r="B6">
        <f>INDEX(Items!$B$2:$B$25,MATCH(A6,Items!$A$2:$A$25,0))</f>
        <v/>
      </c>
      <c r="C6">
        <f>INDEX(Items!$C$2:$C$25,MATCH(A6,Items!$A$2:$A$25,0))</f>
        <v/>
      </c>
      <c r="D6">
        <f>SUMIFS(Inventory!$C$2:$C$50,Inventory!$B$2:$B$50,A6,Inventory!$G$2:$G$50,"&lt;&gt;Expired")</f>
        <v/>
      </c>
      <c r="E6">
        <f>INDEX(Items!$F$2:$F$25,MATCH(A6,Items!$A$2:$A$25,0))</f>
        <v/>
      </c>
      <c r="F6">
        <f>SUMIFS(PurchaseOrders!$G$2:$G$321,PurchaseOrders!$B$2:$B$321,A6,PurchaseOrders!$K$2:$K$321,"Open")</f>
        <v/>
      </c>
      <c r="G6">
        <f>IF(D6+F6&lt;E6,"YES","no")</f>
        <v/>
      </c>
      <c r="H6">
        <f>IF(G6="YES",MAX(INDEX(Items!$G$2:$G$25,MATCH(A6,Items!$A$2:$A$25,0)),E6-D6-F6),0)</f>
        <v/>
      </c>
    </row>
    <row r="7">
      <c r="A7" t="inlineStr">
        <is>
          <t>RGT-001</t>
        </is>
      </c>
      <c r="B7">
        <f>INDEX(Items!$B$2:$B$25,MATCH(A7,Items!$A$2:$A$25,0))</f>
        <v/>
      </c>
      <c r="C7">
        <f>INDEX(Items!$C$2:$C$25,MATCH(A7,Items!$A$2:$A$25,0))</f>
        <v/>
      </c>
      <c r="D7">
        <f>SUMIFS(Inventory!$C$2:$C$50,Inventory!$B$2:$B$50,A7,Inventory!$G$2:$G$50,"&lt;&gt;Expired")</f>
        <v/>
      </c>
      <c r="E7">
        <f>INDEX(Items!$F$2:$F$25,MATCH(A7,Items!$A$2:$A$25,0))</f>
        <v/>
      </c>
      <c r="F7">
        <f>SUMIFS(PurchaseOrders!$G$2:$G$321,PurchaseOrders!$B$2:$B$321,A7,PurchaseOrders!$K$2:$K$321,"Open")</f>
        <v/>
      </c>
      <c r="G7">
        <f>IF(D7+F7&lt;E7,"YES","no")</f>
        <v/>
      </c>
      <c r="H7">
        <f>IF(G7="YES",MAX(INDEX(Items!$G$2:$G$25,MATCH(A7,Items!$A$2:$A$25,0)),E7-D7-F7),0)</f>
        <v/>
      </c>
    </row>
    <row r="8">
      <c r="A8" t="inlineStr">
        <is>
          <t>RGT-002</t>
        </is>
      </c>
      <c r="B8">
        <f>INDEX(Items!$B$2:$B$25,MATCH(A8,Items!$A$2:$A$25,0))</f>
        <v/>
      </c>
      <c r="C8">
        <f>INDEX(Items!$C$2:$C$25,MATCH(A8,Items!$A$2:$A$25,0))</f>
        <v/>
      </c>
      <c r="D8">
        <f>SUMIFS(Inventory!$C$2:$C$50,Inventory!$B$2:$B$50,A8,Inventory!$G$2:$G$50,"&lt;&gt;Expired")</f>
        <v/>
      </c>
      <c r="E8">
        <f>INDEX(Items!$F$2:$F$25,MATCH(A8,Items!$A$2:$A$25,0))</f>
        <v/>
      </c>
      <c r="F8">
        <f>SUMIFS(PurchaseOrders!$G$2:$G$321,PurchaseOrders!$B$2:$B$321,A8,PurchaseOrders!$K$2:$K$321,"Open")</f>
        <v/>
      </c>
      <c r="G8">
        <f>IF(D8+F8&lt;E8,"YES","no")</f>
        <v/>
      </c>
      <c r="H8">
        <f>IF(G8="YES",MAX(INDEX(Items!$G$2:$G$25,MATCH(A8,Items!$A$2:$A$25,0)),E8-D8-F8),0)</f>
        <v/>
      </c>
    </row>
    <row r="9">
      <c r="A9" t="inlineStr">
        <is>
          <t>RGT-003</t>
        </is>
      </c>
      <c r="B9">
        <f>INDEX(Items!$B$2:$B$25,MATCH(A9,Items!$A$2:$A$25,0))</f>
        <v/>
      </c>
      <c r="C9">
        <f>INDEX(Items!$C$2:$C$25,MATCH(A9,Items!$A$2:$A$25,0))</f>
        <v/>
      </c>
      <c r="D9">
        <f>SUMIFS(Inventory!$C$2:$C$50,Inventory!$B$2:$B$50,A9,Inventory!$G$2:$G$50,"&lt;&gt;Expired")</f>
        <v/>
      </c>
      <c r="E9">
        <f>INDEX(Items!$F$2:$F$25,MATCH(A9,Items!$A$2:$A$25,0))</f>
        <v/>
      </c>
      <c r="F9">
        <f>SUMIFS(PurchaseOrders!$G$2:$G$321,PurchaseOrders!$B$2:$B$321,A9,PurchaseOrders!$K$2:$K$321,"Open")</f>
        <v/>
      </c>
      <c r="G9">
        <f>IF(D9+F9&lt;E9,"YES","no")</f>
        <v/>
      </c>
      <c r="H9">
        <f>IF(G9="YES",MAX(INDEX(Items!$G$2:$G$25,MATCH(A9,Items!$A$2:$A$25,0)),E9-D9-F9),0)</f>
        <v/>
      </c>
    </row>
    <row r="10">
      <c r="A10" t="inlineStr">
        <is>
          <t>RGT-004</t>
        </is>
      </c>
      <c r="B10">
        <f>INDEX(Items!$B$2:$B$25,MATCH(A10,Items!$A$2:$A$25,0))</f>
        <v/>
      </c>
      <c r="C10">
        <f>INDEX(Items!$C$2:$C$25,MATCH(A10,Items!$A$2:$A$25,0))</f>
        <v/>
      </c>
      <c r="D10">
        <f>SUMIFS(Inventory!$C$2:$C$50,Inventory!$B$2:$B$50,A10,Inventory!$G$2:$G$50,"&lt;&gt;Expired")</f>
        <v/>
      </c>
      <c r="E10">
        <f>INDEX(Items!$F$2:$F$25,MATCH(A10,Items!$A$2:$A$25,0))</f>
        <v/>
      </c>
      <c r="F10">
        <f>SUMIFS(PurchaseOrders!$G$2:$G$321,PurchaseOrders!$B$2:$B$321,A10,PurchaseOrders!$K$2:$K$321,"Open")</f>
        <v/>
      </c>
      <c r="G10">
        <f>IF(D10+F10&lt;E10,"YES","no")</f>
        <v/>
      </c>
      <c r="H10">
        <f>IF(G10="YES",MAX(INDEX(Items!$G$2:$G$25,MATCH(A10,Items!$A$2:$A$25,0)),E10-D10-F10),0)</f>
        <v/>
      </c>
    </row>
    <row r="11">
      <c r="A11" t="inlineStr">
        <is>
          <t>CON-001</t>
        </is>
      </c>
      <c r="B11">
        <f>INDEX(Items!$B$2:$B$25,MATCH(A11,Items!$A$2:$A$25,0))</f>
        <v/>
      </c>
      <c r="C11">
        <f>INDEX(Items!$C$2:$C$25,MATCH(A11,Items!$A$2:$A$25,0))</f>
        <v/>
      </c>
      <c r="D11">
        <f>SUMIFS(Inventory!$C$2:$C$50,Inventory!$B$2:$B$50,A11,Inventory!$G$2:$G$50,"&lt;&gt;Expired")</f>
        <v/>
      </c>
      <c r="E11">
        <f>INDEX(Items!$F$2:$F$25,MATCH(A11,Items!$A$2:$A$25,0))</f>
        <v/>
      </c>
      <c r="F11">
        <f>SUMIFS(PurchaseOrders!$G$2:$G$321,PurchaseOrders!$B$2:$B$321,A11,PurchaseOrders!$K$2:$K$321,"Open")</f>
        <v/>
      </c>
      <c r="G11">
        <f>IF(D11+F11&lt;E11,"YES","no")</f>
        <v/>
      </c>
      <c r="H11">
        <f>IF(G11="YES",MAX(INDEX(Items!$G$2:$G$25,MATCH(A11,Items!$A$2:$A$25,0)),E11-D11-F11),0)</f>
        <v/>
      </c>
    </row>
    <row r="12">
      <c r="A12" t="inlineStr">
        <is>
          <t>CON-002</t>
        </is>
      </c>
      <c r="B12">
        <f>INDEX(Items!$B$2:$B$25,MATCH(A12,Items!$A$2:$A$25,0))</f>
        <v/>
      </c>
      <c r="C12">
        <f>INDEX(Items!$C$2:$C$25,MATCH(A12,Items!$A$2:$A$25,0))</f>
        <v/>
      </c>
      <c r="D12">
        <f>SUMIFS(Inventory!$C$2:$C$50,Inventory!$B$2:$B$50,A12,Inventory!$G$2:$G$50,"&lt;&gt;Expired")</f>
        <v/>
      </c>
      <c r="E12">
        <f>INDEX(Items!$F$2:$F$25,MATCH(A12,Items!$A$2:$A$25,0))</f>
        <v/>
      </c>
      <c r="F12">
        <f>SUMIFS(PurchaseOrders!$G$2:$G$321,PurchaseOrders!$B$2:$B$321,A12,PurchaseOrders!$K$2:$K$321,"Open")</f>
        <v/>
      </c>
      <c r="G12">
        <f>IF(D12+F12&lt;E12,"YES","no")</f>
        <v/>
      </c>
      <c r="H12">
        <f>IF(G12="YES",MAX(INDEX(Items!$G$2:$G$25,MATCH(A12,Items!$A$2:$A$25,0)),E12-D12-F12),0)</f>
        <v/>
      </c>
    </row>
    <row r="13">
      <c r="A13" t="inlineStr">
        <is>
          <t>CON-003</t>
        </is>
      </c>
      <c r="B13">
        <f>INDEX(Items!$B$2:$B$25,MATCH(A13,Items!$A$2:$A$25,0))</f>
        <v/>
      </c>
      <c r="C13">
        <f>INDEX(Items!$C$2:$C$25,MATCH(A13,Items!$A$2:$A$25,0))</f>
        <v/>
      </c>
      <c r="D13">
        <f>SUMIFS(Inventory!$C$2:$C$50,Inventory!$B$2:$B$50,A13,Inventory!$G$2:$G$50,"&lt;&gt;Expired")</f>
        <v/>
      </c>
      <c r="E13">
        <f>INDEX(Items!$F$2:$F$25,MATCH(A13,Items!$A$2:$A$25,0))</f>
        <v/>
      </c>
      <c r="F13">
        <f>SUMIFS(PurchaseOrders!$G$2:$G$321,PurchaseOrders!$B$2:$B$321,A13,PurchaseOrders!$K$2:$K$321,"Open")</f>
        <v/>
      </c>
      <c r="G13">
        <f>IF(D13+F13&lt;E13,"YES","no")</f>
        <v/>
      </c>
      <c r="H13">
        <f>IF(G13="YES",MAX(INDEX(Items!$G$2:$G$25,MATCH(A13,Items!$A$2:$A$25,0)),E13-D13-F13),0)</f>
        <v/>
      </c>
    </row>
    <row r="14">
      <c r="A14" t="inlineStr">
        <is>
          <t>CON-004</t>
        </is>
      </c>
      <c r="B14">
        <f>INDEX(Items!$B$2:$B$25,MATCH(A14,Items!$A$2:$A$25,0))</f>
        <v/>
      </c>
      <c r="C14">
        <f>INDEX(Items!$C$2:$C$25,MATCH(A14,Items!$A$2:$A$25,0))</f>
        <v/>
      </c>
      <c r="D14">
        <f>SUMIFS(Inventory!$C$2:$C$50,Inventory!$B$2:$B$50,A14,Inventory!$G$2:$G$50,"&lt;&gt;Expired")</f>
        <v/>
      </c>
      <c r="E14">
        <f>INDEX(Items!$F$2:$F$25,MATCH(A14,Items!$A$2:$A$25,0))</f>
        <v/>
      </c>
      <c r="F14">
        <f>SUMIFS(PurchaseOrders!$G$2:$G$321,PurchaseOrders!$B$2:$B$321,A14,PurchaseOrders!$K$2:$K$321,"Open")</f>
        <v/>
      </c>
      <c r="G14">
        <f>IF(D14+F14&lt;E14,"YES","no")</f>
        <v/>
      </c>
      <c r="H14">
        <f>IF(G14="YES",MAX(INDEX(Items!$G$2:$G$25,MATCH(A14,Items!$A$2:$A$25,0)),E14-D14-F14),0)</f>
        <v/>
      </c>
    </row>
    <row r="15">
      <c r="A15" t="inlineStr">
        <is>
          <t>STR-001</t>
        </is>
      </c>
      <c r="B15">
        <f>INDEX(Items!$B$2:$B$25,MATCH(A15,Items!$A$2:$A$25,0))</f>
        <v/>
      </c>
      <c r="C15">
        <f>INDEX(Items!$C$2:$C$25,MATCH(A15,Items!$A$2:$A$25,0))</f>
        <v/>
      </c>
      <c r="D15">
        <f>SUMIFS(Inventory!$C$2:$C$50,Inventory!$B$2:$B$50,A15,Inventory!$G$2:$G$50,"&lt;&gt;Expired")</f>
        <v/>
      </c>
      <c r="E15">
        <f>INDEX(Items!$F$2:$F$25,MATCH(A15,Items!$A$2:$A$25,0))</f>
        <v/>
      </c>
      <c r="F15">
        <f>SUMIFS(PurchaseOrders!$G$2:$G$321,PurchaseOrders!$B$2:$B$321,A15,PurchaseOrders!$K$2:$K$321,"Open")</f>
        <v/>
      </c>
      <c r="G15">
        <f>IF(D15+F15&lt;E15,"YES","no")</f>
        <v/>
      </c>
      <c r="H15">
        <f>IF(G15="YES",MAX(INDEX(Items!$G$2:$G$25,MATCH(A15,Items!$A$2:$A$25,0)),E15-D15-F15),0)</f>
        <v/>
      </c>
    </row>
    <row r="16">
      <c r="A16" t="inlineStr">
        <is>
          <t>STR-002</t>
        </is>
      </c>
      <c r="B16">
        <f>INDEX(Items!$B$2:$B$25,MATCH(A16,Items!$A$2:$A$25,0))</f>
        <v/>
      </c>
      <c r="C16">
        <f>INDEX(Items!$C$2:$C$25,MATCH(A16,Items!$A$2:$A$25,0))</f>
        <v/>
      </c>
      <c r="D16">
        <f>SUMIFS(Inventory!$C$2:$C$50,Inventory!$B$2:$B$50,A16,Inventory!$G$2:$G$50,"&lt;&gt;Expired")</f>
        <v/>
      </c>
      <c r="E16">
        <f>INDEX(Items!$F$2:$F$25,MATCH(A16,Items!$A$2:$A$25,0))</f>
        <v/>
      </c>
      <c r="F16">
        <f>SUMIFS(PurchaseOrders!$G$2:$G$321,PurchaseOrders!$B$2:$B$321,A16,PurchaseOrders!$K$2:$K$321,"Open")</f>
        <v/>
      </c>
      <c r="G16">
        <f>IF(D16+F16&lt;E16,"YES","no")</f>
        <v/>
      </c>
      <c r="H16">
        <f>IF(G16="YES",MAX(INDEX(Items!$G$2:$G$25,MATCH(A16,Items!$A$2:$A$25,0)),E16-D16-F16),0)</f>
        <v/>
      </c>
    </row>
    <row r="17">
      <c r="A17" t="inlineStr">
        <is>
          <t>STR-003</t>
        </is>
      </c>
      <c r="B17">
        <f>INDEX(Items!$B$2:$B$25,MATCH(A17,Items!$A$2:$A$25,0))</f>
        <v/>
      </c>
      <c r="C17">
        <f>INDEX(Items!$C$2:$C$25,MATCH(A17,Items!$A$2:$A$25,0))</f>
        <v/>
      </c>
      <c r="D17">
        <f>SUMIFS(Inventory!$C$2:$C$50,Inventory!$B$2:$B$50,A17,Inventory!$G$2:$G$50,"&lt;&gt;Expired")</f>
        <v/>
      </c>
      <c r="E17">
        <f>INDEX(Items!$F$2:$F$25,MATCH(A17,Items!$A$2:$A$25,0))</f>
        <v/>
      </c>
      <c r="F17">
        <f>SUMIFS(PurchaseOrders!$G$2:$G$321,PurchaseOrders!$B$2:$B$321,A17,PurchaseOrders!$K$2:$K$321,"Open")</f>
        <v/>
      </c>
      <c r="G17">
        <f>IF(D17+F17&lt;E17,"YES","no")</f>
        <v/>
      </c>
      <c r="H17">
        <f>IF(G17="YES",MAX(INDEX(Items!$G$2:$G$25,MATCH(A17,Items!$A$2:$A$25,0)),E17-D17-F17),0)</f>
        <v/>
      </c>
    </row>
    <row r="18">
      <c r="A18" t="inlineStr">
        <is>
          <t>GAS-001</t>
        </is>
      </c>
      <c r="B18">
        <f>INDEX(Items!$B$2:$B$25,MATCH(A18,Items!$A$2:$A$25,0))</f>
        <v/>
      </c>
      <c r="C18">
        <f>INDEX(Items!$C$2:$C$25,MATCH(A18,Items!$A$2:$A$25,0))</f>
        <v/>
      </c>
      <c r="D18">
        <f>SUMIFS(Inventory!$C$2:$C$50,Inventory!$B$2:$B$50,A18,Inventory!$G$2:$G$50,"&lt;&gt;Expired")</f>
        <v/>
      </c>
      <c r="E18">
        <f>INDEX(Items!$F$2:$F$25,MATCH(A18,Items!$A$2:$A$25,0))</f>
        <v/>
      </c>
      <c r="F18">
        <f>SUMIFS(PurchaseOrders!$G$2:$G$321,PurchaseOrders!$B$2:$B$321,A18,PurchaseOrders!$K$2:$K$321,"Open")</f>
        <v/>
      </c>
      <c r="G18">
        <f>IF(D18+F18&lt;E18,"YES","no")</f>
        <v/>
      </c>
      <c r="H18">
        <f>IF(G18="YES",MAX(INDEX(Items!$G$2:$G$25,MATCH(A18,Items!$A$2:$A$25,0)),E18-D18-F18),0)</f>
        <v/>
      </c>
    </row>
    <row r="19">
      <c r="A19" t="inlineStr">
        <is>
          <t>GAS-002</t>
        </is>
      </c>
      <c r="B19">
        <f>INDEX(Items!$B$2:$B$25,MATCH(A19,Items!$A$2:$A$25,0))</f>
        <v/>
      </c>
      <c r="C19">
        <f>INDEX(Items!$C$2:$C$25,MATCH(A19,Items!$A$2:$A$25,0))</f>
        <v/>
      </c>
      <c r="D19">
        <f>SUMIFS(Inventory!$C$2:$C$50,Inventory!$B$2:$B$50,A19,Inventory!$G$2:$G$50,"&lt;&gt;Expired")</f>
        <v/>
      </c>
      <c r="E19">
        <f>INDEX(Items!$F$2:$F$25,MATCH(A19,Items!$A$2:$A$25,0))</f>
        <v/>
      </c>
      <c r="F19">
        <f>SUMIFS(PurchaseOrders!$G$2:$G$321,PurchaseOrders!$B$2:$B$321,A19,PurchaseOrders!$K$2:$K$321,"Open")</f>
        <v/>
      </c>
      <c r="G19">
        <f>IF(D19+F19&lt;E19,"YES","no")</f>
        <v/>
      </c>
      <c r="H19">
        <f>IF(G19="YES",MAX(INDEX(Items!$G$2:$G$25,MATCH(A19,Items!$A$2:$A$25,0)),E19-D19-F19),0)</f>
        <v/>
      </c>
    </row>
    <row r="20">
      <c r="A20" t="inlineStr">
        <is>
          <t>CAL-001</t>
        </is>
      </c>
      <c r="B20">
        <f>INDEX(Items!$B$2:$B$25,MATCH(A20,Items!$A$2:$A$25,0))</f>
        <v/>
      </c>
      <c r="C20">
        <f>INDEX(Items!$C$2:$C$25,MATCH(A20,Items!$A$2:$A$25,0))</f>
        <v/>
      </c>
      <c r="D20">
        <f>SUMIFS(Inventory!$C$2:$C$50,Inventory!$B$2:$B$50,A20,Inventory!$G$2:$G$50,"&lt;&gt;Expired")</f>
        <v/>
      </c>
      <c r="E20">
        <f>INDEX(Items!$F$2:$F$25,MATCH(A20,Items!$A$2:$A$25,0))</f>
        <v/>
      </c>
      <c r="F20">
        <f>SUMIFS(PurchaseOrders!$G$2:$G$321,PurchaseOrders!$B$2:$B$321,A20,PurchaseOrders!$K$2:$K$321,"Open")</f>
        <v/>
      </c>
      <c r="G20">
        <f>IF(D20+F20&lt;E20,"YES","no")</f>
        <v/>
      </c>
      <c r="H20">
        <f>IF(G20="YES",MAX(INDEX(Items!$G$2:$G$25,MATCH(A20,Items!$A$2:$A$25,0)),E20-D20-F20),0)</f>
        <v/>
      </c>
    </row>
    <row r="21">
      <c r="A21" t="inlineStr">
        <is>
          <t>CAL-002</t>
        </is>
      </c>
      <c r="B21">
        <f>INDEX(Items!$B$2:$B$25,MATCH(A21,Items!$A$2:$A$25,0))</f>
        <v/>
      </c>
      <c r="C21">
        <f>INDEX(Items!$C$2:$C$25,MATCH(A21,Items!$A$2:$A$25,0))</f>
        <v/>
      </c>
      <c r="D21">
        <f>SUMIFS(Inventory!$C$2:$C$50,Inventory!$B$2:$B$50,A21,Inventory!$G$2:$G$50,"&lt;&gt;Expired")</f>
        <v/>
      </c>
      <c r="E21">
        <f>INDEX(Items!$F$2:$F$25,MATCH(A21,Items!$A$2:$A$25,0))</f>
        <v/>
      </c>
      <c r="F21">
        <f>SUMIFS(PurchaseOrders!$G$2:$G$321,PurchaseOrders!$B$2:$B$321,A21,PurchaseOrders!$K$2:$K$321,"Open")</f>
        <v/>
      </c>
      <c r="G21">
        <f>IF(D21+F21&lt;E21,"YES","no")</f>
        <v/>
      </c>
      <c r="H21">
        <f>IF(G21="YES",MAX(INDEX(Items!$G$2:$G$25,MATCH(A21,Items!$A$2:$A$25,0)),E21-D21-F21),0)</f>
        <v/>
      </c>
    </row>
    <row r="22">
      <c r="A22" t="inlineStr">
        <is>
          <t>BIO-001</t>
        </is>
      </c>
      <c r="B22">
        <f>INDEX(Items!$B$2:$B$25,MATCH(A22,Items!$A$2:$A$25,0))</f>
        <v/>
      </c>
      <c r="C22">
        <f>INDEX(Items!$C$2:$C$25,MATCH(A22,Items!$A$2:$A$25,0))</f>
        <v/>
      </c>
      <c r="D22">
        <f>SUMIFS(Inventory!$C$2:$C$50,Inventory!$B$2:$B$50,A22,Inventory!$G$2:$G$50,"&lt;&gt;Expired")</f>
        <v/>
      </c>
      <c r="E22">
        <f>INDEX(Items!$F$2:$F$25,MATCH(A22,Items!$A$2:$A$25,0))</f>
        <v/>
      </c>
      <c r="F22">
        <f>SUMIFS(PurchaseOrders!$G$2:$G$321,PurchaseOrders!$B$2:$B$321,A22,PurchaseOrders!$K$2:$K$321,"Open")</f>
        <v/>
      </c>
      <c r="G22">
        <f>IF(D22+F22&lt;E22,"YES","no")</f>
        <v/>
      </c>
      <c r="H22">
        <f>IF(G22="YES",MAX(INDEX(Items!$G$2:$G$25,MATCH(A22,Items!$A$2:$A$25,0)),E22-D22-F22),0)</f>
        <v/>
      </c>
    </row>
    <row r="23">
      <c r="A23" t="inlineStr">
        <is>
          <t>BIO-002</t>
        </is>
      </c>
      <c r="B23">
        <f>INDEX(Items!$B$2:$B$25,MATCH(A23,Items!$A$2:$A$25,0))</f>
        <v/>
      </c>
      <c r="C23">
        <f>INDEX(Items!$C$2:$C$25,MATCH(A23,Items!$A$2:$A$25,0))</f>
        <v/>
      </c>
      <c r="D23">
        <f>SUMIFS(Inventory!$C$2:$C$50,Inventory!$B$2:$B$50,A23,Inventory!$G$2:$G$50,"&lt;&gt;Expired")</f>
        <v/>
      </c>
      <c r="E23">
        <f>INDEX(Items!$F$2:$F$25,MATCH(A23,Items!$A$2:$A$25,0))</f>
        <v/>
      </c>
      <c r="F23">
        <f>SUMIFS(PurchaseOrders!$G$2:$G$321,PurchaseOrders!$B$2:$B$321,A23,PurchaseOrders!$K$2:$K$321,"Open")</f>
        <v/>
      </c>
      <c r="G23">
        <f>IF(D23+F23&lt;E23,"YES","no")</f>
        <v/>
      </c>
      <c r="H23">
        <f>IF(G23="YES",MAX(INDEX(Items!$G$2:$G$25,MATCH(A23,Items!$A$2:$A$25,0)),E23-D23-F23),0)</f>
        <v/>
      </c>
    </row>
    <row r="24">
      <c r="A24" t="inlineStr">
        <is>
          <t>GLS-001</t>
        </is>
      </c>
      <c r="B24">
        <f>INDEX(Items!$B$2:$B$25,MATCH(A24,Items!$A$2:$A$25,0))</f>
        <v/>
      </c>
      <c r="C24">
        <f>INDEX(Items!$C$2:$C$25,MATCH(A24,Items!$A$2:$A$25,0))</f>
        <v/>
      </c>
      <c r="D24">
        <f>SUMIFS(Inventory!$C$2:$C$50,Inventory!$B$2:$B$50,A24,Inventory!$G$2:$G$50,"&lt;&gt;Expired")</f>
        <v/>
      </c>
      <c r="E24">
        <f>INDEX(Items!$F$2:$F$25,MATCH(A24,Items!$A$2:$A$25,0))</f>
        <v/>
      </c>
      <c r="F24">
        <f>SUMIFS(PurchaseOrders!$G$2:$G$321,PurchaseOrders!$B$2:$B$321,A24,PurchaseOrders!$K$2:$K$321,"Open")</f>
        <v/>
      </c>
      <c r="G24">
        <f>IF(D24+F24&lt;E24,"YES","no")</f>
        <v/>
      </c>
      <c r="H24">
        <f>IF(G24="YES",MAX(INDEX(Items!$G$2:$G$25,MATCH(A24,Items!$A$2:$A$25,0)),E24-D24-F24),0)</f>
        <v/>
      </c>
    </row>
    <row r="25">
      <c r="A25" t="inlineStr">
        <is>
          <t>GLS-002</t>
        </is>
      </c>
      <c r="B25">
        <f>INDEX(Items!$B$2:$B$25,MATCH(A25,Items!$A$2:$A$25,0))</f>
        <v/>
      </c>
      <c r="C25">
        <f>INDEX(Items!$C$2:$C$25,MATCH(A25,Items!$A$2:$A$25,0))</f>
        <v/>
      </c>
      <c r="D25">
        <f>SUMIFS(Inventory!$C$2:$C$50,Inventory!$B$2:$B$50,A25,Inventory!$G$2:$G$50,"&lt;&gt;Expired")</f>
        <v/>
      </c>
      <c r="E25">
        <f>INDEX(Items!$F$2:$F$25,MATCH(A25,Items!$A$2:$A$25,0))</f>
        <v/>
      </c>
      <c r="F25">
        <f>SUMIFS(PurchaseOrders!$G$2:$G$321,PurchaseOrders!$B$2:$B$321,A25,PurchaseOrders!$K$2:$K$321,"Open")</f>
        <v/>
      </c>
      <c r="G25">
        <f>IF(D25+F25&lt;E25,"YES","no")</f>
        <v/>
      </c>
      <c r="H25">
        <f>IF(G25="YES",MAX(INDEX(Items!$G$2:$G$25,MATCH(A25,Items!$A$2:$A$25,0)),E25-D25-F25),0)</f>
        <v/>
      </c>
    </row>
  </sheetData>
  <conditionalFormatting sqref="A2:H25">
    <cfRule type="expression" priority="1" dxfId="0">
      <formula>$G2="YES"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9" customWidth="1" min="3" max="3"/>
    <col width="10" customWidth="1" min="4" max="4"/>
    <col width="9" customWidth="1" min="5" max="5"/>
    <col width="10" customWidth="1" min="6" max="6"/>
    <col width="12" customWidth="1" min="7" max="7"/>
    <col width="14" customWidth="1" min="8" max="8"/>
    <col width="12" customWidth="1" min="9" max="9"/>
    <col width="13" customWidth="1" min="10" max="10"/>
    <col width="14" customWidth="1" min="11" max="11"/>
  </cols>
  <sheetData>
    <row r="1">
      <c r="A1" s="11" t="inlineStr">
        <is>
          <t>VendorID</t>
        </is>
      </c>
      <c r="B1" s="11" t="inlineStr">
        <is>
          <t>VendorName</t>
        </is>
      </c>
      <c r="C1" s="11" t="inlineStr">
        <is>
          <t>Orders</t>
        </is>
      </c>
      <c r="D1" s="11" t="inlineStr">
        <is>
          <t>Received</t>
        </is>
      </c>
      <c r="E1" s="11" t="inlineStr">
        <is>
          <t>OnTime</t>
        </is>
      </c>
      <c r="F1" s="11" t="inlineStr">
        <is>
          <t>OnTime%</t>
        </is>
      </c>
      <c r="G1" s="11" t="inlineStr">
        <is>
          <t>AvgLeadDays</t>
        </is>
      </c>
      <c r="H1" s="11" t="inlineStr">
        <is>
          <t>QuotedLeadDays</t>
        </is>
      </c>
      <c r="I1" s="11" t="inlineStr">
        <is>
          <t>AvgDaysLate</t>
        </is>
      </c>
      <c r="J1" s="11" t="inlineStr">
        <is>
          <t>Spend12mo</t>
        </is>
      </c>
      <c r="K1" s="11" t="inlineStr">
        <is>
          <t>Rating</t>
        </is>
      </c>
    </row>
    <row r="2">
      <c r="A2" t="inlineStr">
        <is>
          <t>V01</t>
        </is>
      </c>
      <c r="B2">
        <f>INDEX(Vendors!$B$2:$B$9,MATCH(A2,Vendors!$A$2:$A$9,0))</f>
        <v/>
      </c>
      <c r="C2">
        <f>COUNTIFS(PurchaseOrders!$C$2:$C$321,A2)</f>
        <v/>
      </c>
      <c r="D2">
        <f>COUNTIFS(PurchaseOrders!$C$2:$C$321,A2,PurchaseOrders!$K$2:$K$321,"&lt;&gt;Open")</f>
        <v/>
      </c>
      <c r="E2">
        <f>COUNTIFS(PurchaseOrders!$C$2:$C$321,A2,PurchaseOrders!$K$2:$K$321,"Yes")</f>
        <v/>
      </c>
      <c r="F2" s="8">
        <f>IF(D2=0,"",E2/D2)</f>
        <v/>
      </c>
      <c r="G2" s="9">
        <f>IFERROR(AVERAGEIFS(PurchaseOrders!$J$2:$J$321,PurchaseOrders!$C$2:$C$321,A2,PurchaseOrders!$K$2:$K$321,"&lt;&gt;Open"),"")</f>
        <v/>
      </c>
      <c r="H2">
        <f>INDEX(Vendors!$D$2:$D$9,MATCH(A2,Vendors!$A$2:$A$9,0))</f>
        <v/>
      </c>
      <c r="I2" s="9">
        <f>IFERROR(AVERAGEIFS(PurchaseOrders!$L$2:$L$321,PurchaseOrders!$C$2:$C$321,A2,PurchaseOrders!$K$2:$K$321,"&lt;&gt;Open"),"")</f>
        <v/>
      </c>
      <c r="J2" s="6">
        <f>SUMIFS(PurchaseOrders!$I$2:$I$321,PurchaseOrders!$C$2:$C$321,A2)</f>
        <v/>
      </c>
      <c r="K2">
        <f>IF(F2="","",IF(F2&gt;=0.9,"Preferred",IF(F2&gt;=0.8,"Monitor","At risk")))</f>
        <v/>
      </c>
    </row>
    <row r="3">
      <c r="A3" t="inlineStr">
        <is>
          <t>V02</t>
        </is>
      </c>
      <c r="B3">
        <f>INDEX(Vendors!$B$2:$B$9,MATCH(A3,Vendors!$A$2:$A$9,0))</f>
        <v/>
      </c>
      <c r="C3">
        <f>COUNTIFS(PurchaseOrders!$C$2:$C$321,A3)</f>
        <v/>
      </c>
      <c r="D3">
        <f>COUNTIFS(PurchaseOrders!$C$2:$C$321,A3,PurchaseOrders!$K$2:$K$321,"&lt;&gt;Open")</f>
        <v/>
      </c>
      <c r="E3">
        <f>COUNTIFS(PurchaseOrders!$C$2:$C$321,A3,PurchaseOrders!$K$2:$K$321,"Yes")</f>
        <v/>
      </c>
      <c r="F3" s="8">
        <f>IF(D3=0,"",E3/D3)</f>
        <v/>
      </c>
      <c r="G3" s="9">
        <f>IFERROR(AVERAGEIFS(PurchaseOrders!$J$2:$J$321,PurchaseOrders!$C$2:$C$321,A3,PurchaseOrders!$K$2:$K$321,"&lt;&gt;Open"),"")</f>
        <v/>
      </c>
      <c r="H3">
        <f>INDEX(Vendors!$D$2:$D$9,MATCH(A3,Vendors!$A$2:$A$9,0))</f>
        <v/>
      </c>
      <c r="I3" s="9">
        <f>IFERROR(AVERAGEIFS(PurchaseOrders!$L$2:$L$321,PurchaseOrders!$C$2:$C$321,A3,PurchaseOrders!$K$2:$K$321,"&lt;&gt;Open"),"")</f>
        <v/>
      </c>
      <c r="J3" s="6">
        <f>SUMIFS(PurchaseOrders!$I$2:$I$321,PurchaseOrders!$C$2:$C$321,A3)</f>
        <v/>
      </c>
      <c r="K3">
        <f>IF(F3="","",IF(F3&gt;=0.9,"Preferred",IF(F3&gt;=0.8,"Monitor","At risk")))</f>
        <v/>
      </c>
    </row>
    <row r="4">
      <c r="A4" t="inlineStr">
        <is>
          <t>V03</t>
        </is>
      </c>
      <c r="B4">
        <f>INDEX(Vendors!$B$2:$B$9,MATCH(A4,Vendors!$A$2:$A$9,0))</f>
        <v/>
      </c>
      <c r="C4">
        <f>COUNTIFS(PurchaseOrders!$C$2:$C$321,A4)</f>
        <v/>
      </c>
      <c r="D4">
        <f>COUNTIFS(PurchaseOrders!$C$2:$C$321,A4,PurchaseOrders!$K$2:$K$321,"&lt;&gt;Open")</f>
        <v/>
      </c>
      <c r="E4">
        <f>COUNTIFS(PurchaseOrders!$C$2:$C$321,A4,PurchaseOrders!$K$2:$K$321,"Yes")</f>
        <v/>
      </c>
      <c r="F4" s="8">
        <f>IF(D4=0,"",E4/D4)</f>
        <v/>
      </c>
      <c r="G4" s="9">
        <f>IFERROR(AVERAGEIFS(PurchaseOrders!$J$2:$J$321,PurchaseOrders!$C$2:$C$321,A4,PurchaseOrders!$K$2:$K$321,"&lt;&gt;Open"),"")</f>
        <v/>
      </c>
      <c r="H4">
        <f>INDEX(Vendors!$D$2:$D$9,MATCH(A4,Vendors!$A$2:$A$9,0))</f>
        <v/>
      </c>
      <c r="I4" s="9">
        <f>IFERROR(AVERAGEIFS(PurchaseOrders!$L$2:$L$321,PurchaseOrders!$C$2:$C$321,A4,PurchaseOrders!$K$2:$K$321,"&lt;&gt;Open"),"")</f>
        <v/>
      </c>
      <c r="J4" s="6">
        <f>SUMIFS(PurchaseOrders!$I$2:$I$321,PurchaseOrders!$C$2:$C$321,A4)</f>
        <v/>
      </c>
      <c r="K4">
        <f>IF(F4="","",IF(F4&gt;=0.9,"Preferred",IF(F4&gt;=0.8,"Monitor","At risk")))</f>
        <v/>
      </c>
    </row>
    <row r="5">
      <c r="A5" t="inlineStr">
        <is>
          <t>V04</t>
        </is>
      </c>
      <c r="B5">
        <f>INDEX(Vendors!$B$2:$B$9,MATCH(A5,Vendors!$A$2:$A$9,0))</f>
        <v/>
      </c>
      <c r="C5">
        <f>COUNTIFS(PurchaseOrders!$C$2:$C$321,A5)</f>
        <v/>
      </c>
      <c r="D5">
        <f>COUNTIFS(PurchaseOrders!$C$2:$C$321,A5,PurchaseOrders!$K$2:$K$321,"&lt;&gt;Open")</f>
        <v/>
      </c>
      <c r="E5">
        <f>COUNTIFS(PurchaseOrders!$C$2:$C$321,A5,PurchaseOrders!$K$2:$K$321,"Yes")</f>
        <v/>
      </c>
      <c r="F5" s="8">
        <f>IF(D5=0,"",E5/D5)</f>
        <v/>
      </c>
      <c r="G5" s="9">
        <f>IFERROR(AVERAGEIFS(PurchaseOrders!$J$2:$J$321,PurchaseOrders!$C$2:$C$321,A5,PurchaseOrders!$K$2:$K$321,"&lt;&gt;Open"),"")</f>
        <v/>
      </c>
      <c r="H5">
        <f>INDEX(Vendors!$D$2:$D$9,MATCH(A5,Vendors!$A$2:$A$9,0))</f>
        <v/>
      </c>
      <c r="I5" s="9">
        <f>IFERROR(AVERAGEIFS(PurchaseOrders!$L$2:$L$321,PurchaseOrders!$C$2:$C$321,A5,PurchaseOrders!$K$2:$K$321,"&lt;&gt;Open"),"")</f>
        <v/>
      </c>
      <c r="J5" s="6">
        <f>SUMIFS(PurchaseOrders!$I$2:$I$321,PurchaseOrders!$C$2:$C$321,A5)</f>
        <v/>
      </c>
      <c r="K5">
        <f>IF(F5="","",IF(F5&gt;=0.9,"Preferred",IF(F5&gt;=0.8,"Monitor","At risk")))</f>
        <v/>
      </c>
    </row>
    <row r="6">
      <c r="A6" t="inlineStr">
        <is>
          <t>V05</t>
        </is>
      </c>
      <c r="B6">
        <f>INDEX(Vendors!$B$2:$B$9,MATCH(A6,Vendors!$A$2:$A$9,0))</f>
        <v/>
      </c>
      <c r="C6">
        <f>COUNTIFS(PurchaseOrders!$C$2:$C$321,A6)</f>
        <v/>
      </c>
      <c r="D6">
        <f>COUNTIFS(PurchaseOrders!$C$2:$C$321,A6,PurchaseOrders!$K$2:$K$321,"&lt;&gt;Open")</f>
        <v/>
      </c>
      <c r="E6">
        <f>COUNTIFS(PurchaseOrders!$C$2:$C$321,A6,PurchaseOrders!$K$2:$K$321,"Yes")</f>
        <v/>
      </c>
      <c r="F6" s="8">
        <f>IF(D6=0,"",E6/D6)</f>
        <v/>
      </c>
      <c r="G6" s="9">
        <f>IFERROR(AVERAGEIFS(PurchaseOrders!$J$2:$J$321,PurchaseOrders!$C$2:$C$321,A6,PurchaseOrders!$K$2:$K$321,"&lt;&gt;Open"),"")</f>
        <v/>
      </c>
      <c r="H6">
        <f>INDEX(Vendors!$D$2:$D$9,MATCH(A6,Vendors!$A$2:$A$9,0))</f>
        <v/>
      </c>
      <c r="I6" s="9">
        <f>IFERROR(AVERAGEIFS(PurchaseOrders!$L$2:$L$321,PurchaseOrders!$C$2:$C$321,A6,PurchaseOrders!$K$2:$K$321,"&lt;&gt;Open"),"")</f>
        <v/>
      </c>
      <c r="J6" s="6">
        <f>SUMIFS(PurchaseOrders!$I$2:$I$321,PurchaseOrders!$C$2:$C$321,A6)</f>
        <v/>
      </c>
      <c r="K6">
        <f>IF(F6="","",IF(F6&gt;=0.9,"Preferred",IF(F6&gt;=0.8,"Monitor","At risk")))</f>
        <v/>
      </c>
    </row>
    <row r="7">
      <c r="A7" t="inlineStr">
        <is>
          <t>V06</t>
        </is>
      </c>
      <c r="B7">
        <f>INDEX(Vendors!$B$2:$B$9,MATCH(A7,Vendors!$A$2:$A$9,0))</f>
        <v/>
      </c>
      <c r="C7">
        <f>COUNTIFS(PurchaseOrders!$C$2:$C$321,A7)</f>
        <v/>
      </c>
      <c r="D7">
        <f>COUNTIFS(PurchaseOrders!$C$2:$C$321,A7,PurchaseOrders!$K$2:$K$321,"&lt;&gt;Open")</f>
        <v/>
      </c>
      <c r="E7">
        <f>COUNTIFS(PurchaseOrders!$C$2:$C$321,A7,PurchaseOrders!$K$2:$K$321,"Yes")</f>
        <v/>
      </c>
      <c r="F7" s="8">
        <f>IF(D7=0,"",E7/D7)</f>
        <v/>
      </c>
      <c r="G7" s="9">
        <f>IFERROR(AVERAGEIFS(PurchaseOrders!$J$2:$J$321,PurchaseOrders!$C$2:$C$321,A7,PurchaseOrders!$K$2:$K$321,"&lt;&gt;Open"),"")</f>
        <v/>
      </c>
      <c r="H7">
        <f>INDEX(Vendors!$D$2:$D$9,MATCH(A7,Vendors!$A$2:$A$9,0))</f>
        <v/>
      </c>
      <c r="I7" s="9">
        <f>IFERROR(AVERAGEIFS(PurchaseOrders!$L$2:$L$321,PurchaseOrders!$C$2:$C$321,A7,PurchaseOrders!$K$2:$K$321,"&lt;&gt;Open"),"")</f>
        <v/>
      </c>
      <c r="J7" s="6">
        <f>SUMIFS(PurchaseOrders!$I$2:$I$321,PurchaseOrders!$C$2:$C$321,A7)</f>
        <v/>
      </c>
      <c r="K7">
        <f>IF(F7="","",IF(F7&gt;=0.9,"Preferred",IF(F7&gt;=0.8,"Monitor","At risk")))</f>
        <v/>
      </c>
    </row>
    <row r="8">
      <c r="A8" t="inlineStr">
        <is>
          <t>V07</t>
        </is>
      </c>
      <c r="B8">
        <f>INDEX(Vendors!$B$2:$B$9,MATCH(A8,Vendors!$A$2:$A$9,0))</f>
        <v/>
      </c>
      <c r="C8">
        <f>COUNTIFS(PurchaseOrders!$C$2:$C$321,A8)</f>
        <v/>
      </c>
      <c r="D8">
        <f>COUNTIFS(PurchaseOrders!$C$2:$C$321,A8,PurchaseOrders!$K$2:$K$321,"&lt;&gt;Open")</f>
        <v/>
      </c>
      <c r="E8">
        <f>COUNTIFS(PurchaseOrders!$C$2:$C$321,A8,PurchaseOrders!$K$2:$K$321,"Yes")</f>
        <v/>
      </c>
      <c r="F8" s="8">
        <f>IF(D8=0,"",E8/D8)</f>
        <v/>
      </c>
      <c r="G8" s="9">
        <f>IFERROR(AVERAGEIFS(PurchaseOrders!$J$2:$J$321,PurchaseOrders!$C$2:$C$321,A8,PurchaseOrders!$K$2:$K$321,"&lt;&gt;Open"),"")</f>
        <v/>
      </c>
      <c r="H8">
        <f>INDEX(Vendors!$D$2:$D$9,MATCH(A8,Vendors!$A$2:$A$9,0))</f>
        <v/>
      </c>
      <c r="I8" s="9">
        <f>IFERROR(AVERAGEIFS(PurchaseOrders!$L$2:$L$321,PurchaseOrders!$C$2:$C$321,A8,PurchaseOrders!$K$2:$K$321,"&lt;&gt;Open"),"")</f>
        <v/>
      </c>
      <c r="J8" s="6">
        <f>SUMIFS(PurchaseOrders!$I$2:$I$321,PurchaseOrders!$C$2:$C$321,A8)</f>
        <v/>
      </c>
      <c r="K8">
        <f>IF(F8="","",IF(F8&gt;=0.9,"Preferred",IF(F8&gt;=0.8,"Monitor","At risk")))</f>
        <v/>
      </c>
    </row>
    <row r="9">
      <c r="A9" t="inlineStr">
        <is>
          <t>V08</t>
        </is>
      </c>
      <c r="B9">
        <f>INDEX(Vendors!$B$2:$B$9,MATCH(A9,Vendors!$A$2:$A$9,0))</f>
        <v/>
      </c>
      <c r="C9">
        <f>COUNTIFS(PurchaseOrders!$C$2:$C$321,A9)</f>
        <v/>
      </c>
      <c r="D9">
        <f>COUNTIFS(PurchaseOrders!$C$2:$C$321,A9,PurchaseOrders!$K$2:$K$321,"&lt;&gt;Open")</f>
        <v/>
      </c>
      <c r="E9">
        <f>COUNTIFS(PurchaseOrders!$C$2:$C$321,A9,PurchaseOrders!$K$2:$K$321,"Yes")</f>
        <v/>
      </c>
      <c r="F9" s="8">
        <f>IF(D9=0,"",E9/D9)</f>
        <v/>
      </c>
      <c r="G9" s="9">
        <f>IFERROR(AVERAGEIFS(PurchaseOrders!$J$2:$J$321,PurchaseOrders!$C$2:$C$321,A9,PurchaseOrders!$K$2:$K$321,"&lt;&gt;Open"),"")</f>
        <v/>
      </c>
      <c r="H9">
        <f>INDEX(Vendors!$D$2:$D$9,MATCH(A9,Vendors!$A$2:$A$9,0))</f>
        <v/>
      </c>
      <c r="I9" s="9">
        <f>IFERROR(AVERAGEIFS(PurchaseOrders!$L$2:$L$321,PurchaseOrders!$C$2:$C$321,A9,PurchaseOrders!$K$2:$K$321,"&lt;&gt;Open"),"")</f>
        <v/>
      </c>
      <c r="J9" s="6">
        <f>SUMIFS(PurchaseOrders!$I$2:$I$321,PurchaseOrders!$C$2:$C$321,A9)</f>
        <v/>
      </c>
      <c r="K9">
        <f>IF(F9="","",IF(F9&gt;=0.9,"Preferred",IF(F9&gt;=0.8,"Monitor","At risk")))</f>
        <v/>
      </c>
    </row>
  </sheetData>
  <conditionalFormatting sqref="K2:K9">
    <cfRule type="cellIs" priority="1" operator="equal" dxfId="0">
      <formula>"At risk"</formula>
    </cfRule>
    <cfRule type="cellIs" priority="2" operator="equal" dxfId="1">
      <formula>"Monitor"</formula>
    </cfRule>
    <cfRule type="cellIs" priority="3" operator="equal" dxfId="2">
      <formula>"Preferred"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2026-10-06T06:16:26Z</dcterms:created>
  <dcterms:modified xmlns:dcterms="http://purl.org/dc/terms/" xmlns:xsi="http://www.w3.org/2001/XMLSchema-instance" xsi:type="dcterms:W3CDTF">2026-10-06T06:16:26Z</dcterms:modified>
</cp:coreProperties>
</file>