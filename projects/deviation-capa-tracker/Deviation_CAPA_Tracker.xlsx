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Dashboard" sheetId="2" state="visible" r:id="rId4"/>
    <sheet name="Settings" sheetId="3" state="visible" r:id="rId5"/>
    <sheet name="Deviation Log" sheetId="4" state="visible" r:id="rId6"/>
    <sheet name="Repeat Analysis" sheetId="5" state="visible" r:id="rId7"/>
  </sheets>
  <definedNames>
    <definedName function="false" hidden="true" localSheetId="3" name="_xlnm._FilterDatabase" vbProcedure="false">'Deviation Log'!$A$4:$V$171</definedName>
    <definedName function="false" hidden="false" name="AsOf" vbProcedure="false">Settings!$C$5</definedName>
    <definedName function="false" hidden="false" name="CapaDue" vbProcedure="false">Settings!$C$8</definedName>
    <definedName function="false" hidden="false" name="EffWin" vbProcedure="false">Settings!$C$10</definedName>
    <definedName function="false" hidden="false" name="ListAreas" vbProcedure="false">Settings!$B$14:$B$43</definedName>
    <definedName function="false" hidden="false" name="ListOwners" vbProcedure="false">Settings!$E$14:$E$43</definedName>
    <definedName function="false" hidden="false" name="ListRootCauses" vbProcedure="false">Settings!$D$14:$D$43</definedName>
    <definedName function="false" hidden="false" name="ListSeverities" vbProcedure="false">Settings!$C$14:$C$43</definedName>
    <definedName function="false" hidden="false" name="RepeatWin" vbProcedure="false">Settings!$C$9</definedName>
    <definedName function="false" hidden="false" name="Target" vbProcedure="false">Settings!$C$6</definedName>
    <definedName function="false" hidden="false" name="Warn" vbProcedure="false">Settings!$C$7</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C5" authorId="0">
      <text>
        <r>
          <rPr>
            <sz val="10"/>
            <rFont val="Arial"/>
            <family val="2"/>
          </rPr>
          <t xml:space="preserve">Date the tracker is reported as of. Use =TODAY() for a live tracker.</t>
        </r>
      </text>
    </comment>
    <comment ref="C6" authorId="0">
      <text>
        <r>
          <rPr>
            <sz val="10"/>
            <rFont val="Arial"/>
            <family val="2"/>
          </rPr>
          <t xml:space="preserve">Deviations should be investigated and closed within this many calendar days.</t>
        </r>
      </text>
    </comment>
    <comment ref="C7" authorId="0">
      <text>
        <r>
          <rPr>
            <sz val="10"/>
            <rFont val="Arial"/>
            <family val="2"/>
          </rPr>
          <t xml:space="preserve">Open records past this age are highlighted amber.</t>
        </r>
      </text>
    </comment>
    <comment ref="C8" authorId="0">
      <text>
        <r>
          <rPr>
            <sz val="10"/>
            <rFont val="Arial"/>
            <family val="2"/>
          </rPr>
          <t xml:space="preserve">CAPA due date = deviation closed date + this.</t>
        </r>
      </text>
    </comment>
    <comment ref="C9" authorId="0">
      <text>
        <r>
          <rPr>
            <sz val="10"/>
            <rFont val="Arial"/>
            <family val="2"/>
          </rPr>
          <t xml:space="preserve">Same cause on the same equipment within this window counts as a repeat.</t>
        </r>
      </text>
    </comment>
    <comment ref="C10" authorId="0">
      <text>
        <r>
          <rPr>
            <sz val="10"/>
            <rFont val="Arial"/>
            <family val="2"/>
          </rPr>
          <t xml:space="preserve">CAPA is judged effective if the cause does not recur within this window after CAPA closure.</t>
        </r>
      </text>
    </comment>
  </commentList>
</comments>
</file>

<file path=xl/sharedStrings.xml><?xml version="1.0" encoding="utf-8"?>
<sst xmlns="http://schemas.openxmlformats.org/spreadsheetml/2006/main" count="1264" uniqueCount="407">
  <si>
    <t xml:space="preserve">Deviation and CAPA Tracker</t>
  </si>
  <si>
    <t xml:space="preserve">QA-DEV-006 · Simulated data for a portfolio demonstration. No real site data.</t>
  </si>
  <si>
    <t xml:space="preserve">What this is</t>
  </si>
  <si>
    <t xml:space="preserve">An Excel deviation and CAPA tracker. Every status, age, repeat flag, CAPA effectiveness result and dashboard number is a formula, so it updates when you add records, close them, or change the data date.</t>
  </si>
  <si>
    <t xml:space="preserve">SHEETS</t>
  </si>
  <si>
    <t xml:space="preserve">Settings</t>
  </si>
  <si>
    <t xml:space="preserve">Data date, closure target and the other rules. Change these and the whole workbook follows. Also holds the drop-down lists.</t>
  </si>
  <si>
    <t xml:space="preserve">Deviation Log</t>
  </si>
  <si>
    <t xml:space="preserve">One row per deviation. Enter data in the blue-text columns A to J; columns K to V are calculated. Formulas are filled down to row 400.</t>
  </si>
  <si>
    <t xml:space="preserve">Dashboard</t>
  </si>
  <si>
    <t xml:space="preserve">KPIs, aging by severity, monthly close-out trend with chart, root-cause Pareto and a summary by area.</t>
  </si>
  <si>
    <t xml:space="preserve">Repeat Analysis</t>
  </si>
  <si>
    <t xml:space="preserve">Equipment / root-cause pairs that have repeated, with record count, repeats, last occurrence and CAPA effectiveness.</t>
  </si>
  <si>
    <t xml:space="preserve">HOW TO USE</t>
  </si>
  <si>
    <t xml:space="preserve">Add a deviation</t>
  </si>
  <si>
    <t xml:space="preserve">Type in the next empty row of Deviation Log: ID, opened date, area, equipment, severity, root cause and owner. Area, severity and root cause have drop-downs.</t>
  </si>
  <si>
    <t xml:space="preserve">Close a deviation</t>
  </si>
  <si>
    <t xml:space="preserve">Enter the closed date in column H. Status, days open and overdue flag update automatically.</t>
  </si>
  <si>
    <t xml:space="preserve">Raise a CAPA</t>
  </si>
  <si>
    <t xml:space="preserve">Enter the CAPA number in column I. CAPA due date = deviation closed + the CAPA due days on Settings.</t>
  </si>
  <si>
    <t xml:space="preserve">Close a CAPA</t>
  </si>
  <si>
    <t xml:space="preserve">Enter the CAPA closed date in column J. The effectiveness result starts as "Check pending" and becomes "Effective" after the check window, or "Ineffective" if the same root cause comes back on the same equipment.</t>
  </si>
  <si>
    <t xml:space="preserve">Roll forward</t>
  </si>
  <si>
    <t xml:space="preserve">Change "Data as of" on Settings to today (or use =TODAY()).</t>
  </si>
  <si>
    <t xml:space="preserve">COLOUR KEY</t>
  </si>
  <si>
    <t xml:space="preserve">Blue text</t>
  </si>
  <si>
    <t xml:space="preserve">Inputs you type in.</t>
  </si>
  <si>
    <t xml:space="preserve">Black text</t>
  </si>
  <si>
    <t xml:space="preserve">Formulas. Do not overwrite.</t>
  </si>
  <si>
    <t xml:space="preserve">Yellow fill</t>
  </si>
  <si>
    <t xml:space="preserve">Settings you can change.</t>
  </si>
  <si>
    <t xml:space="preserve">Red row</t>
  </si>
  <si>
    <t xml:space="preserve">Open and past the closure target (overdue).</t>
  </si>
  <si>
    <t xml:space="preserve">Amber row</t>
  </si>
  <si>
    <t xml:space="preserve">Open and past the warning threshold (due soon).</t>
  </si>
  <si>
    <t xml:space="preserve">DEFINITIONS</t>
  </si>
  <si>
    <t xml:space="preserve">Overdue</t>
  </si>
  <si>
    <t xml:space="preserve">Open, and days open is greater than the closure target.</t>
  </si>
  <si>
    <t xml:space="preserve">Repeat</t>
  </si>
  <si>
    <t xml:space="preserve">Same root cause on the same equipment / process within the repeat window before this deviation was opened.</t>
  </si>
  <si>
    <t xml:space="preserve">CAPA effectiveness</t>
  </si>
  <si>
    <t xml:space="preserve">Ineffective if the same root cause recurs on the same equipment / process within the effectiveness window after the CAPA closed. Effective once the window has passed with no recurrence. Otherwise Check pending.</t>
  </si>
  <si>
    <t xml:space="preserve">Median days to close</t>
  </si>
  <si>
    <t xml:space="preserve">Median of days from opened to closed, for records closed in the period. Median is used because a few long investigations would distort an average.</t>
  </si>
  <si>
    <t xml:space="preserve">Deviation and CAPA Dashboard</t>
  </si>
  <si>
    <t xml:space="preserve">All figures are formulas on the Deviation Log and Settings sheets.</t>
  </si>
  <si>
    <t xml:space="preserve">Key figures</t>
  </si>
  <si>
    <t xml:space="preserve">Value</t>
  </si>
  <si>
    <t xml:space="preserve">Aging of open deviations (days open)</t>
  </si>
  <si>
    <t xml:space="preserve">Total deviations</t>
  </si>
  <si>
    <t xml:space="preserve">Severity</t>
  </si>
  <si>
    <t xml:space="preserve">0-30</t>
  </si>
  <si>
    <t xml:space="preserve">31-60</t>
  </si>
  <si>
    <t xml:space="preserve">61-90</t>
  </si>
  <si>
    <t xml:space="preserve">90+</t>
  </si>
  <si>
    <t xml:space="preserve">Total</t>
  </si>
  <si>
    <t xml:space="preserve">Open deviations</t>
  </si>
  <si>
    <t xml:space="preserve">Critical</t>
  </si>
  <si>
    <t xml:space="preserve">Overdue (open past target)</t>
  </si>
  <si>
    <t xml:space="preserve">Major</t>
  </si>
  <si>
    <t xml:space="preserve">Critical deviations open</t>
  </si>
  <si>
    <t xml:space="preserve">Minor</t>
  </si>
  <si>
    <t xml:space="preserve">Median days to close, last 90 days</t>
  </si>
  <si>
    <t xml:space="preserve">All</t>
  </si>
  <si>
    <t xml:space="preserve">Median days to close, prior 6 months</t>
  </si>
  <si>
    <t xml:space="preserve">Repeat deviations</t>
  </si>
  <si>
    <t xml:space="preserve">Repeat rate</t>
  </si>
  <si>
    <t xml:space="preserve">By area</t>
  </si>
  <si>
    <t xml:space="preserve">CAPAs raised</t>
  </si>
  <si>
    <t xml:space="preserve">Area</t>
  </si>
  <si>
    <t xml:space="preserve">Open</t>
  </si>
  <si>
    <t xml:space="preserve">Repeats</t>
  </si>
  <si>
    <t xml:space="preserve">CAPAs overdue</t>
  </si>
  <si>
    <t xml:space="preserve">Valve assembly</t>
  </si>
  <si>
    <t xml:space="preserve">CAPAs with effectiveness result</t>
  </si>
  <si>
    <t xml:space="preserve">Packaging</t>
  </si>
  <si>
    <t xml:space="preserve">CAPAs ineffective</t>
  </si>
  <si>
    <t xml:space="preserve">Sterilization</t>
  </si>
  <si>
    <t xml:space="preserve">CAPA effectiveness rate</t>
  </si>
  <si>
    <t xml:space="preserve">QC Microbiology</t>
  </si>
  <si>
    <t xml:space="preserve">Warehouse</t>
  </si>
  <si>
    <t xml:space="preserve">Facilities</t>
  </si>
  <si>
    <t xml:space="preserve">Monthly close-out trend</t>
  </si>
  <si>
    <t xml:space="preserve">Month</t>
  </si>
  <si>
    <t xml:space="preserve">Opened</t>
  </si>
  <si>
    <t xml:space="preserve">Closed</t>
  </si>
  <si>
    <t xml:space="preserve">Target (days)</t>
  </si>
  <si>
    <t xml:space="preserve">Open at month end</t>
  </si>
  <si>
    <t xml:space="preserve">Months are inputs: extend the list down and copy the formulas to add a month. If nothing closed in a month the median is left blank as a chart gap (NA).</t>
  </si>
  <si>
    <t xml:space="preserve">Root cause Pareto</t>
  </si>
  <si>
    <t xml:space="preserve">Root cause</t>
  </si>
  <si>
    <t xml:space="preserve">Count</t>
  </si>
  <si>
    <t xml:space="preserve">% of total</t>
  </si>
  <si>
    <t xml:space="preserve">Cumulative %</t>
  </si>
  <si>
    <t xml:space="preserve">GDP / documentation error</t>
  </si>
  <si>
    <t xml:space="preserve">Equipment malfunction</t>
  </si>
  <si>
    <t xml:space="preserve">Procedure not followed</t>
  </si>
  <si>
    <t xml:space="preserve">Training gap</t>
  </si>
  <si>
    <t xml:space="preserve">Supplier material defect</t>
  </si>
  <si>
    <t xml:space="preserve">Calibration overdue</t>
  </si>
  <si>
    <t xml:space="preserve">Environmental excursion</t>
  </si>
  <si>
    <t xml:space="preserve">Sample handling error</t>
  </si>
  <si>
    <t xml:space="preserve">Line clearance not performed</t>
  </si>
  <si>
    <t xml:space="preserve">Labeling error</t>
  </si>
  <si>
    <t xml:space="preserve">Preventive maintenance missed</t>
  </si>
  <si>
    <t xml:space="preserve">Temperature excursion</t>
  </si>
  <si>
    <t xml:space="preserve">Causes are listed in order of count for the sample data. Re-sort (Data &gt; Sort by Count) after adding records.</t>
  </si>
  <si>
    <t xml:space="preserve">Change the yellow cells. Everything else in the workbook reads from here.</t>
  </si>
  <si>
    <t xml:space="preserve">Setting</t>
  </si>
  <si>
    <t xml:space="preserve">Data as of</t>
  </si>
  <si>
    <t xml:space="preserve">Date the tracker is reported as of. Use =TODAY() for a live tracker.</t>
  </si>
  <si>
    <t xml:space="preserve">Closure target (days)</t>
  </si>
  <si>
    <t xml:space="preserve">Deviations should be investigated and closed within this many calendar days.</t>
  </si>
  <si>
    <t xml:space="preserve">Due-soon warning (days)</t>
  </si>
  <si>
    <t xml:space="preserve">Open records past this age are highlighted amber.</t>
  </si>
  <si>
    <t xml:space="preserve">CAPA due after deviation close (days)</t>
  </si>
  <si>
    <t xml:space="preserve">CAPA due date = deviation closed date + this.</t>
  </si>
  <si>
    <t xml:space="preserve">Repeat window (days)</t>
  </si>
  <si>
    <t xml:space="preserve">Same cause on the same equipment within this window counts as a repeat.</t>
  </si>
  <si>
    <t xml:space="preserve">Effectiveness check window (days)</t>
  </si>
  <si>
    <t xml:space="preserve">CAPA is judged effective if the cause does not recur within this window after CAPA closure.</t>
  </si>
  <si>
    <t xml:space="preserve">Drop-down lists (add new values to the bottom of a list)</t>
  </si>
  <si>
    <t xml:space="preserve">Areas</t>
  </si>
  <si>
    <t xml:space="preserve">Severities</t>
  </si>
  <si>
    <t xml:space="preserve">RootCauses</t>
  </si>
  <si>
    <t xml:space="preserve">Owners</t>
  </si>
  <si>
    <t xml:space="preserve">D. Kim</t>
  </si>
  <si>
    <t xml:space="preserve">J. Alvarez</t>
  </si>
  <si>
    <t xml:space="preserve">K. Tran</t>
  </si>
  <si>
    <t xml:space="preserve">L. Haddad</t>
  </si>
  <si>
    <t xml:space="preserve">M. Chen</t>
  </si>
  <si>
    <t xml:space="preserve">R. Patel</t>
  </si>
  <si>
    <t xml:space="preserve">S. Okafor</t>
  </si>
  <si>
    <t xml:space="preserve">Blue columns A to J are inputs. Grey-headed columns K to V are calculated; do not type over them.</t>
  </si>
  <si>
    <t xml:space="preserve">Deviation ID</t>
  </si>
  <si>
    <t xml:space="preserve">Equipment / process</t>
  </si>
  <si>
    <t xml:space="preserve">Owner</t>
  </si>
  <si>
    <t xml:space="preserve">CAPA ID</t>
  </si>
  <si>
    <t xml:space="preserve">CAPA closed</t>
  </si>
  <si>
    <t xml:space="preserve">Status</t>
  </si>
  <si>
    <t xml:space="preserve">Days open</t>
  </si>
  <si>
    <t xml:space="preserve">Aging bucket (open)</t>
  </si>
  <si>
    <t xml:space="preserve">CAPA due</t>
  </si>
  <si>
    <t xml:space="preserve">CAPA status</t>
  </si>
  <si>
    <t xml:space="preserve">Opened month</t>
  </si>
  <si>
    <t xml:space="preserve">Closed month</t>
  </si>
  <si>
    <t xml:space="preserve">Days to close, last 90 d</t>
  </si>
  <si>
    <t xml:space="preserve">Days to close, prior 6 mo</t>
  </si>
  <si>
    <t xml:space="preserve">DEV-25-0101</t>
  </si>
  <si>
    <t xml:space="preserve">Final inspection bench</t>
  </si>
  <si>
    <t xml:space="preserve">DEV-25-0102</t>
  </si>
  <si>
    <t xml:space="preserve">Incubator INC-02</t>
  </si>
  <si>
    <t xml:space="preserve">DEV-25-0103</t>
  </si>
  <si>
    <t xml:space="preserve">Carton printer CP-1</t>
  </si>
  <si>
    <t xml:space="preserve">DEV-25-0104</t>
  </si>
  <si>
    <t xml:space="preserve">Cleanroom HVAC AHU-3</t>
  </si>
  <si>
    <t xml:space="preserve">DEV-25-0105</t>
  </si>
  <si>
    <t xml:space="preserve">DEV-25-0106</t>
  </si>
  <si>
    <t xml:space="preserve">Frame crimping station</t>
  </si>
  <si>
    <t xml:space="preserve">CAPA-001</t>
  </si>
  <si>
    <t xml:space="preserve">DEV-25-0107</t>
  </si>
  <si>
    <t xml:space="preserve">Packaging line PL-2</t>
  </si>
  <si>
    <t xml:space="preserve">CAPA-002</t>
  </si>
  <si>
    <t xml:space="preserve">DEV-25-0108</t>
  </si>
  <si>
    <t xml:space="preserve">Tissue rinse station</t>
  </si>
  <si>
    <t xml:space="preserve">DEV-25-0109</t>
  </si>
  <si>
    <t xml:space="preserve">Media preparation</t>
  </si>
  <si>
    <t xml:space="preserve">DEV-25-0110</t>
  </si>
  <si>
    <t xml:space="preserve">Cleanroom HVAC AHU-2</t>
  </si>
  <si>
    <t xml:space="preserve">CAPA-003</t>
  </si>
  <si>
    <t xml:space="preserve">DEV-25-0111</t>
  </si>
  <si>
    <t xml:space="preserve">WFI loop</t>
  </si>
  <si>
    <t xml:space="preserve">CAPA-004</t>
  </si>
  <si>
    <t xml:space="preserve">DEV-25-0112</t>
  </si>
  <si>
    <t xml:space="preserve">EM sampling</t>
  </si>
  <si>
    <t xml:space="preserve">DEV-25-0113</t>
  </si>
  <si>
    <t xml:space="preserve">Compressed air system</t>
  </si>
  <si>
    <t xml:space="preserve">CAPA-005</t>
  </si>
  <si>
    <t xml:space="preserve">DEV-25-0114</t>
  </si>
  <si>
    <t xml:space="preserve">DEV-25-0115</t>
  </si>
  <si>
    <t xml:space="preserve">Holder assembly</t>
  </si>
  <si>
    <t xml:space="preserve">DEV-25-0116</t>
  </si>
  <si>
    <t xml:space="preserve">Batch record review</t>
  </si>
  <si>
    <t xml:space="preserve">DEV-25-0117</t>
  </si>
  <si>
    <t xml:space="preserve">DEV-25-0118</t>
  </si>
  <si>
    <t xml:space="preserve">DEV-25-0119</t>
  </si>
  <si>
    <t xml:space="preserve">DEV-25-0120</t>
  </si>
  <si>
    <t xml:space="preserve">DEV-25-0121</t>
  </si>
  <si>
    <t xml:space="preserve">Packaging line PL-1</t>
  </si>
  <si>
    <t xml:space="preserve">DEV-25-0122</t>
  </si>
  <si>
    <t xml:space="preserve">Quarantine cage</t>
  </si>
  <si>
    <t xml:space="preserve">DEV-25-0123</t>
  </si>
  <si>
    <t xml:space="preserve">Pouch sealer PS-2</t>
  </si>
  <si>
    <t xml:space="preserve">CAPA-006</t>
  </si>
  <si>
    <t xml:space="preserve">DEV-25-0124</t>
  </si>
  <si>
    <t xml:space="preserve">Preconditioning room PC-1</t>
  </si>
  <si>
    <t xml:space="preserve">DEV-25-0125</t>
  </si>
  <si>
    <t xml:space="preserve">Raw material sampling</t>
  </si>
  <si>
    <t xml:space="preserve">DEV-25-0126</t>
  </si>
  <si>
    <t xml:space="preserve">Cold storage CS-1</t>
  </si>
  <si>
    <t xml:space="preserve">DEV-25-0127</t>
  </si>
  <si>
    <t xml:space="preserve">Finished goods dispatch</t>
  </si>
  <si>
    <t xml:space="preserve">DEV-25-0128</t>
  </si>
  <si>
    <t xml:space="preserve">DEV-25-0129</t>
  </si>
  <si>
    <t xml:space="preserve">Endotoxin (LAL) testing</t>
  </si>
  <si>
    <t xml:space="preserve">DEV-25-0130</t>
  </si>
  <si>
    <t xml:space="preserve">CAPA-007</t>
  </si>
  <si>
    <t xml:space="preserve">DEV-25-0131</t>
  </si>
  <si>
    <t xml:space="preserve">Label printer LP-3</t>
  </si>
  <si>
    <t xml:space="preserve">DEV-25-0132</t>
  </si>
  <si>
    <t xml:space="preserve">DEV-25-0133</t>
  </si>
  <si>
    <t xml:space="preserve">Gowning room GR-2</t>
  </si>
  <si>
    <t xml:space="preserve">CAPA-008</t>
  </si>
  <si>
    <t xml:space="preserve">DEV-25-0134</t>
  </si>
  <si>
    <t xml:space="preserve">DEV-25-0135</t>
  </si>
  <si>
    <t xml:space="preserve">Bioburden testing</t>
  </si>
  <si>
    <t xml:space="preserve">DEV-25-0136</t>
  </si>
  <si>
    <t xml:space="preserve">Sterility testing</t>
  </si>
  <si>
    <t xml:space="preserve">CAPA-009</t>
  </si>
  <si>
    <t xml:space="preserve">DEV-25-0137</t>
  </si>
  <si>
    <t xml:space="preserve">Receiving inspection</t>
  </si>
  <si>
    <t xml:space="preserve">DEV-25-0138</t>
  </si>
  <si>
    <t xml:space="preserve">DEV-25-0139</t>
  </si>
  <si>
    <t xml:space="preserve">Leaflet suturing cell 1</t>
  </si>
  <si>
    <t xml:space="preserve">CAPA-010</t>
  </si>
  <si>
    <t xml:space="preserve">DEV-25-0140</t>
  </si>
  <si>
    <t xml:space="preserve">Leaflet suturing cell 2</t>
  </si>
  <si>
    <t xml:space="preserve">DEV-25-0141</t>
  </si>
  <si>
    <t xml:space="preserve">DEV-25-0142</t>
  </si>
  <si>
    <t xml:space="preserve">DEV-25-0143</t>
  </si>
  <si>
    <t xml:space="preserve">EtO chamber ST-2</t>
  </si>
  <si>
    <t xml:space="preserve">DEV-25-0144</t>
  </si>
  <si>
    <t xml:space="preserve">CAPA-011</t>
  </si>
  <si>
    <t xml:space="preserve">DEV-25-0145</t>
  </si>
  <si>
    <t xml:space="preserve">DEV-25-0146</t>
  </si>
  <si>
    <t xml:space="preserve">DEV-25-0147</t>
  </si>
  <si>
    <t xml:space="preserve">DEV-25-0148</t>
  </si>
  <si>
    <t xml:space="preserve">DEV-25-0149</t>
  </si>
  <si>
    <t xml:space="preserve">CAPA-012</t>
  </si>
  <si>
    <t xml:space="preserve">DEV-25-0150</t>
  </si>
  <si>
    <t xml:space="preserve">Cleanroom HVAC AHU-1</t>
  </si>
  <si>
    <t xml:space="preserve">DEV-25-0151</t>
  </si>
  <si>
    <t xml:space="preserve">DEV-25-0152</t>
  </si>
  <si>
    <t xml:space="preserve">DEV-25-0153</t>
  </si>
  <si>
    <t xml:space="preserve">DEV-25-0154</t>
  </si>
  <si>
    <t xml:space="preserve">DEV-25-0155</t>
  </si>
  <si>
    <t xml:space="preserve">DEV-25-0156</t>
  </si>
  <si>
    <t xml:space="preserve">DEV-25-0157</t>
  </si>
  <si>
    <t xml:space="preserve">DEV-25-0158</t>
  </si>
  <si>
    <t xml:space="preserve">CAPA-013</t>
  </si>
  <si>
    <t xml:space="preserve">DEV-25-0159</t>
  </si>
  <si>
    <t xml:space="preserve">DEV-25-0160</t>
  </si>
  <si>
    <t xml:space="preserve">CAPA-014</t>
  </si>
  <si>
    <t xml:space="preserve">DEV-25-0161</t>
  </si>
  <si>
    <t xml:space="preserve">DEV-25-0162</t>
  </si>
  <si>
    <t xml:space="preserve">DEV-25-0163</t>
  </si>
  <si>
    <t xml:space="preserve">DEV-25-0164</t>
  </si>
  <si>
    <t xml:space="preserve">DEV-25-0165</t>
  </si>
  <si>
    <t xml:space="preserve">CAPA-015</t>
  </si>
  <si>
    <t xml:space="preserve">DEV-25-0166</t>
  </si>
  <si>
    <t xml:space="preserve">DEV-25-0167</t>
  </si>
  <si>
    <t xml:space="preserve">DEV-25-0168</t>
  </si>
  <si>
    <t xml:space="preserve">DEV-25-0169</t>
  </si>
  <si>
    <t xml:space="preserve">DEV-25-0170</t>
  </si>
  <si>
    <t xml:space="preserve">CAPA-016</t>
  </si>
  <si>
    <t xml:space="preserve">DEV-25-0171</t>
  </si>
  <si>
    <t xml:space="preserve">Autoclave AC-02</t>
  </si>
  <si>
    <t xml:space="preserve">DEV-25-0172</t>
  </si>
  <si>
    <t xml:space="preserve">DEV-25-0173</t>
  </si>
  <si>
    <t xml:space="preserve">CAPA-017</t>
  </si>
  <si>
    <t xml:space="preserve">DEV-25-0174</t>
  </si>
  <si>
    <t xml:space="preserve">DEV-25-0175</t>
  </si>
  <si>
    <t xml:space="preserve">CAPA-018</t>
  </si>
  <si>
    <t xml:space="preserve">DEV-25-0176</t>
  </si>
  <si>
    <t xml:space="preserve">Packaging line PL-3</t>
  </si>
  <si>
    <t xml:space="preserve">DEV-25-0177</t>
  </si>
  <si>
    <t xml:space="preserve">DEV-25-0178</t>
  </si>
  <si>
    <t xml:space="preserve">DEV-25-0179</t>
  </si>
  <si>
    <t xml:space="preserve">Leaflet suturing cell 3</t>
  </si>
  <si>
    <t xml:space="preserve">DEV-25-0180</t>
  </si>
  <si>
    <t xml:space="preserve">DEV-25-0181</t>
  </si>
  <si>
    <t xml:space="preserve">DEV-26-0182</t>
  </si>
  <si>
    <t xml:space="preserve">Water testing</t>
  </si>
  <si>
    <t xml:space="preserve">DEV-26-0183</t>
  </si>
  <si>
    <t xml:space="preserve">DEV-26-0184</t>
  </si>
  <si>
    <t xml:space="preserve">DEV-26-0185</t>
  </si>
  <si>
    <t xml:space="preserve">DEV-26-0186</t>
  </si>
  <si>
    <t xml:space="preserve">DEV-26-0187</t>
  </si>
  <si>
    <t xml:space="preserve">CAPA-019</t>
  </si>
  <si>
    <t xml:space="preserve">DEV-26-0188</t>
  </si>
  <si>
    <t xml:space="preserve">CAPA-020</t>
  </si>
  <si>
    <t xml:space="preserve">DEV-26-0189</t>
  </si>
  <si>
    <t xml:space="preserve">DEV-26-0190</t>
  </si>
  <si>
    <t xml:space="preserve">CAPA-021</t>
  </si>
  <si>
    <t xml:space="preserve">DEV-26-0191</t>
  </si>
  <si>
    <t xml:space="preserve">DEV-26-0192</t>
  </si>
  <si>
    <t xml:space="preserve">DEV-26-0193</t>
  </si>
  <si>
    <t xml:space="preserve">CAPA-022</t>
  </si>
  <si>
    <t xml:space="preserve">DEV-26-0194</t>
  </si>
  <si>
    <t xml:space="preserve">Incubator INC-04</t>
  </si>
  <si>
    <t xml:space="preserve">DEV-26-0195</t>
  </si>
  <si>
    <t xml:space="preserve">DEV-26-0196</t>
  </si>
  <si>
    <t xml:space="preserve">DEV-26-0197</t>
  </si>
  <si>
    <t xml:space="preserve">DEV-26-0198</t>
  </si>
  <si>
    <t xml:space="preserve">DEV-26-0199</t>
  </si>
  <si>
    <t xml:space="preserve">DEV-26-0200</t>
  </si>
  <si>
    <t xml:space="preserve">DEV-26-0201</t>
  </si>
  <si>
    <t xml:space="preserve">DEV-26-0202</t>
  </si>
  <si>
    <t xml:space="preserve">DEV-26-0203</t>
  </si>
  <si>
    <t xml:space="preserve">DEV-26-0204</t>
  </si>
  <si>
    <t xml:space="preserve">CAPA-023</t>
  </si>
  <si>
    <t xml:space="preserve">DEV-26-0205</t>
  </si>
  <si>
    <t xml:space="preserve">DEV-26-0206</t>
  </si>
  <si>
    <t xml:space="preserve">DEV-26-0207</t>
  </si>
  <si>
    <t xml:space="preserve">Biological indicator testing</t>
  </si>
  <si>
    <t xml:space="preserve">CAPA-024</t>
  </si>
  <si>
    <t xml:space="preserve">DEV-26-0208</t>
  </si>
  <si>
    <t xml:space="preserve">CAPA-025</t>
  </si>
  <si>
    <t xml:space="preserve">DEV-26-0209</t>
  </si>
  <si>
    <t xml:space="preserve">DEV-26-0210</t>
  </si>
  <si>
    <t xml:space="preserve">Aeration room AR-1</t>
  </si>
  <si>
    <t xml:space="preserve">DEV-26-0211</t>
  </si>
  <si>
    <t xml:space="preserve">CAPA-026</t>
  </si>
  <si>
    <t xml:space="preserve">DEV-26-0212</t>
  </si>
  <si>
    <t xml:space="preserve">DEV-26-0213</t>
  </si>
  <si>
    <t xml:space="preserve">DEV-26-0214</t>
  </si>
  <si>
    <t xml:space="preserve">DEV-26-0215</t>
  </si>
  <si>
    <t xml:space="preserve">CAPA-027</t>
  </si>
  <si>
    <t xml:space="preserve">DEV-26-0216</t>
  </si>
  <si>
    <t xml:space="preserve">DEV-26-0217</t>
  </si>
  <si>
    <t xml:space="preserve">DEV-26-0218</t>
  </si>
  <si>
    <t xml:space="preserve">CAPA-028</t>
  </si>
  <si>
    <t xml:space="preserve">DEV-26-0219</t>
  </si>
  <si>
    <t xml:space="preserve">CAPA-029</t>
  </si>
  <si>
    <t xml:space="preserve">DEV-26-0220</t>
  </si>
  <si>
    <t xml:space="preserve">DEV-26-0221</t>
  </si>
  <si>
    <t xml:space="preserve">DEV-26-0222</t>
  </si>
  <si>
    <t xml:space="preserve">DEV-26-0223</t>
  </si>
  <si>
    <t xml:space="preserve">CAPA-030</t>
  </si>
  <si>
    <t xml:space="preserve">DEV-26-0224</t>
  </si>
  <si>
    <t xml:space="preserve">CAPA-031</t>
  </si>
  <si>
    <t xml:space="preserve">DEV-26-0225</t>
  </si>
  <si>
    <t xml:space="preserve">CAPA-032</t>
  </si>
  <si>
    <t xml:space="preserve">DEV-26-0226</t>
  </si>
  <si>
    <t xml:space="preserve">CAPA-033</t>
  </si>
  <si>
    <t xml:space="preserve">DEV-26-0227</t>
  </si>
  <si>
    <t xml:space="preserve">DEV-26-0228</t>
  </si>
  <si>
    <t xml:space="preserve">DEV-26-0229</t>
  </si>
  <si>
    <t xml:space="preserve">DEV-26-0230</t>
  </si>
  <si>
    <t xml:space="preserve">DEV-26-0231</t>
  </si>
  <si>
    <t xml:space="preserve">CAPA-034</t>
  </si>
  <si>
    <t xml:space="preserve">DEV-26-0232</t>
  </si>
  <si>
    <t xml:space="preserve">DEV-26-0233</t>
  </si>
  <si>
    <t xml:space="preserve">DEV-26-0234</t>
  </si>
  <si>
    <t xml:space="preserve">EtO chamber ST-1</t>
  </si>
  <si>
    <t xml:space="preserve">CAPA-035</t>
  </si>
  <si>
    <t xml:space="preserve">DEV-26-0235</t>
  </si>
  <si>
    <t xml:space="preserve">DEV-26-0236</t>
  </si>
  <si>
    <t xml:space="preserve">DEV-26-0237</t>
  </si>
  <si>
    <t xml:space="preserve">DEV-26-0238</t>
  </si>
  <si>
    <t xml:space="preserve">CAPA-036</t>
  </si>
  <si>
    <t xml:space="preserve">DEV-26-0239</t>
  </si>
  <si>
    <t xml:space="preserve">DEV-26-0240</t>
  </si>
  <si>
    <t xml:space="preserve">DEV-26-0241</t>
  </si>
  <si>
    <t xml:space="preserve">CAPA-037</t>
  </si>
  <si>
    <t xml:space="preserve">DEV-26-0242</t>
  </si>
  <si>
    <t xml:space="preserve">DEV-26-0243</t>
  </si>
  <si>
    <t xml:space="preserve">CAPA-038</t>
  </si>
  <si>
    <t xml:space="preserve">DEV-26-0244</t>
  </si>
  <si>
    <t xml:space="preserve">DEV-26-0245</t>
  </si>
  <si>
    <t xml:space="preserve">CAPA-039</t>
  </si>
  <si>
    <t xml:space="preserve">DEV-26-0246</t>
  </si>
  <si>
    <t xml:space="preserve">DEV-26-0247</t>
  </si>
  <si>
    <t xml:space="preserve">CAPA-040</t>
  </si>
  <si>
    <t xml:space="preserve">DEV-26-0248</t>
  </si>
  <si>
    <t xml:space="preserve">CAPA-041</t>
  </si>
  <si>
    <t xml:space="preserve">DEV-26-0249</t>
  </si>
  <si>
    <t xml:space="preserve">DEV-26-0250</t>
  </si>
  <si>
    <t xml:space="preserve">CAPA-042</t>
  </si>
  <si>
    <t xml:space="preserve">DEV-26-0251</t>
  </si>
  <si>
    <t xml:space="preserve">DEV-26-0252</t>
  </si>
  <si>
    <t xml:space="preserve">DEV-26-0253</t>
  </si>
  <si>
    <t xml:space="preserve">DEV-26-0254</t>
  </si>
  <si>
    <t xml:space="preserve">DEV-26-0255</t>
  </si>
  <si>
    <t xml:space="preserve">DEV-26-0256</t>
  </si>
  <si>
    <t xml:space="preserve">DEV-26-0257</t>
  </si>
  <si>
    <t xml:space="preserve">DEV-26-0258</t>
  </si>
  <si>
    <t xml:space="preserve">CAPA-043</t>
  </si>
  <si>
    <t xml:space="preserve">DEV-26-0259</t>
  </si>
  <si>
    <t xml:space="preserve">DEV-26-0260</t>
  </si>
  <si>
    <t xml:space="preserve">DEV-26-0261</t>
  </si>
  <si>
    <t xml:space="preserve">DEV-26-0262</t>
  </si>
  <si>
    <t xml:space="preserve">CAPA-044</t>
  </si>
  <si>
    <t xml:space="preserve">DEV-26-0263</t>
  </si>
  <si>
    <t xml:space="preserve">CAPA-045</t>
  </si>
  <si>
    <t xml:space="preserve">DEV-26-0264</t>
  </si>
  <si>
    <t xml:space="preserve">DEV-26-0265</t>
  </si>
  <si>
    <t xml:space="preserve">CAPA-046</t>
  </si>
  <si>
    <t xml:space="preserve">DEV-26-0266</t>
  </si>
  <si>
    <t xml:space="preserve">DEV-26-0267</t>
  </si>
  <si>
    <t xml:space="preserve">Equipment / root-cause pairs that have repeated. Counts and CAPA results are formulas on the Deviation Log.</t>
  </si>
  <si>
    <t xml:space="preserve">Records</t>
  </si>
  <si>
    <t xml:space="preserve">First opened</t>
  </si>
  <si>
    <t xml:space="preserve">Last opened</t>
  </si>
  <si>
    <t xml:space="preserve">CAPAs open</t>
  </si>
  <si>
    <t xml:space="preserve">Flag</t>
  </si>
  <si>
    <t xml:space="preserve">Pairs are listed for the sample data. To check a new pair, type its area, equipment and root cause in the next row and copy the formulas down.</t>
  </si>
</sst>
</file>

<file path=xl/styles.xml><?xml version="1.0" encoding="utf-8"?>
<styleSheet xmlns="http://schemas.openxmlformats.org/spreadsheetml/2006/main">
  <numFmts count="8">
    <numFmt numFmtId="164" formatCode="General"/>
    <numFmt numFmtId="165" formatCode="0"/>
    <numFmt numFmtId="166" formatCode="General"/>
    <numFmt numFmtId="167" formatCode="0.0"/>
    <numFmt numFmtId="168" formatCode="0.0%"/>
    <numFmt numFmtId="169" formatCode="mmm\-yy"/>
    <numFmt numFmtId="170" formatCode="dd\-mmm\-yyyy"/>
    <numFmt numFmtId="171" formatCode="dd\-mmm\-yy"/>
  </numFmts>
  <fonts count="21">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1"/>
      <color theme="1"/>
      <name val="Arial"/>
      <family val="0"/>
      <charset val="1"/>
    </font>
    <font>
      <i val="true"/>
      <sz val="9"/>
      <color rgb="FF596166"/>
      <name val="Arial"/>
      <family val="0"/>
      <charset val="1"/>
    </font>
    <font>
      <b val="true"/>
      <sz val="10"/>
      <color rgb="FF121518"/>
      <name val="Arial"/>
      <family val="0"/>
      <charset val="1"/>
    </font>
    <font>
      <sz val="10"/>
      <name val="Arial"/>
      <family val="0"/>
      <charset val="1"/>
    </font>
    <font>
      <sz val="10"/>
      <color rgb="FF121518"/>
      <name val="Arial"/>
      <family val="0"/>
      <charset val="1"/>
    </font>
    <font>
      <b val="true"/>
      <sz val="9"/>
      <color rgb="FF596166"/>
      <name val="Arial"/>
      <family val="0"/>
      <charset val="1"/>
    </font>
    <font>
      <b val="true"/>
      <sz val="10"/>
      <color rgb="FF0000FF"/>
      <name val="Arial"/>
      <family val="0"/>
      <charset val="1"/>
    </font>
    <font>
      <sz val="9"/>
      <color rgb="FF596166"/>
      <name val="Arial"/>
      <family val="0"/>
      <charset val="1"/>
    </font>
    <font>
      <b val="true"/>
      <sz val="9"/>
      <color rgb="FFFFFFFF"/>
      <name val="Arial"/>
      <family val="0"/>
      <charset val="1"/>
    </font>
    <font>
      <b val="true"/>
      <sz val="10"/>
      <name val="Arial"/>
      <family val="0"/>
      <charset val="1"/>
    </font>
    <font>
      <sz val="10"/>
      <color rgb="FF0000FF"/>
      <name val="Arial"/>
      <family val="0"/>
      <charset val="1"/>
    </font>
    <font>
      <i val="true"/>
      <sz val="8"/>
      <color rgb="FF596166"/>
      <name val="Arial"/>
      <family val="0"/>
      <charset val="1"/>
    </font>
    <font>
      <b val="true"/>
      <sz val="18"/>
      <color rgb="FF000000"/>
      <name val="Calibri"/>
      <family val="2"/>
    </font>
    <font>
      <sz val="10"/>
      <color rgb="FF000000"/>
      <name val="Calibri"/>
      <family val="2"/>
    </font>
    <font>
      <b val="true"/>
      <sz val="10"/>
      <color rgb="FF000000"/>
      <name val="Calibri"/>
      <family val="2"/>
    </font>
    <font>
      <sz val="10"/>
      <name val="Arial"/>
      <family val="2"/>
    </font>
  </fonts>
  <fills count="7">
    <fill>
      <patternFill patternType="none"/>
    </fill>
    <fill>
      <patternFill patternType="gray125"/>
    </fill>
    <fill>
      <patternFill patternType="solid">
        <fgColor rgb="FFFFF2CC"/>
        <bgColor rgb="FFF6ECD2"/>
      </patternFill>
    </fill>
    <fill>
      <patternFill patternType="solid">
        <fgColor rgb="FFF6DEDB"/>
        <bgColor rgb="FFF6ECD2"/>
      </patternFill>
    </fill>
    <fill>
      <patternFill patternType="solid">
        <fgColor rgb="FFF6ECD2"/>
        <bgColor rgb="FFFFF2CC"/>
      </patternFill>
    </fill>
    <fill>
      <patternFill patternType="solid">
        <fgColor rgb="FF121518"/>
        <bgColor rgb="FF000000"/>
      </patternFill>
    </fill>
    <fill>
      <patternFill patternType="solid">
        <fgColor rgb="FF596166"/>
        <bgColor rgb="FF878787"/>
      </patternFill>
    </fill>
  </fills>
  <borders count="2">
    <border diagonalUp="false" diagonalDown="false">
      <left/>
      <right/>
      <top/>
      <bottom/>
      <diagonal/>
    </border>
    <border diagonalUp="false" diagonalDown="false">
      <left/>
      <right/>
      <top/>
      <bottom style="thin">
        <color rgb="FFCFD4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4" fontId="7" fillId="3" borderId="0" xfId="0" applyFont="true" applyBorder="false" applyAlignment="true" applyProtection="false">
      <alignment horizontal="general" vertical="top" textRotation="0" wrapText="false" indent="0" shrinkToFit="false"/>
      <protection locked="true" hidden="false"/>
    </xf>
    <xf numFmtId="164" fontId="7" fillId="4" borderId="0" xfId="0" applyFont="true" applyBorder="false" applyAlignment="true" applyProtection="false">
      <alignment horizontal="general" vertical="top"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5" borderId="0" xfId="0" applyFont="true" applyBorder="false" applyAlignment="true" applyProtection="false">
      <alignment horizontal="general"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14"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6" fontId="14" fillId="0" borderId="1" xfId="0" applyFont="true" applyBorder="true" applyAlignment="true" applyProtection="false">
      <alignment horizontal="center" vertical="bottom" textRotation="0" wrapText="false" indent="0" shrinkToFit="false"/>
      <protection locked="true" hidden="false"/>
    </xf>
    <xf numFmtId="167" fontId="14" fillId="0" borderId="1" xfId="0" applyFont="true" applyBorder="true" applyAlignment="false" applyProtection="false">
      <alignment horizontal="general" vertical="bottom" textRotation="0" wrapText="false" indent="0" shrinkToFit="false"/>
      <protection locked="true" hidden="false"/>
    </xf>
    <xf numFmtId="168" fontId="14" fillId="0" borderId="1" xfId="0" applyFont="true" applyBorder="true" applyAlignment="false" applyProtection="false">
      <alignment horizontal="general" vertical="bottom" textRotation="0" wrapText="false" indent="0" shrinkToFit="false"/>
      <protection locked="true" hidden="false"/>
    </xf>
    <xf numFmtId="169" fontId="15" fillId="0" borderId="1" xfId="0" applyFont="true" applyBorder="true" applyAlignment="true" applyProtection="false">
      <alignment horizontal="left"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0" fontId="15" fillId="2" borderId="1" xfId="0" applyFont="true" applyBorder="true" applyAlignment="false" applyProtection="false">
      <alignment horizontal="general" vertical="bottom" textRotation="0" wrapText="false" indent="0" shrinkToFit="false"/>
      <protection locked="true" hidden="false"/>
    </xf>
    <xf numFmtId="165" fontId="15" fillId="2"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3" fillId="5"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3" fillId="6" borderId="0" xfId="0" applyFont="true" applyBorder="false" applyAlignment="true" applyProtection="false">
      <alignment horizontal="general" vertical="center" textRotation="0" wrapText="true" indent="0" shrinkToFit="false"/>
      <protection locked="true" hidden="false"/>
    </xf>
    <xf numFmtId="171" fontId="15"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ont>
        <name val="Arial"/>
        <charset val="1"/>
        <family val="0"/>
        <b val="1"/>
        <color rgb="FFB02A20"/>
      </font>
    </dxf>
    <dxf>
      <font>
        <name val="Arial"/>
        <charset val="1"/>
        <family val="0"/>
        <b val="1"/>
        <color rgb="FFB02A20"/>
      </font>
      <fill>
        <patternFill>
          <bgColor rgb="FFF6DEDB"/>
        </patternFill>
      </fill>
    </dxf>
    <dxf>
      <fill>
        <patternFill patternType="solid">
          <fgColor rgb="FF121518"/>
          <bgColor rgb="FF000000"/>
        </patternFill>
      </fill>
    </dxf>
    <dxf>
      <fill>
        <patternFill patternType="solid">
          <fgColor rgb="FFF6DEDB"/>
          <bgColor rgb="FF000000"/>
        </patternFill>
      </fill>
    </dxf>
    <dxf>
      <fill>
        <patternFill patternType="solid">
          <fgColor rgb="FFF6ECD2"/>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596166"/>
          <bgColor rgb="FF000000"/>
        </patternFill>
      </fill>
    </dxf>
    <dxf>
      <fill>
        <patternFill patternType="solid">
          <fgColor rgb="FF9A6A00"/>
          <bgColor rgb="FF000000"/>
        </patternFill>
      </fill>
    </dxf>
    <dxf>
      <fill>
        <patternFill patternType="solid">
          <fgColor rgb="FFB02A20"/>
          <bgColor rgb="FF000000"/>
        </patternFill>
      </fill>
    </dxf>
    <dxf>
      <fill>
        <patternFill>
          <bgColor rgb="FFF6DEDB"/>
        </patternFill>
      </fill>
    </dxf>
    <dxf>
      <fill>
        <patternFill>
          <bgColor rgb="FFF6ECD2"/>
        </patternFill>
      </fill>
    </dxf>
    <dxf>
      <font>
        <name val="Arial"/>
        <charset val="1"/>
        <family val="0"/>
        <b val="1"/>
        <color rgb="FF9A6A00"/>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9A6A00"/>
      <rgbColor rgb="FF800080"/>
      <rgbColor rgb="FF008080"/>
      <rgbColor rgb="FFD9D9D9"/>
      <rgbColor rgb="FF878787"/>
      <rgbColor rgb="FF9999FF"/>
      <rgbColor rgb="FF993366"/>
      <rgbColor rgb="FFFFF2CC"/>
      <rgbColor rgb="FFCCFFFF"/>
      <rgbColor rgb="FF660066"/>
      <rgbColor rgb="FFFF8080"/>
      <rgbColor rgb="FF0066CC"/>
      <rgbColor rgb="FFCFD4D0"/>
      <rgbColor rgb="FF000080"/>
      <rgbColor rgb="FFFF00FF"/>
      <rgbColor rgb="FFFFFF00"/>
      <rgbColor rgb="FF00FFFF"/>
      <rgbColor rgb="FF800080"/>
      <rgbColor rgb="FF800000"/>
      <rgbColor rgb="FF008080"/>
      <rgbColor rgb="FF0000FF"/>
      <rgbColor rgb="FF00CCFF"/>
      <rgbColor rgb="FFCCFFFF"/>
      <rgbColor rgb="FFCCFFCC"/>
      <rgbColor rgb="FFF6ECD2"/>
      <rgbColor rgb="FF99CCFF"/>
      <rgbColor rgb="FFFF99CC"/>
      <rgbColor rgb="FFCC99FF"/>
      <rgbColor rgb="FFF6DEDB"/>
      <rgbColor rgb="FF3366FF"/>
      <rgbColor rgb="FF33CCCC"/>
      <rgbColor rgb="FF99CC00"/>
      <rgbColor rgb="FFFFCC00"/>
      <rgbColor rgb="FFFF9900"/>
      <rgbColor rgb="FFFF6600"/>
      <rgbColor rgb="FF596166"/>
      <rgbColor rgb="FF9AA1A6"/>
      <rgbColor rgb="FF1D3D73"/>
      <rgbColor rgb="FF339966"/>
      <rgbColor rgb="FF121518"/>
      <rgbColor rgb="FF333300"/>
      <rgbColor rgb="FFB02A2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Opened vs closed per month, with median days to close</a:t>
            </a:r>
          </a:p>
        </c:rich>
      </c:tx>
      <c:overlay val="0"/>
      <c:spPr>
        <a:noFill/>
        <a:ln w="0">
          <a:noFill/>
        </a:ln>
      </c:spPr>
    </c:title>
    <c:autoTitleDeleted val="0"/>
    <c:plotArea>
      <c:barChart>
        <c:barDir val="col"/>
        <c:grouping val="clustered"/>
        <c:varyColors val="0"/>
        <c:ser>
          <c:idx val="0"/>
          <c:order val="0"/>
          <c:tx>
            <c:strRef>
              <c:f>Dashboard!B22</c:f>
              <c:strCache>
                <c:ptCount val="1"/>
                <c:pt idx="0">
                  <c:v>Opened</c:v>
                </c:pt>
              </c:strCache>
            </c:strRef>
          </c:tx>
          <c:spPr>
            <a:solidFill>
              <a:srgbClr val="9aa1a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Dashboard!$A$23:$A$40</c:f>
              <c:strCache>
                <c:ptCount val="18"/>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pt idx="12">
                  <c:v>Apr-26</c:v>
                </c:pt>
                <c:pt idx="13">
                  <c:v>May-26</c:v>
                </c:pt>
                <c:pt idx="14">
                  <c:v>Jun-26</c:v>
                </c:pt>
                <c:pt idx="15">
                  <c:v>Jul-26</c:v>
                </c:pt>
                <c:pt idx="16">
                  <c:v>Aug-26</c:v>
                </c:pt>
                <c:pt idx="17">
                  <c:v>Sep-26</c:v>
                </c:pt>
              </c:strCache>
            </c:strRef>
          </c:cat>
          <c:val>
            <c:numRef>
              <c:f>Dashboard!$B$23:$B$40</c:f>
              <c:numCache>
                <c:formatCode>General</c:formatCode>
                <c:ptCount val="18"/>
                <c:pt idx="0">
                  <c:v>10</c:v>
                </c:pt>
                <c:pt idx="1">
                  <c:v>9</c:v>
                </c:pt>
                <c:pt idx="2">
                  <c:v>10</c:v>
                </c:pt>
                <c:pt idx="3">
                  <c:v>10</c:v>
                </c:pt>
                <c:pt idx="4">
                  <c:v>8</c:v>
                </c:pt>
                <c:pt idx="5">
                  <c:v>8</c:v>
                </c:pt>
                <c:pt idx="6">
                  <c:v>12</c:v>
                </c:pt>
                <c:pt idx="7">
                  <c:v>7</c:v>
                </c:pt>
                <c:pt idx="8">
                  <c:v>7</c:v>
                </c:pt>
                <c:pt idx="9">
                  <c:v>11</c:v>
                </c:pt>
                <c:pt idx="10">
                  <c:v>9</c:v>
                </c:pt>
                <c:pt idx="11">
                  <c:v>9</c:v>
                </c:pt>
                <c:pt idx="12">
                  <c:v>7</c:v>
                </c:pt>
                <c:pt idx="13">
                  <c:v>10</c:v>
                </c:pt>
                <c:pt idx="14">
                  <c:v>9</c:v>
                </c:pt>
                <c:pt idx="15">
                  <c:v>11</c:v>
                </c:pt>
                <c:pt idx="16">
                  <c:v>13</c:v>
                </c:pt>
                <c:pt idx="17">
                  <c:v>7</c:v>
                </c:pt>
              </c:numCache>
            </c:numRef>
          </c:val>
        </c:ser>
        <c:ser>
          <c:idx val="1"/>
          <c:order val="1"/>
          <c:tx>
            <c:strRef>
              <c:f>Dashboard!C22</c:f>
              <c:strCache>
                <c:ptCount val="1"/>
                <c:pt idx="0">
                  <c:v>Closed</c:v>
                </c:pt>
              </c:strCache>
            </c:strRef>
          </c:tx>
          <c:spPr>
            <a:solidFill>
              <a:srgbClr val="1d3d73"/>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Dashboard!$A$23:$A$40</c:f>
              <c:strCache>
                <c:ptCount val="18"/>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pt idx="12">
                  <c:v>Apr-26</c:v>
                </c:pt>
                <c:pt idx="13">
                  <c:v>May-26</c:v>
                </c:pt>
                <c:pt idx="14">
                  <c:v>Jun-26</c:v>
                </c:pt>
                <c:pt idx="15">
                  <c:v>Jul-26</c:v>
                </c:pt>
                <c:pt idx="16">
                  <c:v>Aug-26</c:v>
                </c:pt>
                <c:pt idx="17">
                  <c:v>Sep-26</c:v>
                </c:pt>
              </c:strCache>
            </c:strRef>
          </c:cat>
          <c:val>
            <c:numRef>
              <c:f>Dashboard!$C$23:$C$40</c:f>
              <c:numCache>
                <c:formatCode>General</c:formatCode>
                <c:ptCount val="18"/>
                <c:pt idx="0">
                  <c:v>3</c:v>
                </c:pt>
                <c:pt idx="1">
                  <c:v>11</c:v>
                </c:pt>
                <c:pt idx="2">
                  <c:v>7</c:v>
                </c:pt>
                <c:pt idx="3">
                  <c:v>14</c:v>
                </c:pt>
                <c:pt idx="4">
                  <c:v>8</c:v>
                </c:pt>
                <c:pt idx="5">
                  <c:v>8</c:v>
                </c:pt>
                <c:pt idx="6">
                  <c:v>6</c:v>
                </c:pt>
                <c:pt idx="7">
                  <c:v>13</c:v>
                </c:pt>
                <c:pt idx="8">
                  <c:v>9</c:v>
                </c:pt>
                <c:pt idx="9">
                  <c:v>6</c:v>
                </c:pt>
                <c:pt idx="10">
                  <c:v>8</c:v>
                </c:pt>
                <c:pt idx="11">
                  <c:v>13</c:v>
                </c:pt>
                <c:pt idx="12">
                  <c:v>7</c:v>
                </c:pt>
                <c:pt idx="13">
                  <c:v>10</c:v>
                </c:pt>
                <c:pt idx="14">
                  <c:v>3</c:v>
                </c:pt>
                <c:pt idx="15">
                  <c:v>10</c:v>
                </c:pt>
                <c:pt idx="16">
                  <c:v>6</c:v>
                </c:pt>
                <c:pt idx="17">
                  <c:v>12</c:v>
                </c:pt>
              </c:numCache>
            </c:numRef>
          </c:val>
        </c:ser>
        <c:gapWidth val="150"/>
        <c:overlap val="0"/>
        <c:axId val="99505857"/>
        <c:axId val="52122239"/>
      </c:barChart>
      <c:lineChart>
        <c:grouping val="standard"/>
        <c:varyColors val="0"/>
        <c:ser>
          <c:idx val="2"/>
          <c:order val="2"/>
          <c:tx>
            <c:strRef>
              <c:f>Dashboard!D22</c:f>
              <c:strCache>
                <c:ptCount val="1"/>
                <c:pt idx="0">
                  <c:v>Median days to close</c:v>
                </c:pt>
              </c:strCache>
            </c:strRef>
          </c:tx>
          <c:spPr>
            <a:solidFill>
              <a:srgbClr val="b02a20"/>
            </a:solidFill>
            <a:ln w="28080">
              <a:solidFill>
                <a:srgbClr val="b02a2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Dashboard!$A$23:$A$40</c:f>
              <c:strCache>
                <c:ptCount val="18"/>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pt idx="12">
                  <c:v>Apr-26</c:v>
                </c:pt>
                <c:pt idx="13">
                  <c:v>May-26</c:v>
                </c:pt>
                <c:pt idx="14">
                  <c:v>Jun-26</c:v>
                </c:pt>
                <c:pt idx="15">
                  <c:v>Jul-26</c:v>
                </c:pt>
                <c:pt idx="16">
                  <c:v>Aug-26</c:v>
                </c:pt>
                <c:pt idx="17">
                  <c:v>Sep-26</c:v>
                </c:pt>
              </c:strCache>
            </c:strRef>
          </c:cat>
          <c:val>
            <c:numRef>
              <c:f>Dashboard!$D$23:$D$40</c:f>
              <c:numCache>
                <c:formatCode>0.0</c:formatCode>
                <c:ptCount val="18"/>
                <c:pt idx="0">
                  <c:v>20</c:v>
                </c:pt>
                <c:pt idx="1">
                  <c:v>23</c:v>
                </c:pt>
                <c:pt idx="2">
                  <c:v>18</c:v>
                </c:pt>
                <c:pt idx="3">
                  <c:v>19.5</c:v>
                </c:pt>
                <c:pt idx="4">
                  <c:v>18</c:v>
                </c:pt>
                <c:pt idx="5">
                  <c:v>18</c:v>
                </c:pt>
                <c:pt idx="6">
                  <c:v>15.5</c:v>
                </c:pt>
                <c:pt idx="7">
                  <c:v>20</c:v>
                </c:pt>
                <c:pt idx="8">
                  <c:v>18</c:v>
                </c:pt>
                <c:pt idx="9">
                  <c:v>15.5</c:v>
                </c:pt>
                <c:pt idx="10">
                  <c:v>16</c:v>
                </c:pt>
                <c:pt idx="11">
                  <c:v>15</c:v>
                </c:pt>
                <c:pt idx="12">
                  <c:v>17</c:v>
                </c:pt>
                <c:pt idx="13">
                  <c:v>16</c:v>
                </c:pt>
                <c:pt idx="14">
                  <c:v>37</c:v>
                </c:pt>
                <c:pt idx="15">
                  <c:v>35.5</c:v>
                </c:pt>
                <c:pt idx="16">
                  <c:v>35</c:v>
                </c:pt>
                <c:pt idx="17">
                  <c:v>35.5</c:v>
                </c:pt>
              </c:numCache>
            </c:numRef>
          </c:val>
          <c:smooth val="0"/>
        </c:ser>
        <c:ser>
          <c:idx val="3"/>
          <c:order val="3"/>
          <c:tx>
            <c:strRef>
              <c:f>Dashboard!E22</c:f>
              <c:strCache>
                <c:ptCount val="1"/>
                <c:pt idx="0">
                  <c:v>Target (days)</c:v>
                </c:pt>
              </c:strCache>
            </c:strRef>
          </c:tx>
          <c:spPr>
            <a:solidFill>
              <a:srgbClr val="b02a20"/>
            </a:solidFill>
            <a:ln w="11880">
              <a:solidFill>
                <a:srgbClr val="b02a20"/>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Dashboard!$A$23:$A$40</c:f>
              <c:strCache>
                <c:ptCount val="18"/>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pt idx="12">
                  <c:v>Apr-26</c:v>
                </c:pt>
                <c:pt idx="13">
                  <c:v>May-26</c:v>
                </c:pt>
                <c:pt idx="14">
                  <c:v>Jun-26</c:v>
                </c:pt>
                <c:pt idx="15">
                  <c:v>Jul-26</c:v>
                </c:pt>
                <c:pt idx="16">
                  <c:v>Aug-26</c:v>
                </c:pt>
                <c:pt idx="17">
                  <c:v>Sep-26</c:v>
                </c:pt>
              </c:strCache>
            </c:strRef>
          </c:cat>
          <c:val>
            <c:numRef>
              <c:f>Dashboard!$E$23:$E$40</c:f>
              <c:numCache>
                <c:formatCode>0</c:formatCode>
                <c:ptCount val="18"/>
                <c:pt idx="0">
                  <c:v>30</c:v>
                </c:pt>
                <c:pt idx="1">
                  <c:v>30</c:v>
                </c:pt>
                <c:pt idx="2">
                  <c:v>30</c:v>
                </c:pt>
                <c:pt idx="3">
                  <c:v>30</c:v>
                </c:pt>
                <c:pt idx="4">
                  <c:v>30</c:v>
                </c:pt>
                <c:pt idx="5">
                  <c:v>30</c:v>
                </c:pt>
                <c:pt idx="6">
                  <c:v>30</c:v>
                </c:pt>
                <c:pt idx="7">
                  <c:v>30</c:v>
                </c:pt>
                <c:pt idx="8">
                  <c:v>30</c:v>
                </c:pt>
                <c:pt idx="9">
                  <c:v>30</c:v>
                </c:pt>
                <c:pt idx="10">
                  <c:v>30</c:v>
                </c:pt>
                <c:pt idx="11">
                  <c:v>30</c:v>
                </c:pt>
                <c:pt idx="12">
                  <c:v>30</c:v>
                </c:pt>
                <c:pt idx="13">
                  <c:v>30</c:v>
                </c:pt>
                <c:pt idx="14">
                  <c:v>30</c:v>
                </c:pt>
                <c:pt idx="15">
                  <c:v>30</c:v>
                </c:pt>
                <c:pt idx="16">
                  <c:v>30</c:v>
                </c:pt>
                <c:pt idx="17">
                  <c:v>30</c:v>
                </c:pt>
              </c:numCache>
            </c:numRef>
          </c:val>
          <c:smooth val="0"/>
        </c:ser>
        <c:hiLowLines>
          <c:spPr>
            <a:ln w="0">
              <a:noFill/>
            </a:ln>
          </c:spPr>
        </c:hiLowLines>
        <c:marker val="0"/>
        <c:axId val="9165288"/>
        <c:axId val="9268100"/>
      </c:lineChart>
      <c:catAx>
        <c:axId val="99505857"/>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122239"/>
        <c:crosses val="autoZero"/>
        <c:auto val="1"/>
        <c:lblAlgn val="ctr"/>
        <c:lblOffset val="100"/>
        <c:noMultiLvlLbl val="0"/>
      </c:catAx>
      <c:valAx>
        <c:axId val="52122239"/>
        <c:scaling>
          <c:orientation val="minMax"/>
          <c:max val="16"/>
          <c:min val="0"/>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Deviations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505857"/>
        <c:crosses val="autoZero"/>
        <c:crossBetween val="between"/>
        <c:majorUnit val="2"/>
      </c:valAx>
      <c:catAx>
        <c:axId val="9165288"/>
        <c:scaling>
          <c:orientation val="minMax"/>
        </c:scaling>
        <c:delete val="0"/>
        <c:axPos val="t"/>
        <c:numFmt formatCode="mmm\-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68100"/>
        <c:crosses val="autoZero"/>
        <c:auto val="1"/>
        <c:lblAlgn val="ctr"/>
        <c:lblOffset val="100"/>
        <c:noMultiLvlLbl val="0"/>
      </c:catAx>
      <c:valAx>
        <c:axId val="9268100"/>
        <c:scaling>
          <c:orientation val="minMax"/>
          <c:max val="50"/>
          <c:min val="0"/>
        </c:scaling>
        <c:delete val="0"/>
        <c:axPos val="r"/>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Median days to close</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65288"/>
        <c:crosses val="max"/>
        <c:crossBetween val="between"/>
        <c:majorUnit val="10"/>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Deviations by root cause</a:t>
            </a:r>
          </a:p>
        </c:rich>
      </c:tx>
      <c:overlay val="0"/>
      <c:spPr>
        <a:noFill/>
        <a:ln w="0">
          <a:noFill/>
        </a:ln>
      </c:spPr>
    </c:title>
    <c:autoTitleDeleted val="0"/>
    <c:plotArea>
      <c:barChart>
        <c:barDir val="bar"/>
        <c:grouping val="clustered"/>
        <c:varyColors val="0"/>
        <c:ser>
          <c:idx val="0"/>
          <c:order val="0"/>
          <c:tx>
            <c:strRef>
              <c:f>Dashboard!B45</c:f>
              <c:strCache>
                <c:ptCount val="1"/>
                <c:pt idx="0">
                  <c:v>Count</c:v>
                </c:pt>
              </c:strCache>
            </c:strRef>
          </c:tx>
          <c:spPr>
            <a:solidFill>
              <a:srgbClr val="12151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Dashboard!$A$46:$A$57</c:f>
              <c:strCache>
                <c:ptCount val="12"/>
                <c:pt idx="0">
                  <c:v>GDP / documentation error</c:v>
                </c:pt>
                <c:pt idx="1">
                  <c:v>Equipment malfunction</c:v>
                </c:pt>
                <c:pt idx="2">
                  <c:v>Procedure not followed</c:v>
                </c:pt>
                <c:pt idx="3">
                  <c:v>Training gap</c:v>
                </c:pt>
                <c:pt idx="4">
                  <c:v>Supplier material defect</c:v>
                </c:pt>
                <c:pt idx="5">
                  <c:v>Calibration overdue</c:v>
                </c:pt>
                <c:pt idx="6">
                  <c:v>Environmental excursion</c:v>
                </c:pt>
                <c:pt idx="7">
                  <c:v>Sample handling error</c:v>
                </c:pt>
                <c:pt idx="8">
                  <c:v>Line clearance not performed</c:v>
                </c:pt>
                <c:pt idx="9">
                  <c:v>Labeling error</c:v>
                </c:pt>
                <c:pt idx="10">
                  <c:v>Preventive maintenance missed</c:v>
                </c:pt>
                <c:pt idx="11">
                  <c:v>Temperature excursion</c:v>
                </c:pt>
              </c:strCache>
            </c:strRef>
          </c:cat>
          <c:val>
            <c:numRef>
              <c:f>Dashboard!$B$46:$B$57</c:f>
              <c:numCache>
                <c:formatCode>General</c:formatCode>
                <c:ptCount val="12"/>
                <c:pt idx="0">
                  <c:v>38</c:v>
                </c:pt>
                <c:pt idx="1">
                  <c:v>28</c:v>
                </c:pt>
                <c:pt idx="2">
                  <c:v>21</c:v>
                </c:pt>
                <c:pt idx="3">
                  <c:v>13</c:v>
                </c:pt>
                <c:pt idx="4">
                  <c:v>13</c:v>
                </c:pt>
                <c:pt idx="5">
                  <c:v>11</c:v>
                </c:pt>
                <c:pt idx="6">
                  <c:v>8</c:v>
                </c:pt>
                <c:pt idx="7">
                  <c:v>8</c:v>
                </c:pt>
                <c:pt idx="8">
                  <c:v>8</c:v>
                </c:pt>
                <c:pt idx="9">
                  <c:v>7</c:v>
                </c:pt>
                <c:pt idx="10">
                  <c:v>6</c:v>
                </c:pt>
                <c:pt idx="11">
                  <c:v>6</c:v>
                </c:pt>
              </c:numCache>
            </c:numRef>
          </c:val>
        </c:ser>
        <c:gapWidth val="60"/>
        <c:overlap val="0"/>
        <c:axId val="91421584"/>
        <c:axId val="93778184"/>
      </c:barChart>
      <c:catAx>
        <c:axId val="91421584"/>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778184"/>
        <c:crosses val="autoZero"/>
        <c:auto val="1"/>
        <c:lblAlgn val="ctr"/>
        <c:lblOffset val="100"/>
        <c:noMultiLvlLbl val="0"/>
      </c:catAx>
      <c:valAx>
        <c:axId val="93778184"/>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42158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19</xdr:row>
      <xdr:rowOff>131040</xdr:rowOff>
    </xdr:from>
    <xdr:to>
      <xdr:col>16</xdr:col>
      <xdr:colOff>164160</xdr:colOff>
      <xdr:row>35</xdr:row>
      <xdr:rowOff>132120</xdr:rowOff>
    </xdr:to>
    <xdr:graphicFrame>
      <xdr:nvGraphicFramePr>
        <xdr:cNvPr id="0" name="Chart 1"/>
        <xdr:cNvGraphicFramePr/>
      </xdr:nvGraphicFramePr>
      <xdr:xfrm>
        <a:off x="6625440" y="4381560"/>
        <a:ext cx="79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42</xdr:row>
      <xdr:rowOff>131040</xdr:rowOff>
    </xdr:from>
    <xdr:to>
      <xdr:col>16</xdr:col>
      <xdr:colOff>164160</xdr:colOff>
      <xdr:row>64</xdr:row>
      <xdr:rowOff>69120</xdr:rowOff>
    </xdr:to>
    <xdr:graphicFrame>
      <xdr:nvGraphicFramePr>
        <xdr:cNvPr id="1" name="Chart 2"/>
        <xdr:cNvGraphicFramePr/>
      </xdr:nvGraphicFramePr>
      <xdr:xfrm>
        <a:off x="6625440" y="8953560"/>
        <a:ext cx="7919640" cy="43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5"/>
  </cols>
  <sheetData>
    <row r="1" customFormat="false" ht="19.7" hidden="false" customHeight="false" outlineLevel="0" collapsed="false">
      <c r="A1" s="1" t="s">
        <v>0</v>
      </c>
      <c r="B1" s="2"/>
    </row>
    <row r="2" customFormat="false" ht="15" hidden="false" customHeight="false" outlineLevel="0" collapsed="false">
      <c r="A2" s="3" t="s">
        <v>1</v>
      </c>
      <c r="B2" s="2"/>
    </row>
    <row r="3" customFormat="false" ht="15" hidden="false" customHeight="false" outlineLevel="0" collapsed="false">
      <c r="A3" s="2"/>
      <c r="B3" s="2"/>
    </row>
    <row r="4" customFormat="false" ht="45" hidden="false" customHeight="true" outlineLevel="0" collapsed="false">
      <c r="A4" s="4" t="s">
        <v>2</v>
      </c>
      <c r="B4" s="5" t="s">
        <v>3</v>
      </c>
    </row>
    <row r="5" customFormat="false" ht="15" hidden="false" customHeight="true" outlineLevel="0" collapsed="false">
      <c r="A5" s="6"/>
      <c r="B5" s="5"/>
    </row>
    <row r="6" customFormat="false" ht="15" hidden="false" customHeight="true" outlineLevel="0" collapsed="false">
      <c r="A6" s="7" t="s">
        <v>4</v>
      </c>
      <c r="B6" s="5"/>
    </row>
    <row r="7" customFormat="false" ht="30" hidden="false" customHeight="true" outlineLevel="0" collapsed="false">
      <c r="A7" s="4" t="s">
        <v>5</v>
      </c>
      <c r="B7" s="5" t="s">
        <v>6</v>
      </c>
    </row>
    <row r="8" customFormat="false" ht="30" hidden="false" customHeight="true" outlineLevel="0" collapsed="false">
      <c r="A8" s="4" t="s">
        <v>7</v>
      </c>
      <c r="B8" s="5" t="s">
        <v>8</v>
      </c>
    </row>
    <row r="9" customFormat="false" ht="30" hidden="false" customHeight="true" outlineLevel="0" collapsed="false">
      <c r="A9" s="4" t="s">
        <v>9</v>
      </c>
      <c r="B9" s="5" t="s">
        <v>10</v>
      </c>
    </row>
    <row r="10" customFormat="false" ht="30" hidden="false" customHeight="true" outlineLevel="0" collapsed="false">
      <c r="A10" s="4" t="s">
        <v>11</v>
      </c>
      <c r="B10" s="5" t="s">
        <v>12</v>
      </c>
    </row>
    <row r="11" customFormat="false" ht="15" hidden="false" customHeight="true" outlineLevel="0" collapsed="false">
      <c r="A11" s="6"/>
      <c r="B11" s="5"/>
    </row>
    <row r="12" customFormat="false" ht="15" hidden="false" customHeight="true" outlineLevel="0" collapsed="false">
      <c r="A12" s="7" t="s">
        <v>13</v>
      </c>
      <c r="B12" s="5"/>
    </row>
    <row r="13" customFormat="false" ht="30" hidden="false" customHeight="true" outlineLevel="0" collapsed="false">
      <c r="A13" s="4" t="s">
        <v>14</v>
      </c>
      <c r="B13" s="5" t="s">
        <v>15</v>
      </c>
    </row>
    <row r="14" customFormat="false" ht="15" hidden="false" customHeight="true" outlineLevel="0" collapsed="false">
      <c r="A14" s="4" t="s">
        <v>16</v>
      </c>
      <c r="B14" s="5" t="s">
        <v>17</v>
      </c>
    </row>
    <row r="15" customFormat="false" ht="30" hidden="false" customHeight="true" outlineLevel="0" collapsed="false">
      <c r="A15" s="4" t="s">
        <v>18</v>
      </c>
      <c r="B15" s="5" t="s">
        <v>19</v>
      </c>
    </row>
    <row r="16" customFormat="false" ht="45" hidden="false" customHeight="true" outlineLevel="0" collapsed="false">
      <c r="A16" s="4" t="s">
        <v>20</v>
      </c>
      <c r="B16" s="5" t="s">
        <v>21</v>
      </c>
    </row>
    <row r="17" customFormat="false" ht="15" hidden="false" customHeight="true" outlineLevel="0" collapsed="false">
      <c r="A17" s="4" t="s">
        <v>22</v>
      </c>
      <c r="B17" s="5" t="s">
        <v>23</v>
      </c>
    </row>
    <row r="18" customFormat="false" ht="15" hidden="false" customHeight="true" outlineLevel="0" collapsed="false">
      <c r="A18" s="6"/>
      <c r="B18" s="5"/>
    </row>
    <row r="19" customFormat="false" ht="15" hidden="false" customHeight="true" outlineLevel="0" collapsed="false">
      <c r="A19" s="7" t="s">
        <v>24</v>
      </c>
      <c r="B19" s="5"/>
    </row>
    <row r="20" customFormat="false" ht="15" hidden="false" customHeight="true" outlineLevel="0" collapsed="false">
      <c r="A20" s="8" t="s">
        <v>25</v>
      </c>
      <c r="B20" s="5" t="s">
        <v>26</v>
      </c>
    </row>
    <row r="21" customFormat="false" ht="15" hidden="false" customHeight="true" outlineLevel="0" collapsed="false">
      <c r="A21" s="4" t="s">
        <v>27</v>
      </c>
      <c r="B21" s="5" t="s">
        <v>28</v>
      </c>
    </row>
    <row r="22" customFormat="false" ht="15" hidden="false" customHeight="true" outlineLevel="0" collapsed="false">
      <c r="A22" s="9" t="s">
        <v>29</v>
      </c>
      <c r="B22" s="5" t="s">
        <v>30</v>
      </c>
    </row>
    <row r="23" customFormat="false" ht="15" hidden="false" customHeight="true" outlineLevel="0" collapsed="false">
      <c r="A23" s="10" t="s">
        <v>31</v>
      </c>
      <c r="B23" s="5" t="s">
        <v>32</v>
      </c>
    </row>
    <row r="24" customFormat="false" ht="15" hidden="false" customHeight="true" outlineLevel="0" collapsed="false">
      <c r="A24" s="11" t="s">
        <v>33</v>
      </c>
      <c r="B24" s="5" t="s">
        <v>34</v>
      </c>
    </row>
    <row r="25" customFormat="false" ht="15" hidden="false" customHeight="true" outlineLevel="0" collapsed="false">
      <c r="A25" s="6"/>
      <c r="B25" s="5"/>
    </row>
    <row r="26" customFormat="false" ht="15" hidden="false" customHeight="true" outlineLevel="0" collapsed="false">
      <c r="A26" s="7" t="s">
        <v>35</v>
      </c>
      <c r="B26" s="5"/>
    </row>
    <row r="27" customFormat="false" ht="15" hidden="false" customHeight="true" outlineLevel="0" collapsed="false">
      <c r="A27" s="4" t="s">
        <v>36</v>
      </c>
      <c r="B27" s="5" t="s">
        <v>37</v>
      </c>
    </row>
    <row r="28" customFormat="false" ht="30" hidden="false" customHeight="true" outlineLevel="0" collapsed="false">
      <c r="A28" s="4" t="s">
        <v>38</v>
      </c>
      <c r="B28" s="5" t="s">
        <v>39</v>
      </c>
    </row>
    <row r="29" customFormat="false" ht="45" hidden="false" customHeight="true" outlineLevel="0" collapsed="false">
      <c r="A29" s="4" t="s">
        <v>40</v>
      </c>
      <c r="B29" s="5" t="s">
        <v>41</v>
      </c>
    </row>
    <row r="30" customFormat="false" ht="30" hidden="false" customHeight="true" outlineLevel="0" collapsed="false">
      <c r="A30" s="4" t="s">
        <v>42</v>
      </c>
      <c r="B30" s="5" t="s">
        <v>43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12"/>
    <col collapsed="false" customWidth="true" hidden="false" outlineLevel="0" max="7" min="7" style="0" width="4"/>
    <col collapsed="false" customWidth="true" hidden="false" outlineLevel="0" max="8" min="8" style="0" width="30"/>
    <col collapsed="false" customWidth="true" hidden="false" outlineLevel="0" max="10" min="9" style="0" width="12"/>
    <col collapsed="false" customWidth="true" hidden="false" outlineLevel="0" max="13" min="11" style="0" width="10"/>
  </cols>
  <sheetData>
    <row r="1" customFormat="false" ht="19.7" hidden="false" customHeight="false" outlineLevel="0" collapsed="false">
      <c r="A1" s="1" t="s">
        <v>44</v>
      </c>
      <c r="B1" s="2"/>
      <c r="C1" s="2"/>
      <c r="D1" s="2"/>
      <c r="E1" s="2"/>
      <c r="F1" s="2"/>
      <c r="G1" s="2"/>
      <c r="H1" s="2"/>
      <c r="I1" s="2"/>
      <c r="J1" s="2"/>
      <c r="K1" s="2"/>
      <c r="L1" s="2"/>
      <c r="M1" s="2"/>
    </row>
    <row r="2" customFormat="false" ht="15" hidden="false" customHeight="false" outlineLevel="0" collapsed="false">
      <c r="A2" s="3" t="s">
        <v>45</v>
      </c>
      <c r="B2" s="2"/>
      <c r="C2" s="2"/>
      <c r="D2" s="2"/>
      <c r="E2" s="2"/>
      <c r="F2" s="2"/>
      <c r="G2" s="2"/>
      <c r="H2" s="2"/>
      <c r="I2" s="2"/>
      <c r="J2" s="2"/>
      <c r="K2" s="2"/>
      <c r="L2" s="2"/>
      <c r="M2" s="2"/>
    </row>
    <row r="3" customFormat="false" ht="15" hidden="false" customHeight="false" outlineLevel="0" collapsed="false">
      <c r="A3" s="12" t="str">
        <f aca="false">" Data as of "&amp;TEXT(AsOf,"dd mmm yyyy")&amp;"  ·  closure target "&amp;Target&amp;" days"</f>
        <v> Data as of 30 Sep 2026  ·  closure target 30 days</v>
      </c>
      <c r="B3" s="2"/>
      <c r="C3" s="2"/>
      <c r="D3" s="2"/>
      <c r="E3" s="2"/>
      <c r="F3" s="2"/>
      <c r="G3" s="2"/>
      <c r="H3" s="2"/>
      <c r="I3" s="2"/>
      <c r="J3" s="2"/>
      <c r="K3" s="2"/>
      <c r="L3" s="2"/>
      <c r="M3" s="2"/>
    </row>
    <row r="4" customFormat="false" ht="30" hidden="false" customHeight="true" outlineLevel="0" collapsed="false">
      <c r="A4" s="13" t="s">
        <v>46</v>
      </c>
      <c r="B4" s="13" t="s">
        <v>47</v>
      </c>
      <c r="C4" s="2"/>
      <c r="D4" s="2"/>
      <c r="E4" s="2"/>
      <c r="F4" s="2"/>
      <c r="G4" s="2"/>
      <c r="H4" s="14" t="s">
        <v>48</v>
      </c>
      <c r="I4" s="2"/>
      <c r="J4" s="2"/>
      <c r="K4" s="2"/>
      <c r="L4" s="2"/>
      <c r="M4" s="2"/>
    </row>
    <row r="5" customFormat="false" ht="30" hidden="false" customHeight="true" outlineLevel="0" collapsed="false">
      <c r="A5" s="15" t="s">
        <v>49</v>
      </c>
      <c r="B5" s="16" t="n">
        <f aca="false">COUNTA('Deviation Log'!$A$5:$A$400)</f>
        <v>167</v>
      </c>
      <c r="C5" s="2"/>
      <c r="D5" s="2"/>
      <c r="E5" s="2"/>
      <c r="F5" s="2"/>
      <c r="G5" s="2"/>
      <c r="H5" s="13" t="s">
        <v>50</v>
      </c>
      <c r="I5" s="13" t="s">
        <v>51</v>
      </c>
      <c r="J5" s="13" t="s">
        <v>52</v>
      </c>
      <c r="K5" s="13" t="s">
        <v>53</v>
      </c>
      <c r="L5" s="13" t="s">
        <v>54</v>
      </c>
      <c r="M5" s="13" t="s">
        <v>55</v>
      </c>
    </row>
    <row r="6" customFormat="false" ht="15" hidden="false" customHeight="false" outlineLevel="0" collapsed="false">
      <c r="A6" s="15" t="s">
        <v>56</v>
      </c>
      <c r="B6" s="16" t="n">
        <f aca="false">COUNTIF('Deviation Log'!$K$5:$K$400,"Open")</f>
        <v>13</v>
      </c>
      <c r="C6" s="2"/>
      <c r="D6" s="2"/>
      <c r="E6" s="2"/>
      <c r="F6" s="2"/>
      <c r="G6" s="2"/>
      <c r="H6" s="17" t="s">
        <v>57</v>
      </c>
      <c r="I6" s="18" t="n">
        <f aca="false">COUNTIFS('Deviation Log'!$E$5:$E$400,"Critical",'Deviation Log'!$N$5:$N$400,"0-30")</f>
        <v>0</v>
      </c>
      <c r="J6" s="18" t="n">
        <f aca="false">COUNTIFS('Deviation Log'!$E$5:$E$400,"Critical",'Deviation Log'!$N$5:$N$400,"31-60")</f>
        <v>1</v>
      </c>
      <c r="K6" s="18" t="n">
        <f aca="false">COUNTIFS('Deviation Log'!$E$5:$E$400,"Critical",'Deviation Log'!$N$5:$N$400,"61-90")</f>
        <v>0</v>
      </c>
      <c r="L6" s="18" t="n">
        <f aca="false">COUNTIFS('Deviation Log'!$E$5:$E$400,"Critical",'Deviation Log'!$N$5:$N$400,"90+")</f>
        <v>1</v>
      </c>
      <c r="M6" s="19" t="n">
        <f aca="false">SUM(I6:L6)</f>
        <v>2</v>
      </c>
    </row>
    <row r="7" customFormat="false" ht="15" hidden="false" customHeight="false" outlineLevel="0" collapsed="false">
      <c r="A7" s="15" t="s">
        <v>58</v>
      </c>
      <c r="B7" s="16" t="n">
        <f aca="false">COUNTIF('Deviation Log'!$M$5:$M$400,"Yes")</f>
        <v>7</v>
      </c>
      <c r="C7" s="2"/>
      <c r="D7" s="2"/>
      <c r="E7" s="2"/>
      <c r="F7" s="2"/>
      <c r="G7" s="2"/>
      <c r="H7" s="17" t="s">
        <v>59</v>
      </c>
      <c r="I7" s="18" t="n">
        <f aca="false">COUNTIFS('Deviation Log'!$E$5:$E$400,"Major",'Deviation Log'!$N$5:$N$400,"0-30")</f>
        <v>3</v>
      </c>
      <c r="J7" s="18" t="n">
        <f aca="false">COUNTIFS('Deviation Log'!$E$5:$E$400,"Major",'Deviation Log'!$N$5:$N$400,"31-60")</f>
        <v>2</v>
      </c>
      <c r="K7" s="18" t="n">
        <f aca="false">COUNTIFS('Deviation Log'!$E$5:$E$400,"Major",'Deviation Log'!$N$5:$N$400,"61-90")</f>
        <v>0</v>
      </c>
      <c r="L7" s="18" t="n">
        <f aca="false">COUNTIFS('Deviation Log'!$E$5:$E$400,"Major",'Deviation Log'!$N$5:$N$400,"90+")</f>
        <v>0</v>
      </c>
      <c r="M7" s="19" t="n">
        <f aca="false">SUM(I7:L7)</f>
        <v>5</v>
      </c>
    </row>
    <row r="8" customFormat="false" ht="15" hidden="false" customHeight="false" outlineLevel="0" collapsed="false">
      <c r="A8" s="15" t="s">
        <v>60</v>
      </c>
      <c r="B8" s="16" t="n">
        <f aca="false">COUNTIFS('Deviation Log'!$E$5:$E$400,"Critical",'Deviation Log'!$K$5:$K$400,"Open")</f>
        <v>2</v>
      </c>
      <c r="C8" s="2"/>
      <c r="D8" s="2"/>
      <c r="E8" s="2"/>
      <c r="F8" s="2"/>
      <c r="G8" s="2"/>
      <c r="H8" s="17" t="s">
        <v>61</v>
      </c>
      <c r="I8" s="18" t="n">
        <f aca="false">COUNTIFS('Deviation Log'!$E$5:$E$400,"Minor",'Deviation Log'!$N$5:$N$400,"0-30")</f>
        <v>3</v>
      </c>
      <c r="J8" s="18" t="n">
        <f aca="false">COUNTIFS('Deviation Log'!$E$5:$E$400,"Minor",'Deviation Log'!$N$5:$N$400,"31-60")</f>
        <v>3</v>
      </c>
      <c r="K8" s="18" t="n">
        <f aca="false">COUNTIFS('Deviation Log'!$E$5:$E$400,"Minor",'Deviation Log'!$N$5:$N$400,"61-90")</f>
        <v>0</v>
      </c>
      <c r="L8" s="18" t="n">
        <f aca="false">COUNTIFS('Deviation Log'!$E$5:$E$400,"Minor",'Deviation Log'!$N$5:$N$400,"90+")</f>
        <v>0</v>
      </c>
      <c r="M8" s="19" t="n">
        <f aca="false">SUM(I8:L8)</f>
        <v>6</v>
      </c>
    </row>
    <row r="9" customFormat="false" ht="15" hidden="false" customHeight="false" outlineLevel="0" collapsed="false">
      <c r="A9" s="15" t="s">
        <v>62</v>
      </c>
      <c r="B9" s="20" t="n">
        <f aca="false">IFERROR(MEDIAN('Deviation Log'!$U$5:$U$400),"-")</f>
        <v>35.5</v>
      </c>
      <c r="C9" s="2"/>
      <c r="D9" s="2"/>
      <c r="E9" s="2"/>
      <c r="F9" s="2"/>
      <c r="G9" s="2"/>
      <c r="H9" s="17" t="s">
        <v>63</v>
      </c>
      <c r="I9" s="19" t="n">
        <f aca="false">COUNTIFS('Deviation Log'!$N$5:$N$400,"0-30")</f>
        <v>6</v>
      </c>
      <c r="J9" s="19" t="n">
        <f aca="false">COUNTIFS('Deviation Log'!$N$5:$N$400,"31-60")</f>
        <v>6</v>
      </c>
      <c r="K9" s="19" t="n">
        <f aca="false">COUNTIFS('Deviation Log'!$N$5:$N$400,"61-90")</f>
        <v>0</v>
      </c>
      <c r="L9" s="19" t="n">
        <f aca="false">COUNTIFS('Deviation Log'!$N$5:$N$400,"90+")</f>
        <v>1</v>
      </c>
      <c r="M9" s="19" t="n">
        <f aca="false">SUM(I9:L9)</f>
        <v>13</v>
      </c>
    </row>
    <row r="10" customFormat="false" ht="15" hidden="false" customHeight="false" outlineLevel="0" collapsed="false">
      <c r="A10" s="15" t="s">
        <v>64</v>
      </c>
      <c r="B10" s="20" t="n">
        <f aca="false">IFERROR(MEDIAN('Deviation Log'!$V$5:$V$400),"-")</f>
        <v>16</v>
      </c>
      <c r="C10" s="2"/>
      <c r="D10" s="2"/>
      <c r="E10" s="2"/>
      <c r="F10" s="2"/>
      <c r="G10" s="2"/>
      <c r="H10" s="2"/>
      <c r="I10" s="2"/>
      <c r="J10" s="2"/>
      <c r="K10" s="2"/>
      <c r="L10" s="2"/>
      <c r="M10" s="2"/>
    </row>
    <row r="11" customFormat="false" ht="15" hidden="false" customHeight="false" outlineLevel="0" collapsed="false">
      <c r="A11" s="15" t="s">
        <v>65</v>
      </c>
      <c r="B11" s="16" t="n">
        <f aca="false">COUNTIF('Deviation Log'!$O$5:$O$400,"Yes")</f>
        <v>9</v>
      </c>
      <c r="C11" s="2"/>
      <c r="D11" s="2"/>
      <c r="E11" s="2"/>
      <c r="F11" s="2"/>
      <c r="G11" s="2"/>
      <c r="H11" s="2"/>
      <c r="I11" s="2"/>
      <c r="J11" s="2"/>
      <c r="K11" s="2"/>
      <c r="L11" s="2"/>
      <c r="M11" s="2"/>
    </row>
    <row r="12" customFormat="false" ht="15" hidden="false" customHeight="false" outlineLevel="0" collapsed="false">
      <c r="A12" s="15" t="s">
        <v>66</v>
      </c>
      <c r="B12" s="21" t="n">
        <f aca="false">IFERROR(B11/B5,0)</f>
        <v>0.0538922155688623</v>
      </c>
      <c r="C12" s="2"/>
      <c r="D12" s="2"/>
      <c r="E12" s="2"/>
      <c r="F12" s="2"/>
      <c r="G12" s="2"/>
      <c r="H12" s="14" t="s">
        <v>67</v>
      </c>
      <c r="I12" s="2"/>
      <c r="J12" s="2"/>
      <c r="K12" s="2"/>
      <c r="L12" s="2"/>
      <c r="M12" s="2"/>
    </row>
    <row r="13" customFormat="false" ht="30" hidden="false" customHeight="true" outlineLevel="0" collapsed="false">
      <c r="A13" s="15" t="s">
        <v>68</v>
      </c>
      <c r="B13" s="16" t="n">
        <f aca="false">COUNTIF('Deviation Log'!$I$5:$I$400,"?*")</f>
        <v>46</v>
      </c>
      <c r="C13" s="2"/>
      <c r="D13" s="2"/>
      <c r="E13" s="2"/>
      <c r="F13" s="2"/>
      <c r="G13" s="2"/>
      <c r="H13" s="13" t="s">
        <v>69</v>
      </c>
      <c r="I13" s="13" t="s">
        <v>55</v>
      </c>
      <c r="J13" s="13" t="s">
        <v>70</v>
      </c>
      <c r="K13" s="13" t="s">
        <v>36</v>
      </c>
      <c r="L13" s="13" t="s">
        <v>71</v>
      </c>
      <c r="M13" s="13" t="s">
        <v>57</v>
      </c>
    </row>
    <row r="14" customFormat="false" ht="15" hidden="false" customHeight="false" outlineLevel="0" collapsed="false">
      <c r="A14" s="15" t="s">
        <v>72</v>
      </c>
      <c r="B14" s="16" t="n">
        <f aca="false">COUNTIF('Deviation Log'!$Q$5:$Q$400,"Overdue")</f>
        <v>0</v>
      </c>
      <c r="C14" s="2"/>
      <c r="D14" s="2"/>
      <c r="E14" s="2"/>
      <c r="F14" s="2"/>
      <c r="G14" s="2"/>
      <c r="H14" s="15" t="s">
        <v>73</v>
      </c>
      <c r="I14" s="18" t="n">
        <f aca="false">COUNTIF('Deviation Log'!$C$5:$C$400,H14)</f>
        <v>46</v>
      </c>
      <c r="J14" s="18" t="n">
        <f aca="false">COUNTIFS('Deviation Log'!$C$5:$C$400,H14,'Deviation Log'!$K$5:$K$400,"Open")</f>
        <v>2</v>
      </c>
      <c r="K14" s="18" t="n">
        <f aca="false">COUNTIFS('Deviation Log'!$C$5:$C$400,H14,'Deviation Log'!$M$5:$M$400,"Yes")</f>
        <v>1</v>
      </c>
      <c r="L14" s="18" t="n">
        <f aca="false">COUNTIFS('Deviation Log'!$C$5:$C$400,H14,'Deviation Log'!$O$5:$O$400,"Yes")</f>
        <v>1</v>
      </c>
      <c r="M14" s="18" t="n">
        <f aca="false">COUNTIFS('Deviation Log'!$C$5:$C$400,H14,'Deviation Log'!$E$5:$E$400,"Critical")</f>
        <v>2</v>
      </c>
    </row>
    <row r="15" customFormat="false" ht="15" hidden="false" customHeight="false" outlineLevel="0" collapsed="false">
      <c r="A15" s="15" t="s">
        <v>74</v>
      </c>
      <c r="B15" s="16" t="n">
        <f aca="false">COUNTIF('Deviation Log'!$R$5:$R$400,"Effective")+COUNTIF('Deviation Log'!$R$5:$R$400,"Ineffective")</f>
        <v>19</v>
      </c>
      <c r="C15" s="2"/>
      <c r="D15" s="2"/>
      <c r="E15" s="2"/>
      <c r="F15" s="2"/>
      <c r="G15" s="2"/>
      <c r="H15" s="15" t="s">
        <v>75</v>
      </c>
      <c r="I15" s="18" t="n">
        <f aca="false">COUNTIF('Deviation Log'!$C$5:$C$400,H15)</f>
        <v>30</v>
      </c>
      <c r="J15" s="18" t="n">
        <f aca="false">COUNTIFS('Deviation Log'!$C$5:$C$400,H15,'Deviation Log'!$K$5:$K$400,"Open")</f>
        <v>6</v>
      </c>
      <c r="K15" s="18" t="n">
        <f aca="false">COUNTIFS('Deviation Log'!$C$5:$C$400,H15,'Deviation Log'!$M$5:$M$400,"Yes")</f>
        <v>3</v>
      </c>
      <c r="L15" s="18" t="n">
        <f aca="false">COUNTIFS('Deviation Log'!$C$5:$C$400,H15,'Deviation Log'!$O$5:$O$400,"Yes")</f>
        <v>3</v>
      </c>
      <c r="M15" s="18" t="n">
        <f aca="false">COUNTIFS('Deviation Log'!$C$5:$C$400,H15,'Deviation Log'!$E$5:$E$400,"Critical")</f>
        <v>1</v>
      </c>
    </row>
    <row r="16" customFormat="false" ht="15" hidden="false" customHeight="false" outlineLevel="0" collapsed="false">
      <c r="A16" s="15" t="s">
        <v>76</v>
      </c>
      <c r="B16" s="16" t="n">
        <f aca="false">COUNTIF('Deviation Log'!$R$5:$R$400,"Ineffective")</f>
        <v>2</v>
      </c>
      <c r="C16" s="2"/>
      <c r="D16" s="2"/>
      <c r="E16" s="2"/>
      <c r="F16" s="2"/>
      <c r="G16" s="2"/>
      <c r="H16" s="15" t="s">
        <v>77</v>
      </c>
      <c r="I16" s="18" t="n">
        <f aca="false">COUNTIF('Deviation Log'!$C$5:$C$400,H16)</f>
        <v>20</v>
      </c>
      <c r="J16" s="18" t="n">
        <f aca="false">COUNTIFS('Deviation Log'!$C$5:$C$400,H16,'Deviation Log'!$K$5:$K$400,"Open")</f>
        <v>1</v>
      </c>
      <c r="K16" s="18" t="n">
        <f aca="false">COUNTIFS('Deviation Log'!$C$5:$C$400,H16,'Deviation Log'!$M$5:$M$400,"Yes")</f>
        <v>1</v>
      </c>
      <c r="L16" s="18" t="n">
        <f aca="false">COUNTIFS('Deviation Log'!$C$5:$C$400,H16,'Deviation Log'!$O$5:$O$400,"Yes")</f>
        <v>1</v>
      </c>
      <c r="M16" s="18" t="n">
        <f aca="false">COUNTIFS('Deviation Log'!$C$5:$C$400,H16,'Deviation Log'!$E$5:$E$400,"Critical")</f>
        <v>2</v>
      </c>
    </row>
    <row r="17" customFormat="false" ht="15" hidden="false" customHeight="false" outlineLevel="0" collapsed="false">
      <c r="A17" s="15" t="s">
        <v>78</v>
      </c>
      <c r="B17" s="21" t="n">
        <f aca="false">IFERROR((B15-B16)/B15,0)</f>
        <v>0.894736842105263</v>
      </c>
      <c r="C17" s="2"/>
      <c r="D17" s="2"/>
      <c r="E17" s="2"/>
      <c r="F17" s="2"/>
      <c r="G17" s="2"/>
      <c r="H17" s="15" t="s">
        <v>79</v>
      </c>
      <c r="I17" s="18" t="n">
        <f aca="false">COUNTIF('Deviation Log'!$C$5:$C$400,H17)</f>
        <v>36</v>
      </c>
      <c r="J17" s="18" t="n">
        <f aca="false">COUNTIFS('Deviation Log'!$C$5:$C$400,H17,'Deviation Log'!$K$5:$K$400,"Open")</f>
        <v>2</v>
      </c>
      <c r="K17" s="18" t="n">
        <f aca="false">COUNTIFS('Deviation Log'!$C$5:$C$400,H17,'Deviation Log'!$M$5:$M$400,"Yes")</f>
        <v>1</v>
      </c>
      <c r="L17" s="18" t="n">
        <f aca="false">COUNTIFS('Deviation Log'!$C$5:$C$400,H17,'Deviation Log'!$O$5:$O$400,"Yes")</f>
        <v>3</v>
      </c>
      <c r="M17" s="18" t="n">
        <f aca="false">COUNTIFS('Deviation Log'!$C$5:$C$400,H17,'Deviation Log'!$E$5:$E$400,"Critical")</f>
        <v>0</v>
      </c>
    </row>
    <row r="18" customFormat="false" ht="15" hidden="false" customHeight="false" outlineLevel="0" collapsed="false">
      <c r="A18" s="2"/>
      <c r="B18" s="2"/>
      <c r="C18" s="2"/>
      <c r="D18" s="2"/>
      <c r="E18" s="2"/>
      <c r="F18" s="2"/>
      <c r="G18" s="2"/>
      <c r="H18" s="15" t="s">
        <v>80</v>
      </c>
      <c r="I18" s="18" t="n">
        <f aca="false">COUNTIF('Deviation Log'!$C$5:$C$400,H18)</f>
        <v>15</v>
      </c>
      <c r="J18" s="18" t="n">
        <f aca="false">COUNTIFS('Deviation Log'!$C$5:$C$400,H18,'Deviation Log'!$K$5:$K$400,"Open")</f>
        <v>1</v>
      </c>
      <c r="K18" s="18" t="n">
        <f aca="false">COUNTIFS('Deviation Log'!$C$5:$C$400,H18,'Deviation Log'!$M$5:$M$400,"Yes")</f>
        <v>0</v>
      </c>
      <c r="L18" s="18" t="n">
        <f aca="false">COUNTIFS('Deviation Log'!$C$5:$C$400,H18,'Deviation Log'!$O$5:$O$400,"Yes")</f>
        <v>0</v>
      </c>
      <c r="M18" s="18" t="n">
        <f aca="false">COUNTIFS('Deviation Log'!$C$5:$C$400,H18,'Deviation Log'!$E$5:$E$400,"Critical")</f>
        <v>0</v>
      </c>
    </row>
    <row r="19" customFormat="false" ht="15" hidden="false" customHeight="false" outlineLevel="0" collapsed="false">
      <c r="A19" s="2"/>
      <c r="B19" s="2"/>
      <c r="C19" s="2"/>
      <c r="D19" s="2"/>
      <c r="E19" s="2"/>
      <c r="F19" s="2"/>
      <c r="G19" s="2"/>
      <c r="H19" s="15" t="s">
        <v>81</v>
      </c>
      <c r="I19" s="18" t="n">
        <f aca="false">COUNTIF('Deviation Log'!$C$5:$C$400,H19)</f>
        <v>20</v>
      </c>
      <c r="J19" s="18" t="n">
        <f aca="false">COUNTIFS('Deviation Log'!$C$5:$C$400,H19,'Deviation Log'!$K$5:$K$400,"Open")</f>
        <v>1</v>
      </c>
      <c r="K19" s="18" t="n">
        <f aca="false">COUNTIFS('Deviation Log'!$C$5:$C$400,H19,'Deviation Log'!$M$5:$M$400,"Yes")</f>
        <v>1</v>
      </c>
      <c r="L19" s="18" t="n">
        <f aca="false">COUNTIFS('Deviation Log'!$C$5:$C$400,H19,'Deviation Log'!$O$5:$O$400,"Yes")</f>
        <v>1</v>
      </c>
      <c r="M19" s="18" t="n">
        <f aca="false">COUNTIFS('Deviation Log'!$C$5:$C$400,H19,'Deviation Log'!$E$5:$E$400,"Critical")</f>
        <v>2</v>
      </c>
    </row>
    <row r="20" customFormat="false" ht="15" hidden="false" customHeight="false" outlineLevel="0" collapsed="false">
      <c r="A20" s="2"/>
      <c r="B20" s="2"/>
      <c r="C20" s="2"/>
      <c r="D20" s="2"/>
      <c r="E20" s="2"/>
      <c r="F20" s="2"/>
      <c r="G20" s="2"/>
      <c r="H20" s="2"/>
      <c r="I20" s="2"/>
      <c r="J20" s="2"/>
      <c r="K20" s="2"/>
      <c r="L20" s="2"/>
      <c r="M20" s="2"/>
    </row>
    <row r="21" customFormat="false" ht="15" hidden="false" customHeight="false" outlineLevel="0" collapsed="false">
      <c r="A21" s="14" t="s">
        <v>82</v>
      </c>
      <c r="B21" s="2"/>
      <c r="C21" s="2"/>
      <c r="D21" s="2"/>
      <c r="E21" s="2"/>
      <c r="F21" s="2"/>
      <c r="G21" s="2"/>
      <c r="H21" s="2"/>
      <c r="I21" s="2"/>
      <c r="J21" s="2"/>
      <c r="K21" s="2"/>
      <c r="L21" s="2"/>
      <c r="M21" s="2"/>
    </row>
    <row r="22" customFormat="false" ht="30" hidden="false" customHeight="true" outlineLevel="0" collapsed="false">
      <c r="A22" s="13" t="s">
        <v>83</v>
      </c>
      <c r="B22" s="13" t="s">
        <v>84</v>
      </c>
      <c r="C22" s="13" t="s">
        <v>85</v>
      </c>
      <c r="D22" s="13" t="s">
        <v>42</v>
      </c>
      <c r="E22" s="13" t="s">
        <v>86</v>
      </c>
      <c r="F22" s="13" t="s">
        <v>87</v>
      </c>
      <c r="G22" s="2"/>
      <c r="H22" s="2"/>
      <c r="I22" s="2"/>
      <c r="J22" s="2"/>
      <c r="K22" s="2"/>
      <c r="L22" s="2"/>
      <c r="M22" s="2"/>
    </row>
    <row r="23" customFormat="false" ht="15" hidden="false" customHeight="false" outlineLevel="0" collapsed="false">
      <c r="A23" s="22" t="n">
        <v>45748</v>
      </c>
      <c r="B23" s="15" t="n">
        <f aca="false">COUNTIF('Deviation Log'!$S$5:$S$400,A23)</f>
        <v>10</v>
      </c>
      <c r="C23" s="15" t="n">
        <f aca="false">COUNTIF('Deviation Log'!$T$5:$T$400,A23)</f>
        <v>3</v>
      </c>
      <c r="D23" s="23" t="n">
        <f aca="false" t="array" ref="D23:D23">IFERROR(MEDIAN(IF('Deviation Log'!$T$5:$T$400=A23,'Deviation Log'!$L$5:$L$400)),NA())</f>
        <v>20</v>
      </c>
      <c r="E23" s="24" t="n">
        <f aca="false">Target</f>
        <v>30</v>
      </c>
      <c r="F23" s="15" t="n">
        <f aca="false">COUNTIFS('Deviation Log'!$B$5:$B$400,"&lt;="&amp;EOMONTH(A23,0),'Deviation Log'!$A$5:$A$400,"&lt;&gt;")-COUNTIFS('Deviation Log'!$H$5:$H$400,"&lt;="&amp;EOMONTH(A23,0))</f>
        <v>7</v>
      </c>
      <c r="G23" s="2"/>
      <c r="H23" s="2"/>
      <c r="I23" s="2"/>
      <c r="J23" s="2"/>
      <c r="K23" s="2"/>
      <c r="L23" s="2"/>
      <c r="M23" s="2"/>
    </row>
    <row r="24" customFormat="false" ht="15" hidden="false" customHeight="false" outlineLevel="0" collapsed="false">
      <c r="A24" s="22" t="n">
        <v>45778</v>
      </c>
      <c r="B24" s="15" t="n">
        <f aca="false">COUNTIF('Deviation Log'!$S$5:$S$400,A24)</f>
        <v>9</v>
      </c>
      <c r="C24" s="15" t="n">
        <f aca="false">COUNTIF('Deviation Log'!$T$5:$T$400,A24)</f>
        <v>11</v>
      </c>
      <c r="D24" s="23" t="n">
        <f aca="false" t="array" ref="D24:D24">IFERROR(MEDIAN(IF('Deviation Log'!$T$5:$T$400=A24,'Deviation Log'!$L$5:$L$400)),NA())</f>
        <v>23</v>
      </c>
      <c r="E24" s="24" t="n">
        <f aca="false">Target</f>
        <v>30</v>
      </c>
      <c r="F24" s="15" t="n">
        <f aca="false">COUNTIFS('Deviation Log'!$B$5:$B$400,"&lt;="&amp;EOMONTH(A24,0),'Deviation Log'!$A$5:$A$400,"&lt;&gt;")-COUNTIFS('Deviation Log'!$H$5:$H$400,"&lt;="&amp;EOMONTH(A24,0))</f>
        <v>5</v>
      </c>
      <c r="G24" s="2"/>
      <c r="H24" s="2"/>
      <c r="I24" s="2"/>
      <c r="J24" s="2"/>
      <c r="K24" s="2"/>
      <c r="L24" s="2"/>
      <c r="M24" s="2"/>
    </row>
    <row r="25" customFormat="false" ht="15" hidden="false" customHeight="false" outlineLevel="0" collapsed="false">
      <c r="A25" s="22" t="n">
        <v>45809</v>
      </c>
      <c r="B25" s="15" t="n">
        <f aca="false">COUNTIF('Deviation Log'!$S$5:$S$400,A25)</f>
        <v>10</v>
      </c>
      <c r="C25" s="15" t="n">
        <f aca="false">COUNTIF('Deviation Log'!$T$5:$T$400,A25)</f>
        <v>7</v>
      </c>
      <c r="D25" s="23" t="n">
        <f aca="false" t="array" ref="D25:D25">IFERROR(MEDIAN(IF('Deviation Log'!$T$5:$T$400=A25,'Deviation Log'!$L$5:$L$400)),NA())</f>
        <v>18</v>
      </c>
      <c r="E25" s="24" t="n">
        <f aca="false">Target</f>
        <v>30</v>
      </c>
      <c r="F25" s="15" t="n">
        <f aca="false">COUNTIFS('Deviation Log'!$B$5:$B$400,"&lt;="&amp;EOMONTH(A25,0),'Deviation Log'!$A$5:$A$400,"&lt;&gt;")-COUNTIFS('Deviation Log'!$H$5:$H$400,"&lt;="&amp;EOMONTH(A25,0))</f>
        <v>8</v>
      </c>
      <c r="G25" s="2"/>
      <c r="H25" s="2"/>
      <c r="I25" s="2"/>
      <c r="J25" s="2"/>
      <c r="K25" s="2"/>
      <c r="L25" s="2"/>
      <c r="M25" s="2"/>
    </row>
    <row r="26" customFormat="false" ht="15" hidden="false" customHeight="false" outlineLevel="0" collapsed="false">
      <c r="A26" s="22" t="n">
        <v>45839</v>
      </c>
      <c r="B26" s="15" t="n">
        <f aca="false">COUNTIF('Deviation Log'!$S$5:$S$400,A26)</f>
        <v>10</v>
      </c>
      <c r="C26" s="15" t="n">
        <f aca="false">COUNTIF('Deviation Log'!$T$5:$T$400,A26)</f>
        <v>14</v>
      </c>
      <c r="D26" s="23" t="n">
        <f aca="false" t="array" ref="D26:D26">IFERROR(MEDIAN(IF('Deviation Log'!$T$5:$T$400=A26,'Deviation Log'!$L$5:$L$400)),NA())</f>
        <v>19.5</v>
      </c>
      <c r="E26" s="24" t="n">
        <f aca="false">Target</f>
        <v>30</v>
      </c>
      <c r="F26" s="15" t="n">
        <f aca="false">COUNTIFS('Deviation Log'!$B$5:$B$400,"&lt;="&amp;EOMONTH(A26,0),'Deviation Log'!$A$5:$A$400,"&lt;&gt;")-COUNTIFS('Deviation Log'!$H$5:$H$400,"&lt;="&amp;EOMONTH(A26,0))</f>
        <v>4</v>
      </c>
      <c r="G26" s="2"/>
      <c r="H26" s="2"/>
      <c r="I26" s="2"/>
      <c r="J26" s="2"/>
      <c r="K26" s="2"/>
      <c r="L26" s="2"/>
      <c r="M26" s="2"/>
    </row>
    <row r="27" customFormat="false" ht="15" hidden="false" customHeight="false" outlineLevel="0" collapsed="false">
      <c r="A27" s="22" t="n">
        <v>45870</v>
      </c>
      <c r="B27" s="15" t="n">
        <f aca="false">COUNTIF('Deviation Log'!$S$5:$S$400,A27)</f>
        <v>8</v>
      </c>
      <c r="C27" s="15" t="n">
        <f aca="false">COUNTIF('Deviation Log'!$T$5:$T$400,A27)</f>
        <v>8</v>
      </c>
      <c r="D27" s="23" t="n">
        <f aca="false" t="array" ref="D27:D27">IFERROR(MEDIAN(IF('Deviation Log'!$T$5:$T$400=A27,'Deviation Log'!$L$5:$L$400)),NA())</f>
        <v>18</v>
      </c>
      <c r="E27" s="24" t="n">
        <f aca="false">Target</f>
        <v>30</v>
      </c>
      <c r="F27" s="15" t="n">
        <f aca="false">COUNTIFS('Deviation Log'!$B$5:$B$400,"&lt;="&amp;EOMONTH(A27,0),'Deviation Log'!$A$5:$A$400,"&lt;&gt;")-COUNTIFS('Deviation Log'!$H$5:$H$400,"&lt;="&amp;EOMONTH(A27,0))</f>
        <v>4</v>
      </c>
      <c r="G27" s="2"/>
      <c r="H27" s="2"/>
      <c r="I27" s="2"/>
      <c r="J27" s="2"/>
      <c r="K27" s="2"/>
      <c r="L27" s="2"/>
      <c r="M27" s="2"/>
    </row>
    <row r="28" customFormat="false" ht="15" hidden="false" customHeight="false" outlineLevel="0" collapsed="false">
      <c r="A28" s="22" t="n">
        <v>45901</v>
      </c>
      <c r="B28" s="15" t="n">
        <f aca="false">COUNTIF('Deviation Log'!$S$5:$S$400,A28)</f>
        <v>8</v>
      </c>
      <c r="C28" s="15" t="n">
        <f aca="false">COUNTIF('Deviation Log'!$T$5:$T$400,A28)</f>
        <v>8</v>
      </c>
      <c r="D28" s="23" t="n">
        <f aca="false" t="array" ref="D28:D28">IFERROR(MEDIAN(IF('Deviation Log'!$T$5:$T$400=A28,'Deviation Log'!$L$5:$L$400)),NA())</f>
        <v>18</v>
      </c>
      <c r="E28" s="24" t="n">
        <f aca="false">Target</f>
        <v>30</v>
      </c>
      <c r="F28" s="15" t="n">
        <f aca="false">COUNTIFS('Deviation Log'!$B$5:$B$400,"&lt;="&amp;EOMONTH(A28,0),'Deviation Log'!$A$5:$A$400,"&lt;&gt;")-COUNTIFS('Deviation Log'!$H$5:$H$400,"&lt;="&amp;EOMONTH(A28,0))</f>
        <v>4</v>
      </c>
      <c r="G28" s="2"/>
      <c r="H28" s="2"/>
      <c r="I28" s="2"/>
      <c r="J28" s="2"/>
      <c r="K28" s="2"/>
      <c r="L28" s="2"/>
      <c r="M28" s="2"/>
    </row>
    <row r="29" customFormat="false" ht="15" hidden="false" customHeight="false" outlineLevel="0" collapsed="false">
      <c r="A29" s="22" t="n">
        <v>45931</v>
      </c>
      <c r="B29" s="15" t="n">
        <f aca="false">COUNTIF('Deviation Log'!$S$5:$S$400,A29)</f>
        <v>12</v>
      </c>
      <c r="C29" s="15" t="n">
        <f aca="false">COUNTIF('Deviation Log'!$T$5:$T$400,A29)</f>
        <v>6</v>
      </c>
      <c r="D29" s="23" t="n">
        <f aca="false" t="array" ref="D29:D29">IFERROR(MEDIAN(IF('Deviation Log'!$T$5:$T$400=A29,'Deviation Log'!$L$5:$L$400)),NA())</f>
        <v>15.5</v>
      </c>
      <c r="E29" s="24" t="n">
        <f aca="false">Target</f>
        <v>30</v>
      </c>
      <c r="F29" s="15" t="n">
        <f aca="false">COUNTIFS('Deviation Log'!$B$5:$B$400,"&lt;="&amp;EOMONTH(A29,0),'Deviation Log'!$A$5:$A$400,"&lt;&gt;")-COUNTIFS('Deviation Log'!$H$5:$H$400,"&lt;="&amp;EOMONTH(A29,0))</f>
        <v>10</v>
      </c>
      <c r="G29" s="2"/>
      <c r="H29" s="2"/>
      <c r="I29" s="2"/>
      <c r="J29" s="2"/>
      <c r="K29" s="2"/>
      <c r="L29" s="2"/>
      <c r="M29" s="2"/>
    </row>
    <row r="30" customFormat="false" ht="15" hidden="false" customHeight="false" outlineLevel="0" collapsed="false">
      <c r="A30" s="22" t="n">
        <v>45962</v>
      </c>
      <c r="B30" s="15" t="n">
        <f aca="false">COUNTIF('Deviation Log'!$S$5:$S$400,A30)</f>
        <v>7</v>
      </c>
      <c r="C30" s="15" t="n">
        <f aca="false">COUNTIF('Deviation Log'!$T$5:$T$400,A30)</f>
        <v>13</v>
      </c>
      <c r="D30" s="23" t="n">
        <f aca="false" t="array" ref="D30:D30">IFERROR(MEDIAN(IF('Deviation Log'!$T$5:$T$400=A30,'Deviation Log'!$L$5:$L$400)),NA())</f>
        <v>20</v>
      </c>
      <c r="E30" s="24" t="n">
        <f aca="false">Target</f>
        <v>30</v>
      </c>
      <c r="F30" s="15" t="n">
        <f aca="false">COUNTIFS('Deviation Log'!$B$5:$B$400,"&lt;="&amp;EOMONTH(A30,0),'Deviation Log'!$A$5:$A$400,"&lt;&gt;")-COUNTIFS('Deviation Log'!$H$5:$H$400,"&lt;="&amp;EOMONTH(A30,0))</f>
        <v>4</v>
      </c>
      <c r="G30" s="2"/>
      <c r="H30" s="2"/>
      <c r="I30" s="2"/>
      <c r="J30" s="2"/>
      <c r="K30" s="2"/>
      <c r="L30" s="2"/>
      <c r="M30" s="2"/>
    </row>
    <row r="31" customFormat="false" ht="15" hidden="false" customHeight="false" outlineLevel="0" collapsed="false">
      <c r="A31" s="22" t="n">
        <v>45992</v>
      </c>
      <c r="B31" s="15" t="n">
        <f aca="false">COUNTIF('Deviation Log'!$S$5:$S$400,A31)</f>
        <v>7</v>
      </c>
      <c r="C31" s="15" t="n">
        <f aca="false">COUNTIF('Deviation Log'!$T$5:$T$400,A31)</f>
        <v>9</v>
      </c>
      <c r="D31" s="23" t="n">
        <f aca="false" t="array" ref="D31:D31">IFERROR(MEDIAN(IF('Deviation Log'!$T$5:$T$400=A31,'Deviation Log'!$L$5:$L$400)),NA())</f>
        <v>18</v>
      </c>
      <c r="E31" s="24" t="n">
        <f aca="false">Target</f>
        <v>30</v>
      </c>
      <c r="F31" s="15" t="n">
        <f aca="false">COUNTIFS('Deviation Log'!$B$5:$B$400,"&lt;="&amp;EOMONTH(A31,0),'Deviation Log'!$A$5:$A$400,"&lt;&gt;")-COUNTIFS('Deviation Log'!$H$5:$H$400,"&lt;="&amp;EOMONTH(A31,0))</f>
        <v>2</v>
      </c>
      <c r="G31" s="2"/>
      <c r="H31" s="2"/>
      <c r="I31" s="2"/>
      <c r="J31" s="2"/>
      <c r="K31" s="2"/>
      <c r="L31" s="2"/>
      <c r="M31" s="2"/>
    </row>
    <row r="32" customFormat="false" ht="15" hidden="false" customHeight="false" outlineLevel="0" collapsed="false">
      <c r="A32" s="22" t="n">
        <v>46023</v>
      </c>
      <c r="B32" s="15" t="n">
        <f aca="false">COUNTIF('Deviation Log'!$S$5:$S$400,A32)</f>
        <v>11</v>
      </c>
      <c r="C32" s="15" t="n">
        <f aca="false">COUNTIF('Deviation Log'!$T$5:$T$400,A32)</f>
        <v>6</v>
      </c>
      <c r="D32" s="23" t="n">
        <f aca="false" t="array" ref="D32:D32">IFERROR(MEDIAN(IF('Deviation Log'!$T$5:$T$400=A32,'Deviation Log'!$L$5:$L$400)),NA())</f>
        <v>15.5</v>
      </c>
      <c r="E32" s="24" t="n">
        <f aca="false">Target</f>
        <v>30</v>
      </c>
      <c r="F32" s="15" t="n">
        <f aca="false">COUNTIFS('Deviation Log'!$B$5:$B$400,"&lt;="&amp;EOMONTH(A32,0),'Deviation Log'!$A$5:$A$400,"&lt;&gt;")-COUNTIFS('Deviation Log'!$H$5:$H$400,"&lt;="&amp;EOMONTH(A32,0))</f>
        <v>7</v>
      </c>
      <c r="G32" s="2"/>
      <c r="H32" s="2"/>
      <c r="I32" s="2"/>
      <c r="J32" s="2"/>
      <c r="K32" s="2"/>
      <c r="L32" s="2"/>
      <c r="M32" s="2"/>
    </row>
    <row r="33" customFormat="false" ht="15" hidden="false" customHeight="false" outlineLevel="0" collapsed="false">
      <c r="A33" s="22" t="n">
        <v>46054</v>
      </c>
      <c r="B33" s="15" t="n">
        <f aca="false">COUNTIF('Deviation Log'!$S$5:$S$400,A33)</f>
        <v>9</v>
      </c>
      <c r="C33" s="15" t="n">
        <f aca="false">COUNTIF('Deviation Log'!$T$5:$T$400,A33)</f>
        <v>8</v>
      </c>
      <c r="D33" s="23" t="n">
        <f aca="false" t="array" ref="D33:D33">IFERROR(MEDIAN(IF('Deviation Log'!$T$5:$T$400=A33,'Deviation Log'!$L$5:$L$400)),NA())</f>
        <v>16</v>
      </c>
      <c r="E33" s="24" t="n">
        <f aca="false">Target</f>
        <v>30</v>
      </c>
      <c r="F33" s="15" t="n">
        <f aca="false">COUNTIFS('Deviation Log'!$B$5:$B$400,"&lt;="&amp;EOMONTH(A33,0),'Deviation Log'!$A$5:$A$400,"&lt;&gt;")-COUNTIFS('Deviation Log'!$H$5:$H$400,"&lt;="&amp;EOMONTH(A33,0))</f>
        <v>8</v>
      </c>
      <c r="G33" s="2"/>
      <c r="H33" s="2"/>
      <c r="I33" s="2"/>
      <c r="J33" s="2"/>
      <c r="K33" s="2"/>
      <c r="L33" s="2"/>
      <c r="M33" s="2"/>
    </row>
    <row r="34" customFormat="false" ht="15" hidden="false" customHeight="false" outlineLevel="0" collapsed="false">
      <c r="A34" s="22" t="n">
        <v>46082</v>
      </c>
      <c r="B34" s="15" t="n">
        <f aca="false">COUNTIF('Deviation Log'!$S$5:$S$400,A34)</f>
        <v>9</v>
      </c>
      <c r="C34" s="15" t="n">
        <f aca="false">COUNTIF('Deviation Log'!$T$5:$T$400,A34)</f>
        <v>13</v>
      </c>
      <c r="D34" s="23" t="n">
        <f aca="false" t="array" ref="D34:D34">IFERROR(MEDIAN(IF('Deviation Log'!$T$5:$T$400=A34,'Deviation Log'!$L$5:$L$400)),NA())</f>
        <v>15</v>
      </c>
      <c r="E34" s="24" t="n">
        <f aca="false">Target</f>
        <v>30</v>
      </c>
      <c r="F34" s="15" t="n">
        <f aca="false">COUNTIFS('Deviation Log'!$B$5:$B$400,"&lt;="&amp;EOMONTH(A34,0),'Deviation Log'!$A$5:$A$400,"&lt;&gt;")-COUNTIFS('Deviation Log'!$H$5:$H$400,"&lt;="&amp;EOMONTH(A34,0))</f>
        <v>4</v>
      </c>
      <c r="G34" s="2"/>
      <c r="H34" s="2"/>
      <c r="I34" s="2"/>
      <c r="J34" s="2"/>
      <c r="K34" s="2"/>
      <c r="L34" s="2"/>
      <c r="M34" s="2"/>
    </row>
    <row r="35" customFormat="false" ht="15" hidden="false" customHeight="false" outlineLevel="0" collapsed="false">
      <c r="A35" s="22" t="n">
        <v>46113</v>
      </c>
      <c r="B35" s="15" t="n">
        <f aca="false">COUNTIF('Deviation Log'!$S$5:$S$400,A35)</f>
        <v>7</v>
      </c>
      <c r="C35" s="15" t="n">
        <f aca="false">COUNTIF('Deviation Log'!$T$5:$T$400,A35)</f>
        <v>7</v>
      </c>
      <c r="D35" s="23" t="n">
        <f aca="false" t="array" ref="D35:D35">IFERROR(MEDIAN(IF('Deviation Log'!$T$5:$T$400=A35,'Deviation Log'!$L$5:$L$400)),NA())</f>
        <v>17</v>
      </c>
      <c r="E35" s="24" t="n">
        <f aca="false">Target</f>
        <v>30</v>
      </c>
      <c r="F35" s="15" t="n">
        <f aca="false">COUNTIFS('Deviation Log'!$B$5:$B$400,"&lt;="&amp;EOMONTH(A35,0),'Deviation Log'!$A$5:$A$400,"&lt;&gt;")-COUNTIFS('Deviation Log'!$H$5:$H$400,"&lt;="&amp;EOMONTH(A35,0))</f>
        <v>4</v>
      </c>
      <c r="G35" s="2"/>
      <c r="H35" s="2"/>
      <c r="I35" s="2"/>
      <c r="J35" s="2"/>
      <c r="K35" s="2"/>
      <c r="L35" s="2"/>
      <c r="M35" s="2"/>
    </row>
    <row r="36" customFormat="false" ht="15" hidden="false" customHeight="false" outlineLevel="0" collapsed="false">
      <c r="A36" s="22" t="n">
        <v>46143</v>
      </c>
      <c r="B36" s="15" t="n">
        <f aca="false">COUNTIF('Deviation Log'!$S$5:$S$400,A36)</f>
        <v>10</v>
      </c>
      <c r="C36" s="15" t="n">
        <f aca="false">COUNTIF('Deviation Log'!$T$5:$T$400,A36)</f>
        <v>10</v>
      </c>
      <c r="D36" s="23" t="n">
        <f aca="false" t="array" ref="D36:D36">IFERROR(MEDIAN(IF('Deviation Log'!$T$5:$T$400=A36,'Deviation Log'!$L$5:$L$400)),NA())</f>
        <v>16</v>
      </c>
      <c r="E36" s="24" t="n">
        <f aca="false">Target</f>
        <v>30</v>
      </c>
      <c r="F36" s="15" t="n">
        <f aca="false">COUNTIFS('Deviation Log'!$B$5:$B$400,"&lt;="&amp;EOMONTH(A36,0),'Deviation Log'!$A$5:$A$400,"&lt;&gt;")-COUNTIFS('Deviation Log'!$H$5:$H$400,"&lt;="&amp;EOMONTH(A36,0))</f>
        <v>4</v>
      </c>
      <c r="G36" s="2"/>
      <c r="H36" s="2"/>
      <c r="I36" s="2"/>
      <c r="J36" s="2"/>
      <c r="K36" s="2"/>
      <c r="L36" s="2"/>
      <c r="M36" s="2"/>
    </row>
    <row r="37" customFormat="false" ht="15" hidden="false" customHeight="false" outlineLevel="0" collapsed="false">
      <c r="A37" s="22" t="n">
        <v>46174</v>
      </c>
      <c r="B37" s="15" t="n">
        <f aca="false">COUNTIF('Deviation Log'!$S$5:$S$400,A37)</f>
        <v>9</v>
      </c>
      <c r="C37" s="15" t="n">
        <f aca="false">COUNTIF('Deviation Log'!$T$5:$T$400,A37)</f>
        <v>3</v>
      </c>
      <c r="D37" s="23" t="n">
        <f aca="false" t="array" ref="D37:D37">IFERROR(MEDIAN(IF('Deviation Log'!$T$5:$T$400=A37,'Deviation Log'!$L$5:$L$400)),NA())</f>
        <v>37</v>
      </c>
      <c r="E37" s="24" t="n">
        <f aca="false">Target</f>
        <v>30</v>
      </c>
      <c r="F37" s="15" t="n">
        <f aca="false">COUNTIFS('Deviation Log'!$B$5:$B$400,"&lt;="&amp;EOMONTH(A37,0),'Deviation Log'!$A$5:$A$400,"&lt;&gt;")-COUNTIFS('Deviation Log'!$H$5:$H$400,"&lt;="&amp;EOMONTH(A37,0))</f>
        <v>10</v>
      </c>
      <c r="G37" s="2"/>
      <c r="H37" s="2"/>
      <c r="I37" s="2"/>
      <c r="J37" s="2"/>
      <c r="K37" s="2"/>
      <c r="L37" s="2"/>
      <c r="M37" s="2"/>
    </row>
    <row r="38" customFormat="false" ht="15" hidden="false" customHeight="false" outlineLevel="0" collapsed="false">
      <c r="A38" s="22" t="n">
        <v>46204</v>
      </c>
      <c r="B38" s="15" t="n">
        <f aca="false">COUNTIF('Deviation Log'!$S$5:$S$400,A38)</f>
        <v>11</v>
      </c>
      <c r="C38" s="15" t="n">
        <f aca="false">COUNTIF('Deviation Log'!$T$5:$T$400,A38)</f>
        <v>10</v>
      </c>
      <c r="D38" s="23" t="n">
        <f aca="false" t="array" ref="D38:D38">IFERROR(MEDIAN(IF('Deviation Log'!$T$5:$T$400=A38,'Deviation Log'!$L$5:$L$400)),NA())</f>
        <v>35.5</v>
      </c>
      <c r="E38" s="24" t="n">
        <f aca="false">Target</f>
        <v>30</v>
      </c>
      <c r="F38" s="15" t="n">
        <f aca="false">COUNTIFS('Deviation Log'!$B$5:$B$400,"&lt;="&amp;EOMONTH(A38,0),'Deviation Log'!$A$5:$A$400,"&lt;&gt;")-COUNTIFS('Deviation Log'!$H$5:$H$400,"&lt;="&amp;EOMONTH(A38,0))</f>
        <v>11</v>
      </c>
      <c r="G38" s="2"/>
      <c r="H38" s="2"/>
      <c r="I38" s="2"/>
      <c r="J38" s="2"/>
      <c r="K38" s="2"/>
      <c r="L38" s="2"/>
      <c r="M38" s="2"/>
    </row>
    <row r="39" customFormat="false" ht="15" hidden="false" customHeight="false" outlineLevel="0" collapsed="false">
      <c r="A39" s="22" t="n">
        <v>46235</v>
      </c>
      <c r="B39" s="15" t="n">
        <f aca="false">COUNTIF('Deviation Log'!$S$5:$S$400,A39)</f>
        <v>13</v>
      </c>
      <c r="C39" s="15" t="n">
        <f aca="false">COUNTIF('Deviation Log'!$T$5:$T$400,A39)</f>
        <v>6</v>
      </c>
      <c r="D39" s="23" t="n">
        <f aca="false" t="array" ref="D39:D39">IFERROR(MEDIAN(IF('Deviation Log'!$T$5:$T$400=A39,'Deviation Log'!$L$5:$L$400)),NA())</f>
        <v>35</v>
      </c>
      <c r="E39" s="24" t="n">
        <f aca="false">Target</f>
        <v>30</v>
      </c>
      <c r="F39" s="15" t="n">
        <f aca="false">COUNTIFS('Deviation Log'!$B$5:$B$400,"&lt;="&amp;EOMONTH(A39,0),'Deviation Log'!$A$5:$A$400,"&lt;&gt;")-COUNTIFS('Deviation Log'!$H$5:$H$400,"&lt;="&amp;EOMONTH(A39,0))</f>
        <v>18</v>
      </c>
      <c r="G39" s="2"/>
      <c r="H39" s="2"/>
      <c r="I39" s="2"/>
      <c r="J39" s="2"/>
      <c r="K39" s="2"/>
      <c r="L39" s="2"/>
      <c r="M39" s="2"/>
    </row>
    <row r="40" customFormat="false" ht="15" hidden="false" customHeight="false" outlineLevel="0" collapsed="false">
      <c r="A40" s="22" t="n">
        <v>46266</v>
      </c>
      <c r="B40" s="15" t="n">
        <f aca="false">COUNTIF('Deviation Log'!$S$5:$S$400,A40)</f>
        <v>7</v>
      </c>
      <c r="C40" s="15" t="n">
        <f aca="false">COUNTIF('Deviation Log'!$T$5:$T$400,A40)</f>
        <v>12</v>
      </c>
      <c r="D40" s="23" t="n">
        <f aca="false" t="array" ref="D40:D40">IFERROR(MEDIAN(IF('Deviation Log'!$T$5:$T$400=A40,'Deviation Log'!$L$5:$L$400)),NA())</f>
        <v>35.5</v>
      </c>
      <c r="E40" s="24" t="n">
        <f aca="false">Target</f>
        <v>30</v>
      </c>
      <c r="F40" s="15" t="n">
        <f aca="false">COUNTIFS('Deviation Log'!$B$5:$B$400,"&lt;="&amp;EOMONTH(A40,0),'Deviation Log'!$A$5:$A$400,"&lt;&gt;")-COUNTIFS('Deviation Log'!$H$5:$H$400,"&lt;="&amp;EOMONTH(A40,0))</f>
        <v>13</v>
      </c>
      <c r="G40" s="2"/>
      <c r="H40" s="2"/>
      <c r="I40" s="2"/>
      <c r="J40" s="2"/>
      <c r="K40" s="2"/>
      <c r="L40" s="2"/>
      <c r="M40" s="2"/>
    </row>
    <row r="41" customFormat="false" ht="15" hidden="false" customHeight="false" outlineLevel="0" collapsed="false">
      <c r="A41" s="25" t="s">
        <v>88</v>
      </c>
      <c r="B41" s="2"/>
      <c r="C41" s="2"/>
      <c r="D41" s="2"/>
      <c r="E41" s="2"/>
      <c r="F41" s="2"/>
      <c r="G41" s="2"/>
      <c r="H41" s="2"/>
      <c r="I41" s="2"/>
      <c r="J41" s="2"/>
      <c r="K41" s="2"/>
      <c r="L41" s="2"/>
      <c r="M41" s="2"/>
    </row>
    <row r="42" customFormat="false" ht="15" hidden="false" customHeight="false" outlineLevel="0" collapsed="false">
      <c r="A42" s="2"/>
      <c r="B42" s="2"/>
      <c r="C42" s="2"/>
      <c r="D42" s="2"/>
      <c r="E42" s="2"/>
      <c r="F42" s="2"/>
      <c r="G42" s="2"/>
      <c r="H42" s="2"/>
      <c r="I42" s="2"/>
      <c r="J42" s="2"/>
      <c r="K42" s="2"/>
      <c r="L42" s="2"/>
      <c r="M42" s="2"/>
    </row>
    <row r="43" customFormat="false" ht="15" hidden="false" customHeight="false" outlineLevel="0" collapsed="false">
      <c r="A43" s="2"/>
      <c r="B43" s="2"/>
      <c r="C43" s="2"/>
      <c r="D43" s="2"/>
      <c r="E43" s="2"/>
      <c r="F43" s="2"/>
      <c r="G43" s="2"/>
      <c r="H43" s="2"/>
      <c r="I43" s="2"/>
      <c r="J43" s="2"/>
      <c r="K43" s="2"/>
      <c r="L43" s="2"/>
      <c r="M43" s="2"/>
    </row>
    <row r="44" customFormat="false" ht="15" hidden="false" customHeight="false" outlineLevel="0" collapsed="false">
      <c r="A44" s="14" t="s">
        <v>89</v>
      </c>
      <c r="B44" s="2"/>
      <c r="C44" s="2"/>
      <c r="D44" s="2"/>
      <c r="E44" s="2"/>
      <c r="F44" s="2"/>
      <c r="G44" s="2"/>
      <c r="H44" s="2"/>
      <c r="I44" s="2"/>
      <c r="J44" s="2"/>
      <c r="K44" s="2"/>
      <c r="L44" s="2"/>
      <c r="M44" s="2"/>
    </row>
    <row r="45" customFormat="false" ht="30" hidden="false" customHeight="true" outlineLevel="0" collapsed="false">
      <c r="A45" s="13" t="s">
        <v>90</v>
      </c>
      <c r="B45" s="13" t="s">
        <v>91</v>
      </c>
      <c r="C45" s="13" t="s">
        <v>92</v>
      </c>
      <c r="D45" s="13" t="s">
        <v>93</v>
      </c>
      <c r="E45" s="2"/>
      <c r="F45" s="2"/>
      <c r="G45" s="2"/>
      <c r="H45" s="2"/>
      <c r="I45" s="2"/>
      <c r="J45" s="2"/>
      <c r="K45" s="2"/>
      <c r="L45" s="2"/>
      <c r="M45" s="2"/>
    </row>
    <row r="46" customFormat="false" ht="15" hidden="false" customHeight="false" outlineLevel="0" collapsed="false">
      <c r="A46" s="15" t="s">
        <v>94</v>
      </c>
      <c r="B46" s="15" t="n">
        <f aca="false">COUNTIF('Deviation Log'!$F$5:$F$400,A46)</f>
        <v>38</v>
      </c>
      <c r="C46" s="26" t="n">
        <f aca="false">IFERROR(B46/$B$5,0)</f>
        <v>0.227544910179641</v>
      </c>
      <c r="D46" s="26" t="n">
        <f aca="false">SUM($C$46:C46)</f>
        <v>0.227544910179641</v>
      </c>
      <c r="E46" s="2"/>
      <c r="F46" s="2"/>
      <c r="G46" s="2"/>
      <c r="H46" s="2"/>
      <c r="I46" s="2"/>
      <c r="J46" s="2"/>
      <c r="K46" s="2"/>
      <c r="L46" s="2"/>
      <c r="M46" s="2"/>
    </row>
    <row r="47" customFormat="false" ht="15" hidden="false" customHeight="false" outlineLevel="0" collapsed="false">
      <c r="A47" s="15" t="s">
        <v>95</v>
      </c>
      <c r="B47" s="15" t="n">
        <f aca="false">COUNTIF('Deviation Log'!$F$5:$F$400,A47)</f>
        <v>28</v>
      </c>
      <c r="C47" s="26" t="n">
        <f aca="false">IFERROR(B47/$B$5,0)</f>
        <v>0.167664670658683</v>
      </c>
      <c r="D47" s="26" t="n">
        <f aca="false">SUM($C$46:C47)</f>
        <v>0.395209580838323</v>
      </c>
      <c r="E47" s="2"/>
      <c r="F47" s="2"/>
      <c r="G47" s="2"/>
      <c r="H47" s="2"/>
      <c r="I47" s="2"/>
      <c r="J47" s="2"/>
      <c r="K47" s="2"/>
      <c r="L47" s="2"/>
      <c r="M47" s="2"/>
    </row>
    <row r="48" customFormat="false" ht="15" hidden="false" customHeight="false" outlineLevel="0" collapsed="false">
      <c r="A48" s="15" t="s">
        <v>96</v>
      </c>
      <c r="B48" s="15" t="n">
        <f aca="false">COUNTIF('Deviation Log'!$F$5:$F$400,A48)</f>
        <v>21</v>
      </c>
      <c r="C48" s="26" t="n">
        <f aca="false">IFERROR(B48/$B$5,0)</f>
        <v>0.125748502994012</v>
      </c>
      <c r="D48" s="26" t="n">
        <f aca="false">SUM($C$46:C48)</f>
        <v>0.520958083832335</v>
      </c>
      <c r="E48" s="2"/>
      <c r="F48" s="2"/>
      <c r="G48" s="2"/>
      <c r="H48" s="2"/>
      <c r="I48" s="2"/>
      <c r="J48" s="2"/>
      <c r="K48" s="2"/>
      <c r="L48" s="2"/>
      <c r="M48" s="2"/>
    </row>
    <row r="49" customFormat="false" ht="15" hidden="false" customHeight="false" outlineLevel="0" collapsed="false">
      <c r="A49" s="15" t="s">
        <v>97</v>
      </c>
      <c r="B49" s="15" t="n">
        <f aca="false">COUNTIF('Deviation Log'!$F$5:$F$400,A49)</f>
        <v>13</v>
      </c>
      <c r="C49" s="26" t="n">
        <f aca="false">IFERROR(B49/$B$5,0)</f>
        <v>0.0778443113772455</v>
      </c>
      <c r="D49" s="26" t="n">
        <f aca="false">SUM($C$46:C49)</f>
        <v>0.598802395209581</v>
      </c>
      <c r="E49" s="2"/>
      <c r="F49" s="2"/>
      <c r="G49" s="2"/>
      <c r="H49" s="2"/>
      <c r="I49" s="2"/>
      <c r="J49" s="2"/>
      <c r="K49" s="2"/>
      <c r="L49" s="2"/>
      <c r="M49" s="2"/>
    </row>
    <row r="50" customFormat="false" ht="15" hidden="false" customHeight="false" outlineLevel="0" collapsed="false">
      <c r="A50" s="15" t="s">
        <v>98</v>
      </c>
      <c r="B50" s="15" t="n">
        <f aca="false">COUNTIF('Deviation Log'!$F$5:$F$400,A50)</f>
        <v>13</v>
      </c>
      <c r="C50" s="26" t="n">
        <f aca="false">IFERROR(B50/$B$5,0)</f>
        <v>0.0778443113772455</v>
      </c>
      <c r="D50" s="26" t="n">
        <f aca="false">SUM($C$46:C50)</f>
        <v>0.676646706586826</v>
      </c>
      <c r="E50" s="2"/>
      <c r="F50" s="2"/>
      <c r="G50" s="2"/>
      <c r="H50" s="2"/>
      <c r="I50" s="2"/>
      <c r="J50" s="2"/>
      <c r="K50" s="2"/>
      <c r="L50" s="2"/>
      <c r="M50" s="2"/>
    </row>
    <row r="51" customFormat="false" ht="15" hidden="false" customHeight="false" outlineLevel="0" collapsed="false">
      <c r="A51" s="15" t="s">
        <v>99</v>
      </c>
      <c r="B51" s="15" t="n">
        <f aca="false">COUNTIF('Deviation Log'!$F$5:$F$400,A51)</f>
        <v>11</v>
      </c>
      <c r="C51" s="26" t="n">
        <f aca="false">IFERROR(B51/$B$5,0)</f>
        <v>0.0658682634730539</v>
      </c>
      <c r="D51" s="26" t="n">
        <f aca="false">SUM($C$46:C51)</f>
        <v>0.74251497005988</v>
      </c>
      <c r="E51" s="2"/>
      <c r="F51" s="2"/>
      <c r="G51" s="2"/>
      <c r="H51" s="2"/>
      <c r="I51" s="2"/>
      <c r="J51" s="2"/>
      <c r="K51" s="2"/>
      <c r="L51" s="2"/>
      <c r="M51" s="2"/>
    </row>
    <row r="52" customFormat="false" ht="15" hidden="false" customHeight="false" outlineLevel="0" collapsed="false">
      <c r="A52" s="15" t="s">
        <v>100</v>
      </c>
      <c r="B52" s="15" t="n">
        <f aca="false">COUNTIF('Deviation Log'!$F$5:$F$400,A52)</f>
        <v>8</v>
      </c>
      <c r="C52" s="26" t="n">
        <f aca="false">IFERROR(B52/$B$5,0)</f>
        <v>0.0479041916167665</v>
      </c>
      <c r="D52" s="26" t="n">
        <f aca="false">SUM($C$46:C52)</f>
        <v>0.790419161676647</v>
      </c>
      <c r="E52" s="2"/>
      <c r="F52" s="2"/>
      <c r="G52" s="2"/>
      <c r="H52" s="2"/>
      <c r="I52" s="2"/>
      <c r="J52" s="2"/>
      <c r="K52" s="2"/>
      <c r="L52" s="2"/>
      <c r="M52" s="2"/>
    </row>
    <row r="53" customFormat="false" ht="15" hidden="false" customHeight="false" outlineLevel="0" collapsed="false">
      <c r="A53" s="15" t="s">
        <v>101</v>
      </c>
      <c r="B53" s="15" t="n">
        <f aca="false">COUNTIF('Deviation Log'!$F$5:$F$400,A53)</f>
        <v>8</v>
      </c>
      <c r="C53" s="26" t="n">
        <f aca="false">IFERROR(B53/$B$5,0)</f>
        <v>0.0479041916167665</v>
      </c>
      <c r="D53" s="26" t="n">
        <f aca="false">SUM($C$46:C53)</f>
        <v>0.838323353293413</v>
      </c>
      <c r="E53" s="2"/>
      <c r="F53" s="2"/>
      <c r="G53" s="2"/>
      <c r="H53" s="2"/>
      <c r="I53" s="2"/>
      <c r="J53" s="2"/>
      <c r="K53" s="2"/>
      <c r="L53" s="2"/>
      <c r="M53" s="2"/>
    </row>
    <row r="54" customFormat="false" ht="15" hidden="false" customHeight="false" outlineLevel="0" collapsed="false">
      <c r="A54" s="15" t="s">
        <v>102</v>
      </c>
      <c r="B54" s="15" t="n">
        <f aca="false">COUNTIF('Deviation Log'!$F$5:$F$400,A54)</f>
        <v>8</v>
      </c>
      <c r="C54" s="26" t="n">
        <f aca="false">IFERROR(B54/$B$5,0)</f>
        <v>0.0479041916167665</v>
      </c>
      <c r="D54" s="26" t="n">
        <f aca="false">SUM($C$46:C54)</f>
        <v>0.88622754491018</v>
      </c>
      <c r="E54" s="2"/>
      <c r="F54" s="2"/>
      <c r="G54" s="2"/>
      <c r="H54" s="2"/>
      <c r="I54" s="2"/>
      <c r="J54" s="2"/>
      <c r="K54" s="2"/>
      <c r="L54" s="2"/>
      <c r="M54" s="2"/>
    </row>
    <row r="55" customFormat="false" ht="15" hidden="false" customHeight="false" outlineLevel="0" collapsed="false">
      <c r="A55" s="15" t="s">
        <v>103</v>
      </c>
      <c r="B55" s="15" t="n">
        <f aca="false">COUNTIF('Deviation Log'!$F$5:$F$400,A55)</f>
        <v>7</v>
      </c>
      <c r="C55" s="26" t="n">
        <f aca="false">IFERROR(B55/$B$5,0)</f>
        <v>0.0419161676646707</v>
      </c>
      <c r="D55" s="26" t="n">
        <f aca="false">SUM($C$46:C55)</f>
        <v>0.92814371257485</v>
      </c>
      <c r="E55" s="2"/>
      <c r="F55" s="2"/>
      <c r="G55" s="2"/>
      <c r="H55" s="2"/>
      <c r="I55" s="2"/>
      <c r="J55" s="2"/>
      <c r="K55" s="2"/>
      <c r="L55" s="2"/>
      <c r="M55" s="2"/>
    </row>
    <row r="56" customFormat="false" ht="15" hidden="false" customHeight="false" outlineLevel="0" collapsed="false">
      <c r="A56" s="15" t="s">
        <v>104</v>
      </c>
      <c r="B56" s="15" t="n">
        <f aca="false">COUNTIF('Deviation Log'!$F$5:$F$400,A56)</f>
        <v>6</v>
      </c>
      <c r="C56" s="26" t="n">
        <f aca="false">IFERROR(B56/$B$5,0)</f>
        <v>0.0359281437125749</v>
      </c>
      <c r="D56" s="26" t="n">
        <f aca="false">SUM($C$46:C56)</f>
        <v>0.964071856287425</v>
      </c>
      <c r="E56" s="2"/>
      <c r="F56" s="2"/>
      <c r="G56" s="2"/>
      <c r="H56" s="2"/>
      <c r="I56" s="2"/>
      <c r="J56" s="2"/>
      <c r="K56" s="2"/>
      <c r="L56" s="2"/>
      <c r="M56" s="2"/>
    </row>
    <row r="57" customFormat="false" ht="15" hidden="false" customHeight="false" outlineLevel="0" collapsed="false">
      <c r="A57" s="15" t="s">
        <v>105</v>
      </c>
      <c r="B57" s="15" t="n">
        <f aca="false">COUNTIF('Deviation Log'!$F$5:$F$400,A57)</f>
        <v>6</v>
      </c>
      <c r="C57" s="26" t="n">
        <f aca="false">IFERROR(B57/$B$5,0)</f>
        <v>0.0359281437125749</v>
      </c>
      <c r="D57" s="26" t="n">
        <f aca="false">SUM($C$46:C57)</f>
        <v>1</v>
      </c>
      <c r="E57" s="2"/>
      <c r="F57" s="2"/>
      <c r="G57" s="2"/>
      <c r="H57" s="2"/>
      <c r="I57" s="2"/>
      <c r="J57" s="2"/>
      <c r="K57" s="2"/>
      <c r="L57" s="2"/>
      <c r="M57" s="2"/>
    </row>
    <row r="58" customFormat="false" ht="15" hidden="false" customHeight="false" outlineLevel="0" collapsed="false">
      <c r="A58" s="25" t="s">
        <v>106</v>
      </c>
      <c r="B58" s="2"/>
      <c r="C58" s="2"/>
      <c r="D58" s="2"/>
      <c r="E58" s="2"/>
      <c r="F58" s="2"/>
      <c r="G58" s="2"/>
      <c r="H58" s="2"/>
      <c r="I58" s="2"/>
      <c r="J58" s="2"/>
      <c r="K58" s="2"/>
      <c r="L58" s="2"/>
      <c r="M58" s="2"/>
    </row>
  </sheetData>
  <conditionalFormatting sqref="B7">
    <cfRule type="cellIs" priority="2" operator="greaterThan" aboveAverage="0" equalAverage="0" bottom="0" percent="0" rank="0" text="" dxfId="0">
      <formula>0</formula>
    </cfRule>
  </conditionalFormatting>
  <conditionalFormatting sqref="B9">
    <cfRule type="cellIs" priority="3" operator="greaterThan" aboveAverage="0" equalAverage="0" bottom="0" percent="0" rank="0" text="" dxfId="0">
      <formula>Target</formula>
    </cfRule>
  </conditionalFormatting>
  <conditionalFormatting sqref="B16">
    <cfRule type="cellIs" priority="4" operator="greaterThan" aboveAverage="0" equalAverage="0" bottom="0" percent="0" rank="0" text="" dxfId="0">
      <formula>0</formula>
    </cfRule>
  </conditionalFormatting>
  <conditionalFormatting sqref="J6:L8">
    <cfRule type="cellIs" priority="5" operator="greater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3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5</v>
      </c>
      <c r="B1" s="2"/>
      <c r="C1" s="2"/>
      <c r="D1" s="2"/>
      <c r="E1" s="2"/>
    </row>
    <row r="2" customFormat="false" ht="15" hidden="false" customHeight="false" outlineLevel="0" collapsed="false">
      <c r="A2" s="3" t="s">
        <v>107</v>
      </c>
      <c r="B2" s="2"/>
      <c r="C2" s="2"/>
      <c r="D2" s="2"/>
      <c r="E2" s="2"/>
    </row>
    <row r="3" customFormat="false" ht="15" hidden="false" customHeight="false" outlineLevel="0" collapsed="false">
      <c r="A3" s="2"/>
      <c r="B3" s="2"/>
      <c r="C3" s="2"/>
      <c r="D3" s="2"/>
      <c r="E3" s="2"/>
    </row>
    <row r="4" customFormat="false" ht="30" hidden="false" customHeight="true" outlineLevel="0" collapsed="false">
      <c r="A4" s="2"/>
      <c r="B4" s="13" t="s">
        <v>108</v>
      </c>
      <c r="C4" s="13" t="s">
        <v>47</v>
      </c>
      <c r="D4" s="2"/>
      <c r="E4" s="2"/>
    </row>
    <row r="5" customFormat="false" ht="15" hidden="false" customHeight="false" outlineLevel="0" collapsed="false">
      <c r="A5" s="2"/>
      <c r="B5" s="27" t="s">
        <v>109</v>
      </c>
      <c r="C5" s="28" t="n">
        <v>46295</v>
      </c>
      <c r="D5" s="12" t="s">
        <v>110</v>
      </c>
      <c r="E5" s="2"/>
    </row>
    <row r="6" customFormat="false" ht="15" hidden="false" customHeight="false" outlineLevel="0" collapsed="false">
      <c r="A6" s="2"/>
      <c r="B6" s="27" t="s">
        <v>111</v>
      </c>
      <c r="C6" s="29" t="n">
        <v>30</v>
      </c>
      <c r="D6" s="12" t="s">
        <v>112</v>
      </c>
      <c r="E6" s="2"/>
    </row>
    <row r="7" customFormat="false" ht="15" hidden="false" customHeight="false" outlineLevel="0" collapsed="false">
      <c r="A7" s="2"/>
      <c r="B7" s="27" t="s">
        <v>113</v>
      </c>
      <c r="C7" s="29" t="n">
        <v>20</v>
      </c>
      <c r="D7" s="12" t="s">
        <v>114</v>
      </c>
      <c r="E7" s="2"/>
    </row>
    <row r="8" customFormat="false" ht="15" hidden="false" customHeight="false" outlineLevel="0" collapsed="false">
      <c r="A8" s="2"/>
      <c r="B8" s="27" t="s">
        <v>115</v>
      </c>
      <c r="C8" s="29" t="n">
        <v>90</v>
      </c>
      <c r="D8" s="12" t="s">
        <v>116</v>
      </c>
      <c r="E8" s="2"/>
    </row>
    <row r="9" customFormat="false" ht="15" hidden="false" customHeight="false" outlineLevel="0" collapsed="false">
      <c r="A9" s="2"/>
      <c r="B9" s="27" t="s">
        <v>117</v>
      </c>
      <c r="C9" s="29" t="n">
        <v>180</v>
      </c>
      <c r="D9" s="12" t="s">
        <v>118</v>
      </c>
      <c r="E9" s="2"/>
    </row>
    <row r="10" customFormat="false" ht="15" hidden="false" customHeight="false" outlineLevel="0" collapsed="false">
      <c r="A10" s="2"/>
      <c r="B10" s="27" t="s">
        <v>119</v>
      </c>
      <c r="C10" s="29" t="n">
        <v>180</v>
      </c>
      <c r="D10" s="12" t="s">
        <v>120</v>
      </c>
      <c r="E10" s="2"/>
    </row>
    <row r="11" customFormat="false" ht="15" hidden="false" customHeight="false" outlineLevel="0" collapsed="false">
      <c r="A11" s="2"/>
      <c r="B11" s="2"/>
      <c r="C11" s="2"/>
      <c r="D11" s="2"/>
      <c r="E11" s="2"/>
    </row>
    <row r="12" customFormat="false" ht="15" hidden="false" customHeight="false" outlineLevel="0" collapsed="false">
      <c r="A12" s="2"/>
      <c r="B12" s="30" t="s">
        <v>121</v>
      </c>
      <c r="C12" s="2"/>
      <c r="D12" s="2"/>
      <c r="E12" s="2"/>
    </row>
    <row r="13" customFormat="false" ht="15" hidden="false" customHeight="false" outlineLevel="0" collapsed="false">
      <c r="A13" s="2"/>
      <c r="B13" s="31" t="s">
        <v>122</v>
      </c>
      <c r="C13" s="31" t="s">
        <v>123</v>
      </c>
      <c r="D13" s="31" t="s">
        <v>124</v>
      </c>
      <c r="E13" s="31" t="s">
        <v>125</v>
      </c>
    </row>
    <row r="14" customFormat="false" ht="15" hidden="false" customHeight="false" outlineLevel="0" collapsed="false">
      <c r="A14" s="2"/>
      <c r="B14" s="32" t="s">
        <v>73</v>
      </c>
      <c r="C14" s="32" t="s">
        <v>61</v>
      </c>
      <c r="D14" s="32" t="s">
        <v>99</v>
      </c>
      <c r="E14" s="32" t="s">
        <v>126</v>
      </c>
    </row>
    <row r="15" customFormat="false" ht="15" hidden="false" customHeight="false" outlineLevel="0" collapsed="false">
      <c r="A15" s="2"/>
      <c r="B15" s="32" t="s">
        <v>75</v>
      </c>
      <c r="C15" s="32" t="s">
        <v>59</v>
      </c>
      <c r="D15" s="32" t="s">
        <v>100</v>
      </c>
      <c r="E15" s="32" t="s">
        <v>127</v>
      </c>
    </row>
    <row r="16" customFormat="false" ht="15" hidden="false" customHeight="false" outlineLevel="0" collapsed="false">
      <c r="A16" s="2"/>
      <c r="B16" s="32" t="s">
        <v>77</v>
      </c>
      <c r="C16" s="32" t="s">
        <v>57</v>
      </c>
      <c r="D16" s="32" t="s">
        <v>95</v>
      </c>
      <c r="E16" s="32" t="s">
        <v>128</v>
      </c>
    </row>
    <row r="17" customFormat="false" ht="15" hidden="false" customHeight="false" outlineLevel="0" collapsed="false">
      <c r="A17" s="2"/>
      <c r="B17" s="32" t="s">
        <v>79</v>
      </c>
      <c r="C17" s="2"/>
      <c r="D17" s="32" t="s">
        <v>94</v>
      </c>
      <c r="E17" s="32" t="s">
        <v>129</v>
      </c>
    </row>
    <row r="18" customFormat="false" ht="15" hidden="false" customHeight="false" outlineLevel="0" collapsed="false">
      <c r="A18" s="2"/>
      <c r="B18" s="32" t="s">
        <v>80</v>
      </c>
      <c r="C18" s="2"/>
      <c r="D18" s="32" t="s">
        <v>103</v>
      </c>
      <c r="E18" s="32" t="s">
        <v>130</v>
      </c>
    </row>
    <row r="19" customFormat="false" ht="15" hidden="false" customHeight="false" outlineLevel="0" collapsed="false">
      <c r="A19" s="2"/>
      <c r="B19" s="32" t="s">
        <v>81</v>
      </c>
      <c r="C19" s="2"/>
      <c r="D19" s="32" t="s">
        <v>102</v>
      </c>
      <c r="E19" s="32" t="s">
        <v>131</v>
      </c>
    </row>
    <row r="20" customFormat="false" ht="15" hidden="false" customHeight="false" outlineLevel="0" collapsed="false">
      <c r="A20" s="2"/>
      <c r="B20" s="2"/>
      <c r="C20" s="2"/>
      <c r="D20" s="32" t="s">
        <v>104</v>
      </c>
      <c r="E20" s="32" t="s">
        <v>132</v>
      </c>
    </row>
    <row r="21" customFormat="false" ht="15" hidden="false" customHeight="false" outlineLevel="0" collapsed="false">
      <c r="A21" s="2"/>
      <c r="B21" s="2"/>
      <c r="C21" s="2"/>
      <c r="D21" s="32" t="s">
        <v>96</v>
      </c>
      <c r="E21" s="2"/>
    </row>
    <row r="22" customFormat="false" ht="15" hidden="false" customHeight="false" outlineLevel="0" collapsed="false">
      <c r="A22" s="2"/>
      <c r="B22" s="2"/>
      <c r="C22" s="2"/>
      <c r="D22" s="32" t="s">
        <v>101</v>
      </c>
      <c r="E22" s="2"/>
    </row>
    <row r="23" customFormat="false" ht="15" hidden="false" customHeight="false" outlineLevel="0" collapsed="false">
      <c r="A23" s="2"/>
      <c r="B23" s="2"/>
      <c r="C23" s="2"/>
      <c r="D23" s="32" t="s">
        <v>98</v>
      </c>
      <c r="E23" s="2"/>
    </row>
    <row r="24" customFormat="false" ht="15" hidden="false" customHeight="false" outlineLevel="0" collapsed="false">
      <c r="A24" s="2"/>
      <c r="B24" s="2"/>
      <c r="C24" s="2"/>
      <c r="D24" s="32" t="s">
        <v>105</v>
      </c>
      <c r="E24" s="2"/>
    </row>
    <row r="25" customFormat="false" ht="15" hidden="false" customHeight="false" outlineLevel="0" collapsed="false">
      <c r="A25" s="2"/>
      <c r="B25" s="2"/>
      <c r="C25" s="2"/>
      <c r="D25" s="32" t="s">
        <v>97</v>
      </c>
      <c r="E25" s="2"/>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4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1"/>
    <col collapsed="false" customWidth="true" hidden="false" outlineLevel="0" max="3" min="3" style="0" width="16"/>
    <col collapsed="false" customWidth="true" hidden="false" outlineLevel="0" max="4" min="4" style="0" width="24"/>
    <col collapsed="false" customWidth="true" hidden="false" outlineLevel="0" max="5" min="5" style="0" width="9"/>
    <col collapsed="false" customWidth="true" hidden="false" outlineLevel="0" max="6" min="6" style="0" width="27"/>
    <col collapsed="false" customWidth="true" hidden="false" outlineLevel="0" max="8" min="7" style="0" width="11"/>
    <col collapsed="false" customWidth="true" hidden="false" outlineLevel="0" max="9" min="9" style="0" width="10"/>
    <col collapsed="false" customWidth="true" hidden="false" outlineLevel="0" max="10" min="10" style="0" width="11"/>
    <col collapsed="false" customWidth="true" hidden="false" outlineLevel="0" max="13" min="11" style="0" width="8"/>
    <col collapsed="false" customWidth="true" hidden="false" outlineLevel="0" max="14" min="14" style="0" width="9"/>
    <col collapsed="false" customWidth="true" hidden="false" outlineLevel="0" max="15" min="15" style="0" width="7"/>
    <col collapsed="false" customWidth="true" hidden="false" outlineLevel="0" max="16" min="16" style="0" width="11"/>
    <col collapsed="false" customWidth="true" hidden="false" outlineLevel="0" max="18" min="17" style="0" width="13"/>
    <col collapsed="false" customWidth="true" hidden="false" outlineLevel="0" max="20" min="19" style="0" width="9"/>
    <col collapsed="false" customWidth="true" hidden="false" outlineLevel="0" max="22" min="21" style="0" width="10"/>
  </cols>
  <sheetData>
    <row r="1" customFormat="false" ht="19.7" hidden="false" customHeight="false" outlineLevel="0" collapsed="false">
      <c r="A1" s="1" t="s">
        <v>7</v>
      </c>
      <c r="B1" s="2"/>
      <c r="C1" s="2"/>
      <c r="D1" s="2"/>
      <c r="E1" s="2"/>
      <c r="F1" s="2"/>
      <c r="G1" s="2"/>
      <c r="H1" s="2"/>
      <c r="I1" s="2"/>
      <c r="J1" s="2"/>
      <c r="K1" s="2"/>
      <c r="L1" s="2"/>
      <c r="M1" s="2"/>
      <c r="N1" s="2"/>
      <c r="O1" s="2"/>
      <c r="P1" s="2"/>
      <c r="Q1" s="2"/>
      <c r="R1" s="2"/>
      <c r="S1" s="2"/>
      <c r="T1" s="2"/>
      <c r="U1" s="2"/>
      <c r="V1" s="2"/>
    </row>
    <row r="2" customFormat="false" ht="15" hidden="false" customHeight="false" outlineLevel="0" collapsed="false">
      <c r="A2" s="3" t="s">
        <v>133</v>
      </c>
      <c r="B2" s="2"/>
      <c r="C2" s="2"/>
      <c r="D2" s="2"/>
      <c r="E2" s="2"/>
      <c r="F2" s="2"/>
      <c r="G2" s="2"/>
      <c r="H2" s="2"/>
      <c r="I2" s="2"/>
      <c r="J2" s="2"/>
      <c r="K2" s="2"/>
      <c r="L2" s="2"/>
      <c r="M2" s="2"/>
      <c r="N2" s="2"/>
      <c r="O2" s="2"/>
      <c r="P2" s="2"/>
      <c r="Q2" s="2"/>
      <c r="R2" s="2"/>
      <c r="S2" s="2"/>
      <c r="T2" s="2"/>
      <c r="U2" s="2"/>
      <c r="V2" s="2"/>
    </row>
    <row r="3" customFormat="false" ht="15" hidden="false" customHeight="false" outlineLevel="0" collapsed="false">
      <c r="A3" s="2"/>
      <c r="B3" s="2"/>
      <c r="C3" s="2"/>
      <c r="D3" s="2"/>
      <c r="E3" s="2"/>
      <c r="F3" s="2"/>
      <c r="G3" s="2"/>
      <c r="H3" s="2"/>
      <c r="I3" s="2"/>
      <c r="J3" s="2"/>
      <c r="K3" s="2"/>
      <c r="L3" s="2"/>
      <c r="M3" s="2"/>
      <c r="N3" s="2"/>
      <c r="O3" s="2"/>
      <c r="P3" s="2"/>
      <c r="Q3" s="2"/>
      <c r="R3" s="2"/>
      <c r="S3" s="2"/>
      <c r="T3" s="2"/>
      <c r="U3" s="2"/>
      <c r="V3" s="2"/>
    </row>
    <row r="4" customFormat="false" ht="30" hidden="false" customHeight="true" outlineLevel="0" collapsed="false">
      <c r="A4" s="13" t="s">
        <v>134</v>
      </c>
      <c r="B4" s="13" t="s">
        <v>84</v>
      </c>
      <c r="C4" s="13" t="s">
        <v>69</v>
      </c>
      <c r="D4" s="13" t="s">
        <v>135</v>
      </c>
      <c r="E4" s="13" t="s">
        <v>50</v>
      </c>
      <c r="F4" s="13" t="s">
        <v>90</v>
      </c>
      <c r="G4" s="13" t="s">
        <v>136</v>
      </c>
      <c r="H4" s="13" t="s">
        <v>85</v>
      </c>
      <c r="I4" s="13" t="s">
        <v>137</v>
      </c>
      <c r="J4" s="13" t="s">
        <v>138</v>
      </c>
      <c r="K4" s="33" t="s">
        <v>139</v>
      </c>
      <c r="L4" s="33" t="s">
        <v>140</v>
      </c>
      <c r="M4" s="33" t="s">
        <v>36</v>
      </c>
      <c r="N4" s="33" t="s">
        <v>141</v>
      </c>
      <c r="O4" s="33" t="s">
        <v>38</v>
      </c>
      <c r="P4" s="33" t="s">
        <v>142</v>
      </c>
      <c r="Q4" s="33" t="s">
        <v>143</v>
      </c>
      <c r="R4" s="33" t="s">
        <v>40</v>
      </c>
      <c r="S4" s="33" t="s">
        <v>144</v>
      </c>
      <c r="T4" s="33" t="s">
        <v>145</v>
      </c>
      <c r="U4" s="33" t="s">
        <v>146</v>
      </c>
      <c r="V4" s="33" t="s">
        <v>147</v>
      </c>
    </row>
    <row r="5" customFormat="false" ht="15" hidden="false" customHeight="false" outlineLevel="0" collapsed="false">
      <c r="A5" s="32" t="s">
        <v>148</v>
      </c>
      <c r="B5" s="34" t="n">
        <v>45748</v>
      </c>
      <c r="C5" s="32" t="s">
        <v>73</v>
      </c>
      <c r="D5" s="32" t="s">
        <v>149</v>
      </c>
      <c r="E5" s="32" t="s">
        <v>61</v>
      </c>
      <c r="F5" s="32" t="s">
        <v>94</v>
      </c>
      <c r="G5" s="32" t="s">
        <v>128</v>
      </c>
      <c r="H5" s="34" t="n">
        <v>45772</v>
      </c>
      <c r="I5" s="32"/>
      <c r="J5" s="34"/>
      <c r="K5" s="27" t="str">
        <f aca="false">IF(A5="","",IF(H5="","Open","Closed"))</f>
        <v>Closed</v>
      </c>
      <c r="L5" s="27" t="n">
        <f aca="false">IF(A5="","",IF(H5="",AsOf-B5,H5-B5))</f>
        <v>24</v>
      </c>
      <c r="M5" s="27" t="str">
        <f aca="false">IF(A5="","",IF(AND(K5="Open",L5&gt;Target),"Yes","No"))</f>
        <v>No</v>
      </c>
      <c r="N5" s="27" t="str">
        <f aca="false">IF(K5&lt;&gt;"Open","",IF(L5&lt;=30,"0-30",IF(L5&lt;=60,"31-60",IF(L5&lt;=90,"61-90","90+"))))</f>
        <v/>
      </c>
      <c r="O5" s="27" t="str">
        <f aca="false">IF(A5="","",IF(COUNTIFS($D$5:$D$400,D5,$F$5:$F$400,F5,$B$5:$B$400,"&gt;="&amp;(B5-RepeatWin),$B$5:$B$400,"&lt;"&amp;B5)&gt;0,"Yes","No"))</f>
        <v>No</v>
      </c>
      <c r="P5" s="35" t="str">
        <f aca="false">IF(OR(I5="",H5=""),"",H5+CapaDue)</f>
        <v/>
      </c>
      <c r="Q5" s="27" t="str">
        <f aca="false">IF(A5="","",IF(I5="","Not required",IF(J5&lt;&gt;"","Closed",IF(H5="","Awaiting dev. close",IF(AsOf&gt;P5,"Overdue","Open")))))</f>
        <v>Not required</v>
      </c>
      <c r="R5" s="27" t="str">
        <f aca="false">IF(J5="","",IF(COUNTIFS($D$5:$D$400,D5,$F$5:$F$400,F5,$B$5:$B$400,"&gt;"&amp;J5,$B$5:$B$400,"&lt;="&amp;(J5+EffWin))&gt;0,"Ineffective",IF(AsOf-J5&gt;=EffWin,"Effective","Check pending")))</f>
        <v/>
      </c>
      <c r="S5" s="36" t="n">
        <f aca="false">IF(A5="","",DATE(YEAR(B5),MONTH(B5),1))</f>
        <v>45748</v>
      </c>
      <c r="T5" s="36" t="n">
        <f aca="false">IF(H5="","",DATE(YEAR(H5),MONTH(H5),1))</f>
        <v>45748</v>
      </c>
      <c r="U5" s="27" t="str">
        <f aca="false">IF(H5="","",IF(AsOf-H5&lt;=90,L5,""))</f>
        <v/>
      </c>
      <c r="V5" s="27" t="str">
        <f aca="false">IF(H5="","",IF(AND(AsOf-H5&gt;90,AsOf-H5&lt;=270),L5,""))</f>
        <v/>
      </c>
    </row>
    <row r="6" customFormat="false" ht="15" hidden="false" customHeight="false" outlineLevel="0" collapsed="false">
      <c r="A6" s="32" t="s">
        <v>150</v>
      </c>
      <c r="B6" s="34" t="n">
        <v>45752</v>
      </c>
      <c r="C6" s="32" t="s">
        <v>79</v>
      </c>
      <c r="D6" s="32" t="s">
        <v>151</v>
      </c>
      <c r="E6" s="32" t="s">
        <v>61</v>
      </c>
      <c r="F6" s="32" t="s">
        <v>94</v>
      </c>
      <c r="G6" s="32" t="s">
        <v>129</v>
      </c>
      <c r="H6" s="34" t="n">
        <v>45772</v>
      </c>
      <c r="I6" s="32"/>
      <c r="J6" s="34"/>
      <c r="K6" s="27" t="str">
        <f aca="false">IF(A6="","",IF(H6="","Open","Closed"))</f>
        <v>Closed</v>
      </c>
      <c r="L6" s="27" t="n">
        <f aca="false">IF(A6="","",IF(H6="",AsOf-B6,H6-B6))</f>
        <v>20</v>
      </c>
      <c r="M6" s="27" t="str">
        <f aca="false">IF(A6="","",IF(AND(K6="Open",L6&gt;Target),"Yes","No"))</f>
        <v>No</v>
      </c>
      <c r="N6" s="27" t="str">
        <f aca="false">IF(K6&lt;&gt;"Open","",IF(L6&lt;=30,"0-30",IF(L6&lt;=60,"31-60",IF(L6&lt;=90,"61-90","90+"))))</f>
        <v/>
      </c>
      <c r="O6" s="27" t="str">
        <f aca="false">IF(A6="","",IF(COUNTIFS($D$5:$D$400,D6,$F$5:$F$400,F6,$B$5:$B$400,"&gt;="&amp;(B6-RepeatWin),$B$5:$B$400,"&lt;"&amp;B6)&gt;0,"Yes","No"))</f>
        <v>No</v>
      </c>
      <c r="P6" s="35" t="str">
        <f aca="false">IF(OR(I6="",H6=""),"",H6+CapaDue)</f>
        <v/>
      </c>
      <c r="Q6" s="27" t="str">
        <f aca="false">IF(A6="","",IF(I6="","Not required",IF(J6&lt;&gt;"","Closed",IF(H6="","Awaiting dev. close",IF(AsOf&gt;P6,"Overdue","Open")))))</f>
        <v>Not required</v>
      </c>
      <c r="R6" s="27" t="str">
        <f aca="false">IF(J6="","",IF(COUNTIFS($D$5:$D$400,D6,$F$5:$F$400,F6,$B$5:$B$400,"&gt;"&amp;J6,$B$5:$B$400,"&lt;="&amp;(J6+EffWin))&gt;0,"Ineffective",IF(AsOf-J6&gt;=EffWin,"Effective","Check pending")))</f>
        <v/>
      </c>
      <c r="S6" s="36" t="n">
        <f aca="false">IF(A6="","",DATE(YEAR(B6),MONTH(B6),1))</f>
        <v>45748</v>
      </c>
      <c r="T6" s="36" t="n">
        <f aca="false">IF(H6="","",DATE(YEAR(H6),MONTH(H6),1))</f>
        <v>45748</v>
      </c>
      <c r="U6" s="27" t="str">
        <f aca="false">IF(H6="","",IF(AsOf-H6&lt;=90,L6,""))</f>
        <v/>
      </c>
      <c r="V6" s="27" t="str">
        <f aca="false">IF(H6="","",IF(AND(AsOf-H6&gt;90,AsOf-H6&lt;=270),L6,""))</f>
        <v/>
      </c>
    </row>
    <row r="7" customFormat="false" ht="15" hidden="false" customHeight="false" outlineLevel="0" collapsed="false">
      <c r="A7" s="32" t="s">
        <v>152</v>
      </c>
      <c r="B7" s="34" t="n">
        <v>45757</v>
      </c>
      <c r="C7" s="32" t="s">
        <v>75</v>
      </c>
      <c r="D7" s="32" t="s">
        <v>153</v>
      </c>
      <c r="E7" s="32" t="s">
        <v>61</v>
      </c>
      <c r="F7" s="32" t="s">
        <v>95</v>
      </c>
      <c r="G7" s="32" t="s">
        <v>132</v>
      </c>
      <c r="H7" s="34" t="n">
        <v>45770</v>
      </c>
      <c r="I7" s="32"/>
      <c r="J7" s="34"/>
      <c r="K7" s="27" t="str">
        <f aca="false">IF(A7="","",IF(H7="","Open","Closed"))</f>
        <v>Closed</v>
      </c>
      <c r="L7" s="27" t="n">
        <f aca="false">IF(A7="","",IF(H7="",AsOf-B7,H7-B7))</f>
        <v>13</v>
      </c>
      <c r="M7" s="27" t="str">
        <f aca="false">IF(A7="","",IF(AND(K7="Open",L7&gt;Target),"Yes","No"))</f>
        <v>No</v>
      </c>
      <c r="N7" s="27" t="str">
        <f aca="false">IF(K7&lt;&gt;"Open","",IF(L7&lt;=30,"0-30",IF(L7&lt;=60,"31-60",IF(L7&lt;=90,"61-90","90+"))))</f>
        <v/>
      </c>
      <c r="O7" s="27" t="str">
        <f aca="false">IF(A7="","",IF(COUNTIFS($D$5:$D$400,D7,$F$5:$F$400,F7,$B$5:$B$400,"&gt;="&amp;(B7-RepeatWin),$B$5:$B$400,"&lt;"&amp;B7)&gt;0,"Yes","No"))</f>
        <v>No</v>
      </c>
      <c r="P7" s="35" t="str">
        <f aca="false">IF(OR(I7="",H7=""),"",H7+CapaDue)</f>
        <v/>
      </c>
      <c r="Q7" s="27" t="str">
        <f aca="false">IF(A7="","",IF(I7="","Not required",IF(J7&lt;&gt;"","Closed",IF(H7="","Awaiting dev. close",IF(AsOf&gt;P7,"Overdue","Open")))))</f>
        <v>Not required</v>
      </c>
      <c r="R7" s="27" t="str">
        <f aca="false">IF(J7="","",IF(COUNTIFS($D$5:$D$400,D7,$F$5:$F$400,F7,$B$5:$B$400,"&gt;"&amp;J7,$B$5:$B$400,"&lt;="&amp;(J7+EffWin))&gt;0,"Ineffective",IF(AsOf-J7&gt;=EffWin,"Effective","Check pending")))</f>
        <v/>
      </c>
      <c r="S7" s="36" t="n">
        <f aca="false">IF(A7="","",DATE(YEAR(B7),MONTH(B7),1))</f>
        <v>45748</v>
      </c>
      <c r="T7" s="36" t="n">
        <f aca="false">IF(H7="","",DATE(YEAR(H7),MONTH(H7),1))</f>
        <v>45748</v>
      </c>
      <c r="U7" s="27" t="str">
        <f aca="false">IF(H7="","",IF(AsOf-H7&lt;=90,L7,""))</f>
        <v/>
      </c>
      <c r="V7" s="27" t="str">
        <f aca="false">IF(H7="","",IF(AND(AsOf-H7&gt;90,AsOf-H7&lt;=270),L7,""))</f>
        <v/>
      </c>
    </row>
    <row r="8" customFormat="false" ht="15" hidden="false" customHeight="false" outlineLevel="0" collapsed="false">
      <c r="A8" s="32" t="s">
        <v>154</v>
      </c>
      <c r="B8" s="34" t="n">
        <v>45758</v>
      </c>
      <c r="C8" s="32" t="s">
        <v>81</v>
      </c>
      <c r="D8" s="32" t="s">
        <v>155</v>
      </c>
      <c r="E8" s="32" t="s">
        <v>61</v>
      </c>
      <c r="F8" s="32" t="s">
        <v>104</v>
      </c>
      <c r="G8" s="32" t="s">
        <v>132</v>
      </c>
      <c r="H8" s="34" t="n">
        <v>45783</v>
      </c>
      <c r="I8" s="32"/>
      <c r="J8" s="34"/>
      <c r="K8" s="27" t="str">
        <f aca="false">IF(A8="","",IF(H8="","Open","Closed"))</f>
        <v>Closed</v>
      </c>
      <c r="L8" s="27" t="n">
        <f aca="false">IF(A8="","",IF(H8="",AsOf-B8,H8-B8))</f>
        <v>25</v>
      </c>
      <c r="M8" s="27" t="str">
        <f aca="false">IF(A8="","",IF(AND(K8="Open",L8&gt;Target),"Yes","No"))</f>
        <v>No</v>
      </c>
      <c r="N8" s="27" t="str">
        <f aca="false">IF(K8&lt;&gt;"Open","",IF(L8&lt;=30,"0-30",IF(L8&lt;=60,"31-60",IF(L8&lt;=90,"61-90","90+"))))</f>
        <v/>
      </c>
      <c r="O8" s="27" t="str">
        <f aca="false">IF(A8="","",IF(COUNTIFS($D$5:$D$400,D8,$F$5:$F$400,F8,$B$5:$B$400,"&gt;="&amp;(B8-RepeatWin),$B$5:$B$400,"&lt;"&amp;B8)&gt;0,"Yes","No"))</f>
        <v>No</v>
      </c>
      <c r="P8" s="35" t="str">
        <f aca="false">IF(OR(I8="",H8=""),"",H8+CapaDue)</f>
        <v/>
      </c>
      <c r="Q8" s="27" t="str">
        <f aca="false">IF(A8="","",IF(I8="","Not required",IF(J8&lt;&gt;"","Closed",IF(H8="","Awaiting dev. close",IF(AsOf&gt;P8,"Overdue","Open")))))</f>
        <v>Not required</v>
      </c>
      <c r="R8" s="27" t="str">
        <f aca="false">IF(J8="","",IF(COUNTIFS($D$5:$D$400,D8,$F$5:$F$400,F8,$B$5:$B$400,"&gt;"&amp;J8,$B$5:$B$400,"&lt;="&amp;(J8+EffWin))&gt;0,"Ineffective",IF(AsOf-J8&gt;=EffWin,"Effective","Check pending")))</f>
        <v/>
      </c>
      <c r="S8" s="36" t="n">
        <f aca="false">IF(A8="","",DATE(YEAR(B8),MONTH(B8),1))</f>
        <v>45748</v>
      </c>
      <c r="T8" s="36" t="n">
        <f aca="false">IF(H8="","",DATE(YEAR(H8),MONTH(H8),1))</f>
        <v>45778</v>
      </c>
      <c r="U8" s="27" t="str">
        <f aca="false">IF(H8="","",IF(AsOf-H8&lt;=90,L8,""))</f>
        <v/>
      </c>
      <c r="V8" s="27" t="str">
        <f aca="false">IF(H8="","",IF(AND(AsOf-H8&gt;90,AsOf-H8&lt;=270),L8,""))</f>
        <v/>
      </c>
    </row>
    <row r="9" customFormat="false" ht="15" hidden="false" customHeight="false" outlineLevel="0" collapsed="false">
      <c r="A9" s="32" t="s">
        <v>156</v>
      </c>
      <c r="B9" s="34" t="n">
        <v>45762</v>
      </c>
      <c r="C9" s="32" t="s">
        <v>79</v>
      </c>
      <c r="D9" s="32" t="s">
        <v>151</v>
      </c>
      <c r="E9" s="32" t="s">
        <v>61</v>
      </c>
      <c r="F9" s="32" t="s">
        <v>97</v>
      </c>
      <c r="G9" s="32" t="s">
        <v>126</v>
      </c>
      <c r="H9" s="34" t="n">
        <v>45783</v>
      </c>
      <c r="I9" s="32"/>
      <c r="J9" s="34"/>
      <c r="K9" s="27" t="str">
        <f aca="false">IF(A9="","",IF(H9="","Open","Closed"))</f>
        <v>Closed</v>
      </c>
      <c r="L9" s="27" t="n">
        <f aca="false">IF(A9="","",IF(H9="",AsOf-B9,H9-B9))</f>
        <v>21</v>
      </c>
      <c r="M9" s="27" t="str">
        <f aca="false">IF(A9="","",IF(AND(K9="Open",L9&gt;Target),"Yes","No"))</f>
        <v>No</v>
      </c>
      <c r="N9" s="27" t="str">
        <f aca="false">IF(K9&lt;&gt;"Open","",IF(L9&lt;=30,"0-30",IF(L9&lt;=60,"31-60",IF(L9&lt;=90,"61-90","90+"))))</f>
        <v/>
      </c>
      <c r="O9" s="27" t="str">
        <f aca="false">IF(A9="","",IF(COUNTIFS($D$5:$D$400,D9,$F$5:$F$400,F9,$B$5:$B$400,"&gt;="&amp;(B9-RepeatWin),$B$5:$B$400,"&lt;"&amp;B9)&gt;0,"Yes","No"))</f>
        <v>No</v>
      </c>
      <c r="P9" s="35" t="str">
        <f aca="false">IF(OR(I9="",H9=""),"",H9+CapaDue)</f>
        <v/>
      </c>
      <c r="Q9" s="27" t="str">
        <f aca="false">IF(A9="","",IF(I9="","Not required",IF(J9&lt;&gt;"","Closed",IF(H9="","Awaiting dev. close",IF(AsOf&gt;P9,"Overdue","Open")))))</f>
        <v>Not required</v>
      </c>
      <c r="R9" s="27" t="str">
        <f aca="false">IF(J9="","",IF(COUNTIFS($D$5:$D$400,D9,$F$5:$F$400,F9,$B$5:$B$400,"&gt;"&amp;J9,$B$5:$B$400,"&lt;="&amp;(J9+EffWin))&gt;0,"Ineffective",IF(AsOf-J9&gt;=EffWin,"Effective","Check pending")))</f>
        <v/>
      </c>
      <c r="S9" s="36" t="n">
        <f aca="false">IF(A9="","",DATE(YEAR(B9),MONTH(B9),1))</f>
        <v>45748</v>
      </c>
      <c r="T9" s="36" t="n">
        <f aca="false">IF(H9="","",DATE(YEAR(H9),MONTH(H9),1))</f>
        <v>45778</v>
      </c>
      <c r="U9" s="27" t="str">
        <f aca="false">IF(H9="","",IF(AsOf-H9&lt;=90,L9,""))</f>
        <v/>
      </c>
      <c r="V9" s="27" t="str">
        <f aca="false">IF(H9="","",IF(AND(AsOf-H9&gt;90,AsOf-H9&lt;=270),L9,""))</f>
        <v/>
      </c>
    </row>
    <row r="10" customFormat="false" ht="15" hidden="false" customHeight="false" outlineLevel="0" collapsed="false">
      <c r="A10" s="32" t="s">
        <v>157</v>
      </c>
      <c r="B10" s="34" t="n">
        <v>45763</v>
      </c>
      <c r="C10" s="32" t="s">
        <v>73</v>
      </c>
      <c r="D10" s="32" t="s">
        <v>158</v>
      </c>
      <c r="E10" s="32" t="s">
        <v>59</v>
      </c>
      <c r="F10" s="32" t="s">
        <v>95</v>
      </c>
      <c r="G10" s="32" t="s">
        <v>129</v>
      </c>
      <c r="H10" s="34" t="n">
        <v>45786</v>
      </c>
      <c r="I10" s="32" t="s">
        <v>159</v>
      </c>
      <c r="J10" s="34" t="n">
        <v>45843</v>
      </c>
      <c r="K10" s="27" t="str">
        <f aca="false">IF(A10="","",IF(H10="","Open","Closed"))</f>
        <v>Closed</v>
      </c>
      <c r="L10" s="27" t="n">
        <f aca="false">IF(A10="","",IF(H10="",AsOf-B10,H10-B10))</f>
        <v>23</v>
      </c>
      <c r="M10" s="27" t="str">
        <f aca="false">IF(A10="","",IF(AND(K10="Open",L10&gt;Target),"Yes","No"))</f>
        <v>No</v>
      </c>
      <c r="N10" s="27" t="str">
        <f aca="false">IF(K10&lt;&gt;"Open","",IF(L10&lt;=30,"0-30",IF(L10&lt;=60,"31-60",IF(L10&lt;=90,"61-90","90+"))))</f>
        <v/>
      </c>
      <c r="O10" s="27" t="str">
        <f aca="false">IF(A10="","",IF(COUNTIFS($D$5:$D$400,D10,$F$5:$F$400,F10,$B$5:$B$400,"&gt;="&amp;(B10-RepeatWin),$B$5:$B$400,"&lt;"&amp;B10)&gt;0,"Yes","No"))</f>
        <v>No</v>
      </c>
      <c r="P10" s="35" t="n">
        <f aca="false">IF(OR(I10="",H10=""),"",H10+CapaDue)</f>
        <v>45876</v>
      </c>
      <c r="Q10" s="27" t="str">
        <f aca="false">IF(A10="","",IF(I10="","Not required",IF(J10&lt;&gt;"","Closed",IF(H10="","Awaiting dev. close",IF(AsOf&gt;P10,"Overdue","Open")))))</f>
        <v>Closed</v>
      </c>
      <c r="R10" s="27" t="str">
        <f aca="false">IF(J10="","",IF(COUNTIFS($D$5:$D$400,D10,$F$5:$F$400,F10,$B$5:$B$400,"&gt;"&amp;J10,$B$5:$B$400,"&lt;="&amp;(J10+EffWin))&gt;0,"Ineffective",IF(AsOf-J10&gt;=EffWin,"Effective","Check pending")))</f>
        <v>Effective</v>
      </c>
      <c r="S10" s="36" t="n">
        <f aca="false">IF(A10="","",DATE(YEAR(B10),MONTH(B10),1))</f>
        <v>45748</v>
      </c>
      <c r="T10" s="36" t="n">
        <f aca="false">IF(H10="","",DATE(YEAR(H10),MONTH(H10),1))</f>
        <v>45778</v>
      </c>
      <c r="U10" s="27" t="str">
        <f aca="false">IF(H10="","",IF(AsOf-H10&lt;=90,L10,""))</f>
        <v/>
      </c>
      <c r="V10" s="27" t="str">
        <f aca="false">IF(H10="","",IF(AND(AsOf-H10&gt;90,AsOf-H10&lt;=270),L10,""))</f>
        <v/>
      </c>
    </row>
    <row r="11" customFormat="false" ht="15" hidden="false" customHeight="false" outlineLevel="0" collapsed="false">
      <c r="A11" s="32" t="s">
        <v>160</v>
      </c>
      <c r="B11" s="34" t="n">
        <v>45764</v>
      </c>
      <c r="C11" s="32" t="s">
        <v>75</v>
      </c>
      <c r="D11" s="32" t="s">
        <v>161</v>
      </c>
      <c r="E11" s="32" t="s">
        <v>59</v>
      </c>
      <c r="F11" s="32" t="s">
        <v>94</v>
      </c>
      <c r="G11" s="32" t="s">
        <v>129</v>
      </c>
      <c r="H11" s="34" t="n">
        <v>45794</v>
      </c>
      <c r="I11" s="32" t="s">
        <v>162</v>
      </c>
      <c r="J11" s="34" t="n">
        <v>45834</v>
      </c>
      <c r="K11" s="27" t="str">
        <f aca="false">IF(A11="","",IF(H11="","Open","Closed"))</f>
        <v>Closed</v>
      </c>
      <c r="L11" s="27" t="n">
        <f aca="false">IF(A11="","",IF(H11="",AsOf-B11,H11-B11))</f>
        <v>30</v>
      </c>
      <c r="M11" s="27" t="str">
        <f aca="false">IF(A11="","",IF(AND(K11="Open",L11&gt;Target),"Yes","No"))</f>
        <v>No</v>
      </c>
      <c r="N11" s="27" t="str">
        <f aca="false">IF(K11&lt;&gt;"Open","",IF(L11&lt;=30,"0-30",IF(L11&lt;=60,"31-60",IF(L11&lt;=90,"61-90","90+"))))</f>
        <v/>
      </c>
      <c r="O11" s="27" t="str">
        <f aca="false">IF(A11="","",IF(COUNTIFS($D$5:$D$400,D11,$F$5:$F$400,F11,$B$5:$B$400,"&gt;="&amp;(B11-RepeatWin),$B$5:$B$400,"&lt;"&amp;B11)&gt;0,"Yes","No"))</f>
        <v>No</v>
      </c>
      <c r="P11" s="35" t="n">
        <f aca="false">IF(OR(I11="",H11=""),"",H11+CapaDue)</f>
        <v>45884</v>
      </c>
      <c r="Q11" s="27" t="str">
        <f aca="false">IF(A11="","",IF(I11="","Not required",IF(J11&lt;&gt;"","Closed",IF(H11="","Awaiting dev. close",IF(AsOf&gt;P11,"Overdue","Open")))))</f>
        <v>Closed</v>
      </c>
      <c r="R11" s="27" t="str">
        <f aca="false">IF(J11="","",IF(COUNTIFS($D$5:$D$400,D11,$F$5:$F$400,F11,$B$5:$B$400,"&gt;"&amp;J11,$B$5:$B$400,"&lt;="&amp;(J11+EffWin))&gt;0,"Ineffective",IF(AsOf-J11&gt;=EffWin,"Effective","Check pending")))</f>
        <v>Effective</v>
      </c>
      <c r="S11" s="36" t="n">
        <f aca="false">IF(A11="","",DATE(YEAR(B11),MONTH(B11),1))</f>
        <v>45748</v>
      </c>
      <c r="T11" s="36" t="n">
        <f aca="false">IF(H11="","",DATE(YEAR(H11),MONTH(H11),1))</f>
        <v>45778</v>
      </c>
      <c r="U11" s="27" t="str">
        <f aca="false">IF(H11="","",IF(AsOf-H11&lt;=90,L11,""))</f>
        <v/>
      </c>
      <c r="V11" s="27" t="str">
        <f aca="false">IF(H11="","",IF(AND(AsOf-H11&gt;90,AsOf-H11&lt;=270),L11,""))</f>
        <v/>
      </c>
    </row>
    <row r="12" customFormat="false" ht="15" hidden="false" customHeight="false" outlineLevel="0" collapsed="false">
      <c r="A12" s="32" t="s">
        <v>163</v>
      </c>
      <c r="B12" s="34" t="n">
        <v>45770</v>
      </c>
      <c r="C12" s="32" t="s">
        <v>73</v>
      </c>
      <c r="D12" s="32" t="s">
        <v>164</v>
      </c>
      <c r="E12" s="32" t="s">
        <v>61</v>
      </c>
      <c r="F12" s="32" t="s">
        <v>96</v>
      </c>
      <c r="G12" s="32" t="s">
        <v>128</v>
      </c>
      <c r="H12" s="34" t="n">
        <v>45794</v>
      </c>
      <c r="I12" s="32"/>
      <c r="J12" s="34"/>
      <c r="K12" s="27" t="str">
        <f aca="false">IF(A12="","",IF(H12="","Open","Closed"))</f>
        <v>Closed</v>
      </c>
      <c r="L12" s="27" t="n">
        <f aca="false">IF(A12="","",IF(H12="",AsOf-B12,H12-B12))</f>
        <v>24</v>
      </c>
      <c r="M12" s="27" t="str">
        <f aca="false">IF(A12="","",IF(AND(K12="Open",L12&gt;Target),"Yes","No"))</f>
        <v>No</v>
      </c>
      <c r="N12" s="27" t="str">
        <f aca="false">IF(K12&lt;&gt;"Open","",IF(L12&lt;=30,"0-30",IF(L12&lt;=60,"31-60",IF(L12&lt;=90,"61-90","90+"))))</f>
        <v/>
      </c>
      <c r="O12" s="27" t="str">
        <f aca="false">IF(A12="","",IF(COUNTIFS($D$5:$D$400,D12,$F$5:$F$400,F12,$B$5:$B$400,"&gt;="&amp;(B12-RepeatWin),$B$5:$B$400,"&lt;"&amp;B12)&gt;0,"Yes","No"))</f>
        <v>No</v>
      </c>
      <c r="P12" s="35" t="str">
        <f aca="false">IF(OR(I12="",H12=""),"",H12+CapaDue)</f>
        <v/>
      </c>
      <c r="Q12" s="27" t="str">
        <f aca="false">IF(A12="","",IF(I12="","Not required",IF(J12&lt;&gt;"","Closed",IF(H12="","Awaiting dev. close",IF(AsOf&gt;P12,"Overdue","Open")))))</f>
        <v>Not required</v>
      </c>
      <c r="R12" s="27" t="str">
        <f aca="false">IF(J12="","",IF(COUNTIFS($D$5:$D$400,D12,$F$5:$F$400,F12,$B$5:$B$400,"&gt;"&amp;J12,$B$5:$B$400,"&lt;="&amp;(J12+EffWin))&gt;0,"Ineffective",IF(AsOf-J12&gt;=EffWin,"Effective","Check pending")))</f>
        <v/>
      </c>
      <c r="S12" s="36" t="n">
        <f aca="false">IF(A12="","",DATE(YEAR(B12),MONTH(B12),1))</f>
        <v>45748</v>
      </c>
      <c r="T12" s="36" t="n">
        <f aca="false">IF(H12="","",DATE(YEAR(H12),MONTH(H12),1))</f>
        <v>45778</v>
      </c>
      <c r="U12" s="27" t="str">
        <f aca="false">IF(H12="","",IF(AsOf-H12&lt;=90,L12,""))</f>
        <v/>
      </c>
      <c r="V12" s="27" t="str">
        <f aca="false">IF(H12="","",IF(AND(AsOf-H12&gt;90,AsOf-H12&lt;=270),L12,""))</f>
        <v/>
      </c>
    </row>
    <row r="13" customFormat="false" ht="15" hidden="false" customHeight="false" outlineLevel="0" collapsed="false">
      <c r="A13" s="32" t="s">
        <v>165</v>
      </c>
      <c r="B13" s="34" t="n">
        <v>45772</v>
      </c>
      <c r="C13" s="32" t="s">
        <v>79</v>
      </c>
      <c r="D13" s="32" t="s">
        <v>166</v>
      </c>
      <c r="E13" s="32" t="s">
        <v>61</v>
      </c>
      <c r="F13" s="32" t="s">
        <v>97</v>
      </c>
      <c r="G13" s="32" t="s">
        <v>128</v>
      </c>
      <c r="H13" s="34" t="n">
        <v>45786</v>
      </c>
      <c r="I13" s="32"/>
      <c r="J13" s="34"/>
      <c r="K13" s="27" t="str">
        <f aca="false">IF(A13="","",IF(H13="","Open","Closed"))</f>
        <v>Closed</v>
      </c>
      <c r="L13" s="27" t="n">
        <f aca="false">IF(A13="","",IF(H13="",AsOf-B13,H13-B13))</f>
        <v>14</v>
      </c>
      <c r="M13" s="27" t="str">
        <f aca="false">IF(A13="","",IF(AND(K13="Open",L13&gt;Target),"Yes","No"))</f>
        <v>No</v>
      </c>
      <c r="N13" s="27" t="str">
        <f aca="false">IF(K13&lt;&gt;"Open","",IF(L13&lt;=30,"0-30",IF(L13&lt;=60,"31-60",IF(L13&lt;=90,"61-90","90+"))))</f>
        <v/>
      </c>
      <c r="O13" s="27" t="str">
        <f aca="false">IF(A13="","",IF(COUNTIFS($D$5:$D$400,D13,$F$5:$F$400,F13,$B$5:$B$400,"&gt;="&amp;(B13-RepeatWin),$B$5:$B$400,"&lt;"&amp;B13)&gt;0,"Yes","No"))</f>
        <v>No</v>
      </c>
      <c r="P13" s="35" t="str">
        <f aca="false">IF(OR(I13="",H13=""),"",H13+CapaDue)</f>
        <v/>
      </c>
      <c r="Q13" s="27" t="str">
        <f aca="false">IF(A13="","",IF(I13="","Not required",IF(J13&lt;&gt;"","Closed",IF(H13="","Awaiting dev. close",IF(AsOf&gt;P13,"Overdue","Open")))))</f>
        <v>Not required</v>
      </c>
      <c r="R13" s="27" t="str">
        <f aca="false">IF(J13="","",IF(COUNTIFS($D$5:$D$400,D13,$F$5:$F$400,F13,$B$5:$B$400,"&gt;"&amp;J13,$B$5:$B$400,"&lt;="&amp;(J13+EffWin))&gt;0,"Ineffective",IF(AsOf-J13&gt;=EffWin,"Effective","Check pending")))</f>
        <v/>
      </c>
      <c r="S13" s="36" t="n">
        <f aca="false">IF(A13="","",DATE(YEAR(B13),MONTH(B13),1))</f>
        <v>45748</v>
      </c>
      <c r="T13" s="36" t="n">
        <f aca="false">IF(H13="","",DATE(YEAR(H13),MONTH(H13),1))</f>
        <v>45778</v>
      </c>
      <c r="U13" s="27" t="str">
        <f aca="false">IF(H13="","",IF(AsOf-H13&lt;=90,L13,""))</f>
        <v/>
      </c>
      <c r="V13" s="27" t="str">
        <f aca="false">IF(H13="","",IF(AND(AsOf-H13&gt;90,AsOf-H13&lt;=270),L13,""))</f>
        <v/>
      </c>
    </row>
    <row r="14" customFormat="false" ht="15" hidden="false" customHeight="false" outlineLevel="0" collapsed="false">
      <c r="A14" s="32" t="s">
        <v>167</v>
      </c>
      <c r="B14" s="34" t="n">
        <v>45775</v>
      </c>
      <c r="C14" s="32" t="s">
        <v>81</v>
      </c>
      <c r="D14" s="32" t="s">
        <v>168</v>
      </c>
      <c r="E14" s="32" t="s">
        <v>57</v>
      </c>
      <c r="F14" s="32" t="s">
        <v>100</v>
      </c>
      <c r="G14" s="32" t="s">
        <v>131</v>
      </c>
      <c r="H14" s="34" t="n">
        <v>45799</v>
      </c>
      <c r="I14" s="32" t="s">
        <v>169</v>
      </c>
      <c r="J14" s="34" t="n">
        <v>45891</v>
      </c>
      <c r="K14" s="27" t="str">
        <f aca="false">IF(A14="","",IF(H14="","Open","Closed"))</f>
        <v>Closed</v>
      </c>
      <c r="L14" s="27" t="n">
        <f aca="false">IF(A14="","",IF(H14="",AsOf-B14,H14-B14))</f>
        <v>24</v>
      </c>
      <c r="M14" s="27" t="str">
        <f aca="false">IF(A14="","",IF(AND(K14="Open",L14&gt;Target),"Yes","No"))</f>
        <v>No</v>
      </c>
      <c r="N14" s="27" t="str">
        <f aca="false">IF(K14&lt;&gt;"Open","",IF(L14&lt;=30,"0-30",IF(L14&lt;=60,"31-60",IF(L14&lt;=90,"61-90","90+"))))</f>
        <v/>
      </c>
      <c r="O14" s="27" t="str">
        <f aca="false">IF(A14="","",IF(COUNTIFS($D$5:$D$400,D14,$F$5:$F$400,F14,$B$5:$B$400,"&gt;="&amp;(B14-RepeatWin),$B$5:$B$400,"&lt;"&amp;B14)&gt;0,"Yes","No"))</f>
        <v>No</v>
      </c>
      <c r="P14" s="35" t="n">
        <f aca="false">IF(OR(I14="",H14=""),"",H14+CapaDue)</f>
        <v>45889</v>
      </c>
      <c r="Q14" s="27" t="str">
        <f aca="false">IF(A14="","",IF(I14="","Not required",IF(J14&lt;&gt;"","Closed",IF(H14="","Awaiting dev. close",IF(AsOf&gt;P14,"Overdue","Open")))))</f>
        <v>Closed</v>
      </c>
      <c r="R14" s="27" t="str">
        <f aca="false">IF(J14="","",IF(COUNTIFS($D$5:$D$400,D14,$F$5:$F$400,F14,$B$5:$B$400,"&gt;"&amp;J14,$B$5:$B$400,"&lt;="&amp;(J14+EffWin))&gt;0,"Ineffective",IF(AsOf-J14&gt;=EffWin,"Effective","Check pending")))</f>
        <v>Effective</v>
      </c>
      <c r="S14" s="36" t="n">
        <f aca="false">IF(A14="","",DATE(YEAR(B14),MONTH(B14),1))</f>
        <v>45748</v>
      </c>
      <c r="T14" s="36" t="n">
        <f aca="false">IF(H14="","",DATE(YEAR(H14),MONTH(H14),1))</f>
        <v>45778</v>
      </c>
      <c r="U14" s="27" t="str">
        <f aca="false">IF(H14="","",IF(AsOf-H14&lt;=90,L14,""))</f>
        <v/>
      </c>
      <c r="V14" s="27" t="str">
        <f aca="false">IF(H14="","",IF(AND(AsOf-H14&gt;90,AsOf-H14&lt;=270),L14,""))</f>
        <v/>
      </c>
    </row>
    <row r="15" customFormat="false" ht="15" hidden="false" customHeight="false" outlineLevel="0" collapsed="false">
      <c r="A15" s="32" t="s">
        <v>170</v>
      </c>
      <c r="B15" s="34" t="n">
        <v>45781</v>
      </c>
      <c r="C15" s="32" t="s">
        <v>81</v>
      </c>
      <c r="D15" s="32" t="s">
        <v>171</v>
      </c>
      <c r="E15" s="32" t="s">
        <v>59</v>
      </c>
      <c r="F15" s="32" t="s">
        <v>95</v>
      </c>
      <c r="G15" s="32" t="s">
        <v>131</v>
      </c>
      <c r="H15" s="34" t="n">
        <v>45804</v>
      </c>
      <c r="I15" s="32" t="s">
        <v>172</v>
      </c>
      <c r="J15" s="34" t="n">
        <v>45881</v>
      </c>
      <c r="K15" s="27" t="str">
        <f aca="false">IF(A15="","",IF(H15="","Open","Closed"))</f>
        <v>Closed</v>
      </c>
      <c r="L15" s="27" t="n">
        <f aca="false">IF(A15="","",IF(H15="",AsOf-B15,H15-B15))</f>
        <v>23</v>
      </c>
      <c r="M15" s="27" t="str">
        <f aca="false">IF(A15="","",IF(AND(K15="Open",L15&gt;Target),"Yes","No"))</f>
        <v>No</v>
      </c>
      <c r="N15" s="27" t="str">
        <f aca="false">IF(K15&lt;&gt;"Open","",IF(L15&lt;=30,"0-30",IF(L15&lt;=60,"31-60",IF(L15&lt;=90,"61-90","90+"))))</f>
        <v/>
      </c>
      <c r="O15" s="27" t="str">
        <f aca="false">IF(A15="","",IF(COUNTIFS($D$5:$D$400,D15,$F$5:$F$400,F15,$B$5:$B$400,"&gt;="&amp;(B15-RepeatWin),$B$5:$B$400,"&lt;"&amp;B15)&gt;0,"Yes","No"))</f>
        <v>No</v>
      </c>
      <c r="P15" s="35" t="n">
        <f aca="false">IF(OR(I15="",H15=""),"",H15+CapaDue)</f>
        <v>45894</v>
      </c>
      <c r="Q15" s="27" t="str">
        <f aca="false">IF(A15="","",IF(I15="","Not required",IF(J15&lt;&gt;"","Closed",IF(H15="","Awaiting dev. close",IF(AsOf&gt;P15,"Overdue","Open")))))</f>
        <v>Closed</v>
      </c>
      <c r="R15" s="27" t="str">
        <f aca="false">IF(J15="","",IF(COUNTIFS($D$5:$D$400,D15,$F$5:$F$400,F15,$B$5:$B$400,"&gt;"&amp;J15,$B$5:$B$400,"&lt;="&amp;(J15+EffWin))&gt;0,"Ineffective",IF(AsOf-J15&gt;=EffWin,"Effective","Check pending")))</f>
        <v>Effective</v>
      </c>
      <c r="S15" s="36" t="n">
        <f aca="false">IF(A15="","",DATE(YEAR(B15),MONTH(B15),1))</f>
        <v>45778</v>
      </c>
      <c r="T15" s="36" t="n">
        <f aca="false">IF(H15="","",DATE(YEAR(H15),MONTH(H15),1))</f>
        <v>45778</v>
      </c>
      <c r="U15" s="27" t="str">
        <f aca="false">IF(H15="","",IF(AsOf-H15&lt;=90,L15,""))</f>
        <v/>
      </c>
      <c r="V15" s="27" t="str">
        <f aca="false">IF(H15="","",IF(AND(AsOf-H15&gt;90,AsOf-H15&lt;=270),L15,""))</f>
        <v/>
      </c>
    </row>
    <row r="16" customFormat="false" ht="15" hidden="false" customHeight="false" outlineLevel="0" collapsed="false">
      <c r="A16" s="32" t="s">
        <v>173</v>
      </c>
      <c r="B16" s="34" t="n">
        <v>45785</v>
      </c>
      <c r="C16" s="32" t="s">
        <v>79</v>
      </c>
      <c r="D16" s="32" t="s">
        <v>174</v>
      </c>
      <c r="E16" s="32" t="s">
        <v>61</v>
      </c>
      <c r="F16" s="32" t="s">
        <v>97</v>
      </c>
      <c r="G16" s="32" t="s">
        <v>127</v>
      </c>
      <c r="H16" s="34" t="n">
        <v>45802</v>
      </c>
      <c r="I16" s="32"/>
      <c r="J16" s="34"/>
      <c r="K16" s="27" t="str">
        <f aca="false">IF(A16="","",IF(H16="","Open","Closed"))</f>
        <v>Closed</v>
      </c>
      <c r="L16" s="27" t="n">
        <f aca="false">IF(A16="","",IF(H16="",AsOf-B16,H16-B16))</f>
        <v>17</v>
      </c>
      <c r="M16" s="27" t="str">
        <f aca="false">IF(A16="","",IF(AND(K16="Open",L16&gt;Target),"Yes","No"))</f>
        <v>No</v>
      </c>
      <c r="N16" s="27" t="str">
        <f aca="false">IF(K16&lt;&gt;"Open","",IF(L16&lt;=30,"0-30",IF(L16&lt;=60,"31-60",IF(L16&lt;=90,"61-90","90+"))))</f>
        <v/>
      </c>
      <c r="O16" s="27" t="str">
        <f aca="false">IF(A16="","",IF(COUNTIFS($D$5:$D$400,D16,$F$5:$F$400,F16,$B$5:$B$400,"&gt;="&amp;(B16-RepeatWin),$B$5:$B$400,"&lt;"&amp;B16)&gt;0,"Yes","No"))</f>
        <v>No</v>
      </c>
      <c r="P16" s="35" t="str">
        <f aca="false">IF(OR(I16="",H16=""),"",H16+CapaDue)</f>
        <v/>
      </c>
      <c r="Q16" s="27" t="str">
        <f aca="false">IF(A16="","",IF(I16="","Not required",IF(J16&lt;&gt;"","Closed",IF(H16="","Awaiting dev. close",IF(AsOf&gt;P16,"Overdue","Open")))))</f>
        <v>Not required</v>
      </c>
      <c r="R16" s="27" t="str">
        <f aca="false">IF(J16="","",IF(COUNTIFS($D$5:$D$400,D16,$F$5:$F$400,F16,$B$5:$B$400,"&gt;"&amp;J16,$B$5:$B$400,"&lt;="&amp;(J16+EffWin))&gt;0,"Ineffective",IF(AsOf-J16&gt;=EffWin,"Effective","Check pending")))</f>
        <v/>
      </c>
      <c r="S16" s="36" t="n">
        <f aca="false">IF(A16="","",DATE(YEAR(B16),MONTH(B16),1))</f>
        <v>45778</v>
      </c>
      <c r="T16" s="36" t="n">
        <f aca="false">IF(H16="","",DATE(YEAR(H16),MONTH(H16),1))</f>
        <v>45778</v>
      </c>
      <c r="U16" s="27" t="str">
        <f aca="false">IF(H16="","",IF(AsOf-H16&lt;=90,L16,""))</f>
        <v/>
      </c>
      <c r="V16" s="27" t="str">
        <f aca="false">IF(H16="","",IF(AND(AsOf-H16&gt;90,AsOf-H16&lt;=270),L16,""))</f>
        <v/>
      </c>
    </row>
    <row r="17" customFormat="false" ht="15" hidden="false" customHeight="false" outlineLevel="0" collapsed="false">
      <c r="A17" s="32" t="s">
        <v>175</v>
      </c>
      <c r="B17" s="34" t="n">
        <v>45787</v>
      </c>
      <c r="C17" s="32" t="s">
        <v>81</v>
      </c>
      <c r="D17" s="32" t="s">
        <v>176</v>
      </c>
      <c r="E17" s="32" t="s">
        <v>59</v>
      </c>
      <c r="F17" s="32" t="s">
        <v>104</v>
      </c>
      <c r="G17" s="32" t="s">
        <v>127</v>
      </c>
      <c r="H17" s="34" t="n">
        <v>45811</v>
      </c>
      <c r="I17" s="32" t="s">
        <v>177</v>
      </c>
      <c r="J17" s="34" t="n">
        <v>45899</v>
      </c>
      <c r="K17" s="27" t="str">
        <f aca="false">IF(A17="","",IF(H17="","Open","Closed"))</f>
        <v>Closed</v>
      </c>
      <c r="L17" s="27" t="n">
        <f aca="false">IF(A17="","",IF(H17="",AsOf-B17,H17-B17))</f>
        <v>24</v>
      </c>
      <c r="M17" s="27" t="str">
        <f aca="false">IF(A17="","",IF(AND(K17="Open",L17&gt;Target),"Yes","No"))</f>
        <v>No</v>
      </c>
      <c r="N17" s="27" t="str">
        <f aca="false">IF(K17&lt;&gt;"Open","",IF(L17&lt;=30,"0-30",IF(L17&lt;=60,"31-60",IF(L17&lt;=90,"61-90","90+"))))</f>
        <v/>
      </c>
      <c r="O17" s="27" t="str">
        <f aca="false">IF(A17="","",IF(COUNTIFS($D$5:$D$400,D17,$F$5:$F$400,F17,$B$5:$B$400,"&gt;="&amp;(B17-RepeatWin),$B$5:$B$400,"&lt;"&amp;B17)&gt;0,"Yes","No"))</f>
        <v>No</v>
      </c>
      <c r="P17" s="35" t="n">
        <f aca="false">IF(OR(I17="",H17=""),"",H17+CapaDue)</f>
        <v>45901</v>
      </c>
      <c r="Q17" s="27" t="str">
        <f aca="false">IF(A17="","",IF(I17="","Not required",IF(J17&lt;&gt;"","Closed",IF(H17="","Awaiting dev. close",IF(AsOf&gt;P17,"Overdue","Open")))))</f>
        <v>Closed</v>
      </c>
      <c r="R17" s="27" t="str">
        <f aca="false">IF(J17="","",IF(COUNTIFS($D$5:$D$400,D17,$F$5:$F$400,F17,$B$5:$B$400,"&gt;"&amp;J17,$B$5:$B$400,"&lt;="&amp;(J17+EffWin))&gt;0,"Ineffective",IF(AsOf-J17&gt;=EffWin,"Effective","Check pending")))</f>
        <v>Effective</v>
      </c>
      <c r="S17" s="36" t="n">
        <f aca="false">IF(A17="","",DATE(YEAR(B17),MONTH(B17),1))</f>
        <v>45778</v>
      </c>
      <c r="T17" s="36" t="n">
        <f aca="false">IF(H17="","",DATE(YEAR(H17),MONTH(H17),1))</f>
        <v>45809</v>
      </c>
      <c r="U17" s="27" t="str">
        <f aca="false">IF(H17="","",IF(AsOf-H17&lt;=90,L17,""))</f>
        <v/>
      </c>
      <c r="V17" s="27" t="str">
        <f aca="false">IF(H17="","",IF(AND(AsOf-H17&gt;90,AsOf-H17&lt;=270),L17,""))</f>
        <v/>
      </c>
    </row>
    <row r="18" customFormat="false" ht="15" hidden="false" customHeight="false" outlineLevel="0" collapsed="false">
      <c r="A18" s="32" t="s">
        <v>178</v>
      </c>
      <c r="B18" s="34" t="n">
        <v>45790</v>
      </c>
      <c r="C18" s="32" t="s">
        <v>73</v>
      </c>
      <c r="D18" s="32" t="s">
        <v>164</v>
      </c>
      <c r="E18" s="32" t="s">
        <v>61</v>
      </c>
      <c r="F18" s="32" t="s">
        <v>94</v>
      </c>
      <c r="G18" s="32" t="s">
        <v>132</v>
      </c>
      <c r="H18" s="34" t="n">
        <v>45808</v>
      </c>
      <c r="I18" s="32"/>
      <c r="J18" s="34"/>
      <c r="K18" s="27" t="str">
        <f aca="false">IF(A18="","",IF(H18="","Open","Closed"))</f>
        <v>Closed</v>
      </c>
      <c r="L18" s="27" t="n">
        <f aca="false">IF(A18="","",IF(H18="",AsOf-B18,H18-B18))</f>
        <v>18</v>
      </c>
      <c r="M18" s="27" t="str">
        <f aca="false">IF(A18="","",IF(AND(K18="Open",L18&gt;Target),"Yes","No"))</f>
        <v>No</v>
      </c>
      <c r="N18" s="27" t="str">
        <f aca="false">IF(K18&lt;&gt;"Open","",IF(L18&lt;=30,"0-30",IF(L18&lt;=60,"31-60",IF(L18&lt;=90,"61-90","90+"))))</f>
        <v/>
      </c>
      <c r="O18" s="27" t="str">
        <f aca="false">IF(A18="","",IF(COUNTIFS($D$5:$D$400,D18,$F$5:$F$400,F18,$B$5:$B$400,"&gt;="&amp;(B18-RepeatWin),$B$5:$B$400,"&lt;"&amp;B18)&gt;0,"Yes","No"))</f>
        <v>No</v>
      </c>
      <c r="P18" s="35" t="str">
        <f aca="false">IF(OR(I18="",H18=""),"",H18+CapaDue)</f>
        <v/>
      </c>
      <c r="Q18" s="27" t="str">
        <f aca="false">IF(A18="","",IF(I18="","Not required",IF(J18&lt;&gt;"","Closed",IF(H18="","Awaiting dev. close",IF(AsOf&gt;P18,"Overdue","Open")))))</f>
        <v>Not required</v>
      </c>
      <c r="R18" s="27" t="str">
        <f aca="false">IF(J18="","",IF(COUNTIFS($D$5:$D$400,D18,$F$5:$F$400,F18,$B$5:$B$400,"&gt;"&amp;J18,$B$5:$B$400,"&lt;="&amp;(J18+EffWin))&gt;0,"Ineffective",IF(AsOf-J18&gt;=EffWin,"Effective","Check pending")))</f>
        <v/>
      </c>
      <c r="S18" s="36" t="n">
        <f aca="false">IF(A18="","",DATE(YEAR(B18),MONTH(B18),1))</f>
        <v>45778</v>
      </c>
      <c r="T18" s="36" t="n">
        <f aca="false">IF(H18="","",DATE(YEAR(H18),MONTH(H18),1))</f>
        <v>45778</v>
      </c>
      <c r="U18" s="27" t="str">
        <f aca="false">IF(H18="","",IF(AsOf-H18&lt;=90,L18,""))</f>
        <v/>
      </c>
      <c r="V18" s="27" t="str">
        <f aca="false">IF(H18="","",IF(AND(AsOf-H18&gt;90,AsOf-H18&lt;=270),L18,""))</f>
        <v/>
      </c>
    </row>
    <row r="19" customFormat="false" ht="15" hidden="false" customHeight="false" outlineLevel="0" collapsed="false">
      <c r="A19" s="32" t="s">
        <v>179</v>
      </c>
      <c r="B19" s="34" t="n">
        <v>45791</v>
      </c>
      <c r="C19" s="32" t="s">
        <v>73</v>
      </c>
      <c r="D19" s="32" t="s">
        <v>180</v>
      </c>
      <c r="E19" s="32" t="s">
        <v>61</v>
      </c>
      <c r="F19" s="32" t="s">
        <v>94</v>
      </c>
      <c r="G19" s="32" t="s">
        <v>127</v>
      </c>
      <c r="H19" s="34" t="n">
        <v>45810</v>
      </c>
      <c r="I19" s="32"/>
      <c r="J19" s="34"/>
      <c r="K19" s="27" t="str">
        <f aca="false">IF(A19="","",IF(H19="","Open","Closed"))</f>
        <v>Closed</v>
      </c>
      <c r="L19" s="27" t="n">
        <f aca="false">IF(A19="","",IF(H19="",AsOf-B19,H19-B19))</f>
        <v>19</v>
      </c>
      <c r="M19" s="27" t="str">
        <f aca="false">IF(A19="","",IF(AND(K19="Open",L19&gt;Target),"Yes","No"))</f>
        <v>No</v>
      </c>
      <c r="N19" s="27" t="str">
        <f aca="false">IF(K19&lt;&gt;"Open","",IF(L19&lt;=30,"0-30",IF(L19&lt;=60,"31-60",IF(L19&lt;=90,"61-90","90+"))))</f>
        <v/>
      </c>
      <c r="O19" s="27" t="str">
        <f aca="false">IF(A19="","",IF(COUNTIFS($D$5:$D$400,D19,$F$5:$F$400,F19,$B$5:$B$400,"&gt;="&amp;(B19-RepeatWin),$B$5:$B$400,"&lt;"&amp;B19)&gt;0,"Yes","No"))</f>
        <v>No</v>
      </c>
      <c r="P19" s="35" t="str">
        <f aca="false">IF(OR(I19="",H19=""),"",H19+CapaDue)</f>
        <v/>
      </c>
      <c r="Q19" s="27" t="str">
        <f aca="false">IF(A19="","",IF(I19="","Not required",IF(J19&lt;&gt;"","Closed",IF(H19="","Awaiting dev. close",IF(AsOf&gt;P19,"Overdue","Open")))))</f>
        <v>Not required</v>
      </c>
      <c r="R19" s="27" t="str">
        <f aca="false">IF(J19="","",IF(COUNTIFS($D$5:$D$400,D19,$F$5:$F$400,F19,$B$5:$B$400,"&gt;"&amp;J19,$B$5:$B$400,"&lt;="&amp;(J19+EffWin))&gt;0,"Ineffective",IF(AsOf-J19&gt;=EffWin,"Effective","Check pending")))</f>
        <v/>
      </c>
      <c r="S19" s="36" t="n">
        <f aca="false">IF(A19="","",DATE(YEAR(B19),MONTH(B19),1))</f>
        <v>45778</v>
      </c>
      <c r="T19" s="36" t="n">
        <f aca="false">IF(H19="","",DATE(YEAR(H19),MONTH(H19),1))</f>
        <v>45809</v>
      </c>
      <c r="U19" s="27" t="str">
        <f aca="false">IF(H19="","",IF(AsOf-H19&lt;=90,L19,""))</f>
        <v/>
      </c>
      <c r="V19" s="27" t="str">
        <f aca="false">IF(H19="","",IF(AND(AsOf-H19&gt;90,AsOf-H19&lt;=270),L19,""))</f>
        <v/>
      </c>
    </row>
    <row r="20" customFormat="false" ht="15" hidden="false" customHeight="false" outlineLevel="0" collapsed="false">
      <c r="A20" s="32" t="s">
        <v>181</v>
      </c>
      <c r="B20" s="34" t="n">
        <v>45791</v>
      </c>
      <c r="C20" s="32" t="s">
        <v>73</v>
      </c>
      <c r="D20" s="32" t="s">
        <v>182</v>
      </c>
      <c r="E20" s="32" t="s">
        <v>61</v>
      </c>
      <c r="F20" s="32" t="s">
        <v>98</v>
      </c>
      <c r="G20" s="32" t="s">
        <v>126</v>
      </c>
      <c r="H20" s="34" t="n">
        <v>45808</v>
      </c>
      <c r="I20" s="32"/>
      <c r="J20" s="34"/>
      <c r="K20" s="27" t="str">
        <f aca="false">IF(A20="","",IF(H20="","Open","Closed"))</f>
        <v>Closed</v>
      </c>
      <c r="L20" s="27" t="n">
        <f aca="false">IF(A20="","",IF(H20="",AsOf-B20,H20-B20))</f>
        <v>17</v>
      </c>
      <c r="M20" s="27" t="str">
        <f aca="false">IF(A20="","",IF(AND(K20="Open",L20&gt;Target),"Yes","No"))</f>
        <v>No</v>
      </c>
      <c r="N20" s="27" t="str">
        <f aca="false">IF(K20&lt;&gt;"Open","",IF(L20&lt;=30,"0-30",IF(L20&lt;=60,"31-60",IF(L20&lt;=90,"61-90","90+"))))</f>
        <v/>
      </c>
      <c r="O20" s="27" t="str">
        <f aca="false">IF(A20="","",IF(COUNTIFS($D$5:$D$400,D20,$F$5:$F$400,F20,$B$5:$B$400,"&gt;="&amp;(B20-RepeatWin),$B$5:$B$400,"&lt;"&amp;B20)&gt;0,"Yes","No"))</f>
        <v>No</v>
      </c>
      <c r="P20" s="35" t="str">
        <f aca="false">IF(OR(I20="",H20=""),"",H20+CapaDue)</f>
        <v/>
      </c>
      <c r="Q20" s="27" t="str">
        <f aca="false">IF(A20="","",IF(I20="","Not required",IF(J20&lt;&gt;"","Closed",IF(H20="","Awaiting dev. close",IF(AsOf&gt;P20,"Overdue","Open")))))</f>
        <v>Not required</v>
      </c>
      <c r="R20" s="27" t="str">
        <f aca="false">IF(J20="","",IF(COUNTIFS($D$5:$D$400,D20,$F$5:$F$400,F20,$B$5:$B$400,"&gt;"&amp;J20,$B$5:$B$400,"&lt;="&amp;(J20+EffWin))&gt;0,"Ineffective",IF(AsOf-J20&gt;=EffWin,"Effective","Check pending")))</f>
        <v/>
      </c>
      <c r="S20" s="36" t="n">
        <f aca="false">IF(A20="","",DATE(YEAR(B20),MONTH(B20),1))</f>
        <v>45778</v>
      </c>
      <c r="T20" s="36" t="n">
        <f aca="false">IF(H20="","",DATE(YEAR(H20),MONTH(H20),1))</f>
        <v>45778</v>
      </c>
      <c r="U20" s="27" t="str">
        <f aca="false">IF(H20="","",IF(AsOf-H20&lt;=90,L20,""))</f>
        <v/>
      </c>
      <c r="V20" s="27" t="str">
        <f aca="false">IF(H20="","",IF(AND(AsOf-H20&gt;90,AsOf-H20&lt;=270),L20,""))</f>
        <v/>
      </c>
    </row>
    <row r="21" customFormat="false" ht="15" hidden="false" customHeight="false" outlineLevel="0" collapsed="false">
      <c r="A21" s="32" t="s">
        <v>183</v>
      </c>
      <c r="B21" s="34" t="n">
        <v>45798</v>
      </c>
      <c r="C21" s="32" t="s">
        <v>73</v>
      </c>
      <c r="D21" s="32" t="s">
        <v>182</v>
      </c>
      <c r="E21" s="32" t="s">
        <v>61</v>
      </c>
      <c r="F21" s="32" t="s">
        <v>95</v>
      </c>
      <c r="G21" s="32" t="s">
        <v>129</v>
      </c>
      <c r="H21" s="34" t="n">
        <v>45824</v>
      </c>
      <c r="I21" s="32"/>
      <c r="J21" s="34"/>
      <c r="K21" s="27" t="str">
        <f aca="false">IF(A21="","",IF(H21="","Open","Closed"))</f>
        <v>Closed</v>
      </c>
      <c r="L21" s="27" t="n">
        <f aca="false">IF(A21="","",IF(H21="",AsOf-B21,H21-B21))</f>
        <v>26</v>
      </c>
      <c r="M21" s="27" t="str">
        <f aca="false">IF(A21="","",IF(AND(K21="Open",L21&gt;Target),"Yes","No"))</f>
        <v>No</v>
      </c>
      <c r="N21" s="27" t="str">
        <f aca="false">IF(K21&lt;&gt;"Open","",IF(L21&lt;=30,"0-30",IF(L21&lt;=60,"31-60",IF(L21&lt;=90,"61-90","90+"))))</f>
        <v/>
      </c>
      <c r="O21" s="27" t="str">
        <f aca="false">IF(A21="","",IF(COUNTIFS($D$5:$D$400,D21,$F$5:$F$400,F21,$B$5:$B$400,"&gt;="&amp;(B21-RepeatWin),$B$5:$B$400,"&lt;"&amp;B21)&gt;0,"Yes","No"))</f>
        <v>No</v>
      </c>
      <c r="P21" s="35" t="str">
        <f aca="false">IF(OR(I21="",H21=""),"",H21+CapaDue)</f>
        <v/>
      </c>
      <c r="Q21" s="27" t="str">
        <f aca="false">IF(A21="","",IF(I21="","Not required",IF(J21&lt;&gt;"","Closed",IF(H21="","Awaiting dev. close",IF(AsOf&gt;P21,"Overdue","Open")))))</f>
        <v>Not required</v>
      </c>
      <c r="R21" s="27" t="str">
        <f aca="false">IF(J21="","",IF(COUNTIFS($D$5:$D$400,D21,$F$5:$F$400,F21,$B$5:$B$400,"&gt;"&amp;J21,$B$5:$B$400,"&lt;="&amp;(J21+EffWin))&gt;0,"Ineffective",IF(AsOf-J21&gt;=EffWin,"Effective","Check pending")))</f>
        <v/>
      </c>
      <c r="S21" s="36" t="n">
        <f aca="false">IF(A21="","",DATE(YEAR(B21),MONTH(B21),1))</f>
        <v>45778</v>
      </c>
      <c r="T21" s="36" t="n">
        <f aca="false">IF(H21="","",DATE(YEAR(H21),MONTH(H21),1))</f>
        <v>45809</v>
      </c>
      <c r="U21" s="27" t="str">
        <f aca="false">IF(H21="","",IF(AsOf-H21&lt;=90,L21,""))</f>
        <v/>
      </c>
      <c r="V21" s="27" t="str">
        <f aca="false">IF(H21="","",IF(AND(AsOf-H21&gt;90,AsOf-H21&lt;=270),L21,""))</f>
        <v/>
      </c>
    </row>
    <row r="22" customFormat="false" ht="15" hidden="false" customHeight="false" outlineLevel="0" collapsed="false">
      <c r="A22" s="32" t="s">
        <v>184</v>
      </c>
      <c r="B22" s="34" t="n">
        <v>45804</v>
      </c>
      <c r="C22" s="32" t="s">
        <v>81</v>
      </c>
      <c r="D22" s="32" t="s">
        <v>155</v>
      </c>
      <c r="E22" s="32" t="s">
        <v>61</v>
      </c>
      <c r="F22" s="32" t="s">
        <v>100</v>
      </c>
      <c r="G22" s="32" t="s">
        <v>132</v>
      </c>
      <c r="H22" s="34" t="n">
        <v>45816</v>
      </c>
      <c r="I22" s="32"/>
      <c r="J22" s="34"/>
      <c r="K22" s="27" t="str">
        <f aca="false">IF(A22="","",IF(H22="","Open","Closed"))</f>
        <v>Closed</v>
      </c>
      <c r="L22" s="27" t="n">
        <f aca="false">IF(A22="","",IF(H22="",AsOf-B22,H22-B22))</f>
        <v>12</v>
      </c>
      <c r="M22" s="27" t="str">
        <f aca="false">IF(A22="","",IF(AND(K22="Open",L22&gt;Target),"Yes","No"))</f>
        <v>No</v>
      </c>
      <c r="N22" s="27" t="str">
        <f aca="false">IF(K22&lt;&gt;"Open","",IF(L22&lt;=30,"0-30",IF(L22&lt;=60,"31-60",IF(L22&lt;=90,"61-90","90+"))))</f>
        <v/>
      </c>
      <c r="O22" s="27" t="str">
        <f aca="false">IF(A22="","",IF(COUNTIFS($D$5:$D$400,D22,$F$5:$F$400,F22,$B$5:$B$400,"&gt;="&amp;(B22-RepeatWin),$B$5:$B$400,"&lt;"&amp;B22)&gt;0,"Yes","No"))</f>
        <v>No</v>
      </c>
      <c r="P22" s="35" t="str">
        <f aca="false">IF(OR(I22="",H22=""),"",H22+CapaDue)</f>
        <v/>
      </c>
      <c r="Q22" s="27" t="str">
        <f aca="false">IF(A22="","",IF(I22="","Not required",IF(J22&lt;&gt;"","Closed",IF(H22="","Awaiting dev. close",IF(AsOf&gt;P22,"Overdue","Open")))))</f>
        <v>Not required</v>
      </c>
      <c r="R22" s="27" t="str">
        <f aca="false">IF(J22="","",IF(COUNTIFS($D$5:$D$400,D22,$F$5:$F$400,F22,$B$5:$B$400,"&gt;"&amp;J22,$B$5:$B$400,"&lt;="&amp;(J22+EffWin))&gt;0,"Ineffective",IF(AsOf-J22&gt;=EffWin,"Effective","Check pending")))</f>
        <v/>
      </c>
      <c r="S22" s="36" t="n">
        <f aca="false">IF(A22="","",DATE(YEAR(B22),MONTH(B22),1))</f>
        <v>45778</v>
      </c>
      <c r="T22" s="36" t="n">
        <f aca="false">IF(H22="","",DATE(YEAR(H22),MONTH(H22),1))</f>
        <v>45809</v>
      </c>
      <c r="U22" s="27" t="str">
        <f aca="false">IF(H22="","",IF(AsOf-H22&lt;=90,L22,""))</f>
        <v/>
      </c>
      <c r="V22" s="27" t="str">
        <f aca="false">IF(H22="","",IF(AND(AsOf-H22&gt;90,AsOf-H22&lt;=270),L22,""))</f>
        <v/>
      </c>
    </row>
    <row r="23" customFormat="false" ht="15" hidden="false" customHeight="false" outlineLevel="0" collapsed="false">
      <c r="A23" s="32" t="s">
        <v>185</v>
      </c>
      <c r="B23" s="34" t="n">
        <v>45805</v>
      </c>
      <c r="C23" s="32" t="s">
        <v>73</v>
      </c>
      <c r="D23" s="32" t="s">
        <v>182</v>
      </c>
      <c r="E23" s="32" t="s">
        <v>61</v>
      </c>
      <c r="F23" s="32" t="s">
        <v>96</v>
      </c>
      <c r="G23" s="32" t="s">
        <v>128</v>
      </c>
      <c r="H23" s="34" t="n">
        <v>45822</v>
      </c>
      <c r="I23" s="32"/>
      <c r="J23" s="34"/>
      <c r="K23" s="27" t="str">
        <f aca="false">IF(A23="","",IF(H23="","Open","Closed"))</f>
        <v>Closed</v>
      </c>
      <c r="L23" s="27" t="n">
        <f aca="false">IF(A23="","",IF(H23="",AsOf-B23,H23-B23))</f>
        <v>17</v>
      </c>
      <c r="M23" s="27" t="str">
        <f aca="false">IF(A23="","",IF(AND(K23="Open",L23&gt;Target),"Yes","No"))</f>
        <v>No</v>
      </c>
      <c r="N23" s="27" t="str">
        <f aca="false">IF(K23&lt;&gt;"Open","",IF(L23&lt;=30,"0-30",IF(L23&lt;=60,"31-60",IF(L23&lt;=90,"61-90","90+"))))</f>
        <v/>
      </c>
      <c r="O23" s="27" t="str">
        <f aca="false">IF(A23="","",IF(COUNTIFS($D$5:$D$400,D23,$F$5:$F$400,F23,$B$5:$B$400,"&gt;="&amp;(B23-RepeatWin),$B$5:$B$400,"&lt;"&amp;B23)&gt;0,"Yes","No"))</f>
        <v>No</v>
      </c>
      <c r="P23" s="35" t="str">
        <f aca="false">IF(OR(I23="",H23=""),"",H23+CapaDue)</f>
        <v/>
      </c>
      <c r="Q23" s="27" t="str">
        <f aca="false">IF(A23="","",IF(I23="","Not required",IF(J23&lt;&gt;"","Closed",IF(H23="","Awaiting dev. close",IF(AsOf&gt;P23,"Overdue","Open")))))</f>
        <v>Not required</v>
      </c>
      <c r="R23" s="27" t="str">
        <f aca="false">IF(J23="","",IF(COUNTIFS($D$5:$D$400,D23,$F$5:$F$400,F23,$B$5:$B$400,"&gt;"&amp;J23,$B$5:$B$400,"&lt;="&amp;(J23+EffWin))&gt;0,"Ineffective",IF(AsOf-J23&gt;=EffWin,"Effective","Check pending")))</f>
        <v/>
      </c>
      <c r="S23" s="36" t="n">
        <f aca="false">IF(A23="","",DATE(YEAR(B23),MONTH(B23),1))</f>
        <v>45778</v>
      </c>
      <c r="T23" s="36" t="n">
        <f aca="false">IF(H23="","",DATE(YEAR(H23),MONTH(H23),1))</f>
        <v>45809</v>
      </c>
      <c r="U23" s="27" t="str">
        <f aca="false">IF(H23="","",IF(AsOf-H23&lt;=90,L23,""))</f>
        <v/>
      </c>
      <c r="V23" s="27" t="str">
        <f aca="false">IF(H23="","",IF(AND(AsOf-H23&gt;90,AsOf-H23&lt;=270),L23,""))</f>
        <v/>
      </c>
    </row>
    <row r="24" customFormat="false" ht="15" hidden="false" customHeight="false" outlineLevel="0" collapsed="false">
      <c r="A24" s="32" t="s">
        <v>186</v>
      </c>
      <c r="B24" s="34" t="n">
        <v>45810</v>
      </c>
      <c r="C24" s="32" t="s">
        <v>73</v>
      </c>
      <c r="D24" s="32" t="s">
        <v>164</v>
      </c>
      <c r="E24" s="32" t="s">
        <v>61</v>
      </c>
      <c r="F24" s="32" t="s">
        <v>95</v>
      </c>
      <c r="G24" s="32" t="s">
        <v>127</v>
      </c>
      <c r="H24" s="34" t="n">
        <v>45822</v>
      </c>
      <c r="I24" s="32"/>
      <c r="J24" s="34"/>
      <c r="K24" s="27" t="str">
        <f aca="false">IF(A24="","",IF(H24="","Open","Closed"))</f>
        <v>Closed</v>
      </c>
      <c r="L24" s="27" t="n">
        <f aca="false">IF(A24="","",IF(H24="",AsOf-B24,H24-B24))</f>
        <v>12</v>
      </c>
      <c r="M24" s="27" t="str">
        <f aca="false">IF(A24="","",IF(AND(K24="Open",L24&gt;Target),"Yes","No"))</f>
        <v>No</v>
      </c>
      <c r="N24" s="27" t="str">
        <f aca="false">IF(K24&lt;&gt;"Open","",IF(L24&lt;=30,"0-30",IF(L24&lt;=60,"31-60",IF(L24&lt;=90,"61-90","90+"))))</f>
        <v/>
      </c>
      <c r="O24" s="27" t="str">
        <f aca="false">IF(A24="","",IF(COUNTIFS($D$5:$D$400,D24,$F$5:$F$400,F24,$B$5:$B$400,"&gt;="&amp;(B24-RepeatWin),$B$5:$B$400,"&lt;"&amp;B24)&gt;0,"Yes","No"))</f>
        <v>No</v>
      </c>
      <c r="P24" s="35" t="str">
        <f aca="false">IF(OR(I24="",H24=""),"",H24+CapaDue)</f>
        <v/>
      </c>
      <c r="Q24" s="27" t="str">
        <f aca="false">IF(A24="","",IF(I24="","Not required",IF(J24&lt;&gt;"","Closed",IF(H24="","Awaiting dev. close",IF(AsOf&gt;P24,"Overdue","Open")))))</f>
        <v>Not required</v>
      </c>
      <c r="R24" s="27" t="str">
        <f aca="false">IF(J24="","",IF(COUNTIFS($D$5:$D$400,D24,$F$5:$F$400,F24,$B$5:$B$400,"&gt;"&amp;J24,$B$5:$B$400,"&lt;="&amp;(J24+EffWin))&gt;0,"Ineffective",IF(AsOf-J24&gt;=EffWin,"Effective","Check pending")))</f>
        <v/>
      </c>
      <c r="S24" s="36" t="n">
        <f aca="false">IF(A24="","",DATE(YEAR(B24),MONTH(B24),1))</f>
        <v>45809</v>
      </c>
      <c r="T24" s="36" t="n">
        <f aca="false">IF(H24="","",DATE(YEAR(H24),MONTH(H24),1))</f>
        <v>45809</v>
      </c>
      <c r="U24" s="27" t="str">
        <f aca="false">IF(H24="","",IF(AsOf-H24&lt;=90,L24,""))</f>
        <v/>
      </c>
      <c r="V24" s="27" t="str">
        <f aca="false">IF(H24="","",IF(AND(AsOf-H24&gt;90,AsOf-H24&lt;=270),L24,""))</f>
        <v/>
      </c>
    </row>
    <row r="25" customFormat="false" ht="15" hidden="false" customHeight="false" outlineLevel="0" collapsed="false">
      <c r="A25" s="32" t="s">
        <v>187</v>
      </c>
      <c r="B25" s="34" t="n">
        <v>45815</v>
      </c>
      <c r="C25" s="32" t="s">
        <v>75</v>
      </c>
      <c r="D25" s="32" t="s">
        <v>188</v>
      </c>
      <c r="E25" s="32" t="s">
        <v>61</v>
      </c>
      <c r="F25" s="32" t="s">
        <v>94</v>
      </c>
      <c r="G25" s="32" t="s">
        <v>126</v>
      </c>
      <c r="H25" s="34" t="n">
        <v>45833</v>
      </c>
      <c r="I25" s="32"/>
      <c r="J25" s="34"/>
      <c r="K25" s="27" t="str">
        <f aca="false">IF(A25="","",IF(H25="","Open","Closed"))</f>
        <v>Closed</v>
      </c>
      <c r="L25" s="27" t="n">
        <f aca="false">IF(A25="","",IF(H25="",AsOf-B25,H25-B25))</f>
        <v>18</v>
      </c>
      <c r="M25" s="27" t="str">
        <f aca="false">IF(A25="","",IF(AND(K25="Open",L25&gt;Target),"Yes","No"))</f>
        <v>No</v>
      </c>
      <c r="N25" s="27" t="str">
        <f aca="false">IF(K25&lt;&gt;"Open","",IF(L25&lt;=30,"0-30",IF(L25&lt;=60,"31-60",IF(L25&lt;=90,"61-90","90+"))))</f>
        <v/>
      </c>
      <c r="O25" s="27" t="str">
        <f aca="false">IF(A25="","",IF(COUNTIFS($D$5:$D$400,D25,$F$5:$F$400,F25,$B$5:$B$400,"&gt;="&amp;(B25-RepeatWin),$B$5:$B$400,"&lt;"&amp;B25)&gt;0,"Yes","No"))</f>
        <v>No</v>
      </c>
      <c r="P25" s="35" t="str">
        <f aca="false">IF(OR(I25="",H25=""),"",H25+CapaDue)</f>
        <v/>
      </c>
      <c r="Q25" s="27" t="str">
        <f aca="false">IF(A25="","",IF(I25="","Not required",IF(J25&lt;&gt;"","Closed",IF(H25="","Awaiting dev. close",IF(AsOf&gt;P25,"Overdue","Open")))))</f>
        <v>Not required</v>
      </c>
      <c r="R25" s="27" t="str">
        <f aca="false">IF(J25="","",IF(COUNTIFS($D$5:$D$400,D25,$F$5:$F$400,F25,$B$5:$B$400,"&gt;"&amp;J25,$B$5:$B$400,"&lt;="&amp;(J25+EffWin))&gt;0,"Ineffective",IF(AsOf-J25&gt;=EffWin,"Effective","Check pending")))</f>
        <v/>
      </c>
      <c r="S25" s="36" t="n">
        <f aca="false">IF(A25="","",DATE(YEAR(B25),MONTH(B25),1))</f>
        <v>45809</v>
      </c>
      <c r="T25" s="36" t="n">
        <f aca="false">IF(H25="","",DATE(YEAR(H25),MONTH(H25),1))</f>
        <v>45809</v>
      </c>
      <c r="U25" s="27" t="str">
        <f aca="false">IF(H25="","",IF(AsOf-H25&lt;=90,L25,""))</f>
        <v/>
      </c>
      <c r="V25" s="27" t="str">
        <f aca="false">IF(H25="","",IF(AND(AsOf-H25&gt;90,AsOf-H25&lt;=270),L25,""))</f>
        <v/>
      </c>
    </row>
    <row r="26" customFormat="false" ht="15" hidden="false" customHeight="false" outlineLevel="0" collapsed="false">
      <c r="A26" s="32" t="s">
        <v>189</v>
      </c>
      <c r="B26" s="34" t="n">
        <v>45818</v>
      </c>
      <c r="C26" s="32" t="s">
        <v>80</v>
      </c>
      <c r="D26" s="32" t="s">
        <v>190</v>
      </c>
      <c r="E26" s="32" t="s">
        <v>61</v>
      </c>
      <c r="F26" s="32" t="s">
        <v>94</v>
      </c>
      <c r="G26" s="32" t="s">
        <v>132</v>
      </c>
      <c r="H26" s="34" t="n">
        <v>45846</v>
      </c>
      <c r="I26" s="32"/>
      <c r="J26" s="34"/>
      <c r="K26" s="27" t="str">
        <f aca="false">IF(A26="","",IF(H26="","Open","Closed"))</f>
        <v>Closed</v>
      </c>
      <c r="L26" s="27" t="n">
        <f aca="false">IF(A26="","",IF(H26="",AsOf-B26,H26-B26))</f>
        <v>28</v>
      </c>
      <c r="M26" s="27" t="str">
        <f aca="false">IF(A26="","",IF(AND(K26="Open",L26&gt;Target),"Yes","No"))</f>
        <v>No</v>
      </c>
      <c r="N26" s="27" t="str">
        <f aca="false">IF(K26&lt;&gt;"Open","",IF(L26&lt;=30,"0-30",IF(L26&lt;=60,"31-60",IF(L26&lt;=90,"61-90","90+"))))</f>
        <v/>
      </c>
      <c r="O26" s="27" t="str">
        <f aca="false">IF(A26="","",IF(COUNTIFS($D$5:$D$400,D26,$F$5:$F$400,F26,$B$5:$B$400,"&gt;="&amp;(B26-RepeatWin),$B$5:$B$400,"&lt;"&amp;B26)&gt;0,"Yes","No"))</f>
        <v>No</v>
      </c>
      <c r="P26" s="35" t="str">
        <f aca="false">IF(OR(I26="",H26=""),"",H26+CapaDue)</f>
        <v/>
      </c>
      <c r="Q26" s="27" t="str">
        <f aca="false">IF(A26="","",IF(I26="","Not required",IF(J26&lt;&gt;"","Closed",IF(H26="","Awaiting dev. close",IF(AsOf&gt;P26,"Overdue","Open")))))</f>
        <v>Not required</v>
      </c>
      <c r="R26" s="27" t="str">
        <f aca="false">IF(J26="","",IF(COUNTIFS($D$5:$D$400,D26,$F$5:$F$400,F26,$B$5:$B$400,"&gt;"&amp;J26,$B$5:$B$400,"&lt;="&amp;(J26+EffWin))&gt;0,"Ineffective",IF(AsOf-J26&gt;=EffWin,"Effective","Check pending")))</f>
        <v/>
      </c>
      <c r="S26" s="36" t="n">
        <f aca="false">IF(A26="","",DATE(YEAR(B26),MONTH(B26),1))</f>
        <v>45809</v>
      </c>
      <c r="T26" s="36" t="n">
        <f aca="false">IF(H26="","",DATE(YEAR(H26),MONTH(H26),1))</f>
        <v>45839</v>
      </c>
      <c r="U26" s="27" t="str">
        <f aca="false">IF(H26="","",IF(AsOf-H26&lt;=90,L26,""))</f>
        <v/>
      </c>
      <c r="V26" s="27" t="str">
        <f aca="false">IF(H26="","",IF(AND(AsOf-H26&gt;90,AsOf-H26&lt;=270),L26,""))</f>
        <v/>
      </c>
    </row>
    <row r="27" customFormat="false" ht="15" hidden="false" customHeight="false" outlineLevel="0" collapsed="false">
      <c r="A27" s="32" t="s">
        <v>191</v>
      </c>
      <c r="B27" s="34" t="n">
        <v>45823</v>
      </c>
      <c r="C27" s="32" t="s">
        <v>75</v>
      </c>
      <c r="D27" s="32" t="s">
        <v>192</v>
      </c>
      <c r="E27" s="32" t="s">
        <v>59</v>
      </c>
      <c r="F27" s="32" t="s">
        <v>95</v>
      </c>
      <c r="G27" s="32" t="s">
        <v>132</v>
      </c>
      <c r="H27" s="34" t="n">
        <v>45848</v>
      </c>
      <c r="I27" s="32" t="s">
        <v>193</v>
      </c>
      <c r="J27" s="34" t="n">
        <v>45899</v>
      </c>
      <c r="K27" s="27" t="str">
        <f aca="false">IF(A27="","",IF(H27="","Open","Closed"))</f>
        <v>Closed</v>
      </c>
      <c r="L27" s="27" t="n">
        <f aca="false">IF(A27="","",IF(H27="",AsOf-B27,H27-B27))</f>
        <v>25</v>
      </c>
      <c r="M27" s="27" t="str">
        <f aca="false">IF(A27="","",IF(AND(K27="Open",L27&gt;Target),"Yes","No"))</f>
        <v>No</v>
      </c>
      <c r="N27" s="27" t="str">
        <f aca="false">IF(K27&lt;&gt;"Open","",IF(L27&lt;=30,"0-30",IF(L27&lt;=60,"31-60",IF(L27&lt;=90,"61-90","90+"))))</f>
        <v/>
      </c>
      <c r="O27" s="27" t="str">
        <f aca="false">IF(A27="","",IF(COUNTIFS($D$5:$D$400,D27,$F$5:$F$400,F27,$B$5:$B$400,"&gt;="&amp;(B27-RepeatWin),$B$5:$B$400,"&lt;"&amp;B27)&gt;0,"Yes","No"))</f>
        <v>No</v>
      </c>
      <c r="P27" s="35" t="n">
        <f aca="false">IF(OR(I27="",H27=""),"",H27+CapaDue)</f>
        <v>45938</v>
      </c>
      <c r="Q27" s="27" t="str">
        <f aca="false">IF(A27="","",IF(I27="","Not required",IF(J27&lt;&gt;"","Closed",IF(H27="","Awaiting dev. close",IF(AsOf&gt;P27,"Overdue","Open")))))</f>
        <v>Closed</v>
      </c>
      <c r="R27" s="27" t="str">
        <f aca="false">IF(J27="","",IF(COUNTIFS($D$5:$D$400,D27,$F$5:$F$400,F27,$B$5:$B$400,"&gt;"&amp;J27,$B$5:$B$400,"&lt;="&amp;(J27+EffWin))&gt;0,"Ineffective",IF(AsOf-J27&gt;=EffWin,"Effective","Check pending")))</f>
        <v>Effective</v>
      </c>
      <c r="S27" s="36" t="n">
        <f aca="false">IF(A27="","",DATE(YEAR(B27),MONTH(B27),1))</f>
        <v>45809</v>
      </c>
      <c r="T27" s="36" t="n">
        <f aca="false">IF(H27="","",DATE(YEAR(H27),MONTH(H27),1))</f>
        <v>45839</v>
      </c>
      <c r="U27" s="27" t="str">
        <f aca="false">IF(H27="","",IF(AsOf-H27&lt;=90,L27,""))</f>
        <v/>
      </c>
      <c r="V27" s="27" t="str">
        <f aca="false">IF(H27="","",IF(AND(AsOf-H27&gt;90,AsOf-H27&lt;=270),L27,""))</f>
        <v/>
      </c>
    </row>
    <row r="28" customFormat="false" ht="15" hidden="false" customHeight="false" outlineLevel="0" collapsed="false">
      <c r="A28" s="32" t="s">
        <v>194</v>
      </c>
      <c r="B28" s="34" t="n">
        <v>45824</v>
      </c>
      <c r="C28" s="32" t="s">
        <v>77</v>
      </c>
      <c r="D28" s="32" t="s">
        <v>195</v>
      </c>
      <c r="E28" s="32" t="s">
        <v>61</v>
      </c>
      <c r="F28" s="32" t="s">
        <v>99</v>
      </c>
      <c r="G28" s="32" t="s">
        <v>128</v>
      </c>
      <c r="H28" s="34" t="n">
        <v>45844</v>
      </c>
      <c r="I28" s="32"/>
      <c r="J28" s="34"/>
      <c r="K28" s="27" t="str">
        <f aca="false">IF(A28="","",IF(H28="","Open","Closed"))</f>
        <v>Closed</v>
      </c>
      <c r="L28" s="27" t="n">
        <f aca="false">IF(A28="","",IF(H28="",AsOf-B28,H28-B28))</f>
        <v>20</v>
      </c>
      <c r="M28" s="27" t="str">
        <f aca="false">IF(A28="","",IF(AND(K28="Open",L28&gt;Target),"Yes","No"))</f>
        <v>No</v>
      </c>
      <c r="N28" s="27" t="str">
        <f aca="false">IF(K28&lt;&gt;"Open","",IF(L28&lt;=30,"0-30",IF(L28&lt;=60,"31-60",IF(L28&lt;=90,"61-90","90+"))))</f>
        <v/>
      </c>
      <c r="O28" s="27" t="str">
        <f aca="false">IF(A28="","",IF(COUNTIFS($D$5:$D$400,D28,$F$5:$F$400,F28,$B$5:$B$400,"&gt;="&amp;(B28-RepeatWin),$B$5:$B$400,"&lt;"&amp;B28)&gt;0,"Yes","No"))</f>
        <v>No</v>
      </c>
      <c r="P28" s="35" t="str">
        <f aca="false">IF(OR(I28="",H28=""),"",H28+CapaDue)</f>
        <v/>
      </c>
      <c r="Q28" s="27" t="str">
        <f aca="false">IF(A28="","",IF(I28="","Not required",IF(J28&lt;&gt;"","Closed",IF(H28="","Awaiting dev. close",IF(AsOf&gt;P28,"Overdue","Open")))))</f>
        <v>Not required</v>
      </c>
      <c r="R28" s="27" t="str">
        <f aca="false">IF(J28="","",IF(COUNTIFS($D$5:$D$400,D28,$F$5:$F$400,F28,$B$5:$B$400,"&gt;"&amp;J28,$B$5:$B$400,"&lt;="&amp;(J28+EffWin))&gt;0,"Ineffective",IF(AsOf-J28&gt;=EffWin,"Effective","Check pending")))</f>
        <v/>
      </c>
      <c r="S28" s="36" t="n">
        <f aca="false">IF(A28="","",DATE(YEAR(B28),MONTH(B28),1))</f>
        <v>45809</v>
      </c>
      <c r="T28" s="36" t="n">
        <f aca="false">IF(H28="","",DATE(YEAR(H28),MONTH(H28),1))</f>
        <v>45839</v>
      </c>
      <c r="U28" s="27" t="str">
        <f aca="false">IF(H28="","",IF(AsOf-H28&lt;=90,L28,""))</f>
        <v/>
      </c>
      <c r="V28" s="27" t="str">
        <f aca="false">IF(H28="","",IF(AND(AsOf-H28&gt;90,AsOf-H28&lt;=270),L28,""))</f>
        <v/>
      </c>
    </row>
    <row r="29" customFormat="false" ht="15" hidden="false" customHeight="false" outlineLevel="0" collapsed="false">
      <c r="A29" s="32" t="s">
        <v>196</v>
      </c>
      <c r="B29" s="34" t="n">
        <v>45829</v>
      </c>
      <c r="C29" s="32" t="s">
        <v>80</v>
      </c>
      <c r="D29" s="32" t="s">
        <v>197</v>
      </c>
      <c r="E29" s="32" t="s">
        <v>61</v>
      </c>
      <c r="F29" s="32" t="s">
        <v>105</v>
      </c>
      <c r="G29" s="32" t="s">
        <v>130</v>
      </c>
      <c r="H29" s="34" t="n">
        <v>45854</v>
      </c>
      <c r="I29" s="32"/>
      <c r="J29" s="34"/>
      <c r="K29" s="27" t="str">
        <f aca="false">IF(A29="","",IF(H29="","Open","Closed"))</f>
        <v>Closed</v>
      </c>
      <c r="L29" s="27" t="n">
        <f aca="false">IF(A29="","",IF(H29="",AsOf-B29,H29-B29))</f>
        <v>25</v>
      </c>
      <c r="M29" s="27" t="str">
        <f aca="false">IF(A29="","",IF(AND(K29="Open",L29&gt;Target),"Yes","No"))</f>
        <v>No</v>
      </c>
      <c r="N29" s="27" t="str">
        <f aca="false">IF(K29&lt;&gt;"Open","",IF(L29&lt;=30,"0-30",IF(L29&lt;=60,"31-60",IF(L29&lt;=90,"61-90","90+"))))</f>
        <v/>
      </c>
      <c r="O29" s="27" t="str">
        <f aca="false">IF(A29="","",IF(COUNTIFS($D$5:$D$400,D29,$F$5:$F$400,F29,$B$5:$B$400,"&gt;="&amp;(B29-RepeatWin),$B$5:$B$400,"&lt;"&amp;B29)&gt;0,"Yes","No"))</f>
        <v>No</v>
      </c>
      <c r="P29" s="35" t="str">
        <f aca="false">IF(OR(I29="",H29=""),"",H29+CapaDue)</f>
        <v/>
      </c>
      <c r="Q29" s="27" t="str">
        <f aca="false">IF(A29="","",IF(I29="","Not required",IF(J29&lt;&gt;"","Closed",IF(H29="","Awaiting dev. close",IF(AsOf&gt;P29,"Overdue","Open")))))</f>
        <v>Not required</v>
      </c>
      <c r="R29" s="27" t="str">
        <f aca="false">IF(J29="","",IF(COUNTIFS($D$5:$D$400,D29,$F$5:$F$400,F29,$B$5:$B$400,"&gt;"&amp;J29,$B$5:$B$400,"&lt;="&amp;(J29+EffWin))&gt;0,"Ineffective",IF(AsOf-J29&gt;=EffWin,"Effective","Check pending")))</f>
        <v/>
      </c>
      <c r="S29" s="36" t="n">
        <f aca="false">IF(A29="","",DATE(YEAR(B29),MONTH(B29),1))</f>
        <v>45809</v>
      </c>
      <c r="T29" s="36" t="n">
        <f aca="false">IF(H29="","",DATE(YEAR(H29),MONTH(H29),1))</f>
        <v>45839</v>
      </c>
      <c r="U29" s="27" t="str">
        <f aca="false">IF(H29="","",IF(AsOf-H29&lt;=90,L29,""))</f>
        <v/>
      </c>
      <c r="V29" s="27" t="str">
        <f aca="false">IF(H29="","",IF(AND(AsOf-H29&gt;90,AsOf-H29&lt;=270),L29,""))</f>
        <v/>
      </c>
    </row>
    <row r="30" customFormat="false" ht="15" hidden="false" customHeight="false" outlineLevel="0" collapsed="false">
      <c r="A30" s="32" t="s">
        <v>198</v>
      </c>
      <c r="B30" s="34" t="n">
        <v>45834</v>
      </c>
      <c r="C30" s="32" t="s">
        <v>80</v>
      </c>
      <c r="D30" s="32" t="s">
        <v>199</v>
      </c>
      <c r="E30" s="32" t="s">
        <v>61</v>
      </c>
      <c r="F30" s="32" t="s">
        <v>105</v>
      </c>
      <c r="G30" s="32" t="s">
        <v>130</v>
      </c>
      <c r="H30" s="34" t="n">
        <v>45856</v>
      </c>
      <c r="I30" s="32"/>
      <c r="J30" s="34"/>
      <c r="K30" s="27" t="str">
        <f aca="false">IF(A30="","",IF(H30="","Open","Closed"))</f>
        <v>Closed</v>
      </c>
      <c r="L30" s="27" t="n">
        <f aca="false">IF(A30="","",IF(H30="",AsOf-B30,H30-B30))</f>
        <v>22</v>
      </c>
      <c r="M30" s="27" t="str">
        <f aca="false">IF(A30="","",IF(AND(K30="Open",L30&gt;Target),"Yes","No"))</f>
        <v>No</v>
      </c>
      <c r="N30" s="27" t="str">
        <f aca="false">IF(K30&lt;&gt;"Open","",IF(L30&lt;=30,"0-30",IF(L30&lt;=60,"31-60",IF(L30&lt;=90,"61-90","90+"))))</f>
        <v/>
      </c>
      <c r="O30" s="27" t="str">
        <f aca="false">IF(A30="","",IF(COUNTIFS($D$5:$D$400,D30,$F$5:$F$400,F30,$B$5:$B$400,"&gt;="&amp;(B30-RepeatWin),$B$5:$B$400,"&lt;"&amp;B30)&gt;0,"Yes","No"))</f>
        <v>No</v>
      </c>
      <c r="P30" s="35" t="str">
        <f aca="false">IF(OR(I30="",H30=""),"",H30+CapaDue)</f>
        <v/>
      </c>
      <c r="Q30" s="27" t="str">
        <f aca="false">IF(A30="","",IF(I30="","Not required",IF(J30&lt;&gt;"","Closed",IF(H30="","Awaiting dev. close",IF(AsOf&gt;P30,"Overdue","Open")))))</f>
        <v>Not required</v>
      </c>
      <c r="R30" s="27" t="str">
        <f aca="false">IF(J30="","",IF(COUNTIFS($D$5:$D$400,D30,$F$5:$F$400,F30,$B$5:$B$400,"&gt;"&amp;J30,$B$5:$B$400,"&lt;="&amp;(J30+EffWin))&gt;0,"Ineffective",IF(AsOf-J30&gt;=EffWin,"Effective","Check pending")))</f>
        <v/>
      </c>
      <c r="S30" s="36" t="n">
        <f aca="false">IF(A30="","",DATE(YEAR(B30),MONTH(B30),1))</f>
        <v>45809</v>
      </c>
      <c r="T30" s="36" t="n">
        <f aca="false">IF(H30="","",DATE(YEAR(H30),MONTH(H30),1))</f>
        <v>45839</v>
      </c>
      <c r="U30" s="27" t="str">
        <f aca="false">IF(H30="","",IF(AsOf-H30&lt;=90,L30,""))</f>
        <v/>
      </c>
      <c r="V30" s="27" t="str">
        <f aca="false">IF(H30="","",IF(AND(AsOf-H30&gt;90,AsOf-H30&lt;=270),L30,""))</f>
        <v/>
      </c>
    </row>
    <row r="31" customFormat="false" ht="15" hidden="false" customHeight="false" outlineLevel="0" collapsed="false">
      <c r="A31" s="32" t="s">
        <v>200</v>
      </c>
      <c r="B31" s="34" t="n">
        <v>45834</v>
      </c>
      <c r="C31" s="32" t="s">
        <v>80</v>
      </c>
      <c r="D31" s="32" t="s">
        <v>201</v>
      </c>
      <c r="E31" s="32" t="s">
        <v>61</v>
      </c>
      <c r="F31" s="32" t="s">
        <v>98</v>
      </c>
      <c r="G31" s="32" t="s">
        <v>132</v>
      </c>
      <c r="H31" s="34" t="n">
        <v>45848</v>
      </c>
      <c r="I31" s="32"/>
      <c r="J31" s="34"/>
      <c r="K31" s="27" t="str">
        <f aca="false">IF(A31="","",IF(H31="","Open","Closed"))</f>
        <v>Closed</v>
      </c>
      <c r="L31" s="27" t="n">
        <f aca="false">IF(A31="","",IF(H31="",AsOf-B31,H31-B31))</f>
        <v>14</v>
      </c>
      <c r="M31" s="27" t="str">
        <f aca="false">IF(A31="","",IF(AND(K31="Open",L31&gt;Target),"Yes","No"))</f>
        <v>No</v>
      </c>
      <c r="N31" s="27" t="str">
        <f aca="false">IF(K31&lt;&gt;"Open","",IF(L31&lt;=30,"0-30",IF(L31&lt;=60,"31-60",IF(L31&lt;=90,"61-90","90+"))))</f>
        <v/>
      </c>
      <c r="O31" s="27" t="str">
        <f aca="false">IF(A31="","",IF(COUNTIFS($D$5:$D$400,D31,$F$5:$F$400,F31,$B$5:$B$400,"&gt;="&amp;(B31-RepeatWin),$B$5:$B$400,"&lt;"&amp;B31)&gt;0,"Yes","No"))</f>
        <v>No</v>
      </c>
      <c r="P31" s="35" t="str">
        <f aca="false">IF(OR(I31="",H31=""),"",H31+CapaDue)</f>
        <v/>
      </c>
      <c r="Q31" s="27" t="str">
        <f aca="false">IF(A31="","",IF(I31="","Not required",IF(J31&lt;&gt;"","Closed",IF(H31="","Awaiting dev. close",IF(AsOf&gt;P31,"Overdue","Open")))))</f>
        <v>Not required</v>
      </c>
      <c r="R31" s="27" t="str">
        <f aca="false">IF(J31="","",IF(COUNTIFS($D$5:$D$400,D31,$F$5:$F$400,F31,$B$5:$B$400,"&gt;"&amp;J31,$B$5:$B$400,"&lt;="&amp;(J31+EffWin))&gt;0,"Ineffective",IF(AsOf-J31&gt;=EffWin,"Effective","Check pending")))</f>
        <v/>
      </c>
      <c r="S31" s="36" t="n">
        <f aca="false">IF(A31="","",DATE(YEAR(B31),MONTH(B31),1))</f>
        <v>45809</v>
      </c>
      <c r="T31" s="36" t="n">
        <f aca="false">IF(H31="","",DATE(YEAR(H31),MONTH(H31),1))</f>
        <v>45839</v>
      </c>
      <c r="U31" s="27" t="str">
        <f aca="false">IF(H31="","",IF(AsOf-H31&lt;=90,L31,""))</f>
        <v/>
      </c>
      <c r="V31" s="27" t="str">
        <f aca="false">IF(H31="","",IF(AND(AsOf-H31&gt;90,AsOf-H31&lt;=270),L31,""))</f>
        <v/>
      </c>
    </row>
    <row r="32" customFormat="false" ht="15" hidden="false" customHeight="false" outlineLevel="0" collapsed="false">
      <c r="A32" s="32" t="s">
        <v>202</v>
      </c>
      <c r="B32" s="34" t="n">
        <v>45835</v>
      </c>
      <c r="C32" s="32" t="s">
        <v>73</v>
      </c>
      <c r="D32" s="32" t="s">
        <v>182</v>
      </c>
      <c r="E32" s="32" t="s">
        <v>61</v>
      </c>
      <c r="F32" s="32" t="s">
        <v>94</v>
      </c>
      <c r="G32" s="32" t="s">
        <v>126</v>
      </c>
      <c r="H32" s="34" t="n">
        <v>45853</v>
      </c>
      <c r="I32" s="32"/>
      <c r="J32" s="34"/>
      <c r="K32" s="27" t="str">
        <f aca="false">IF(A32="","",IF(H32="","Open","Closed"))</f>
        <v>Closed</v>
      </c>
      <c r="L32" s="27" t="n">
        <f aca="false">IF(A32="","",IF(H32="",AsOf-B32,H32-B32))</f>
        <v>18</v>
      </c>
      <c r="M32" s="27" t="str">
        <f aca="false">IF(A32="","",IF(AND(K32="Open",L32&gt;Target),"Yes","No"))</f>
        <v>No</v>
      </c>
      <c r="N32" s="27" t="str">
        <f aca="false">IF(K32&lt;&gt;"Open","",IF(L32&lt;=30,"0-30",IF(L32&lt;=60,"31-60",IF(L32&lt;=90,"61-90","90+"))))</f>
        <v/>
      </c>
      <c r="O32" s="27" t="str">
        <f aca="false">IF(A32="","",IF(COUNTIFS($D$5:$D$400,D32,$F$5:$F$400,F32,$B$5:$B$400,"&gt;="&amp;(B32-RepeatWin),$B$5:$B$400,"&lt;"&amp;B32)&gt;0,"Yes","No"))</f>
        <v>No</v>
      </c>
      <c r="P32" s="35" t="str">
        <f aca="false">IF(OR(I32="",H32=""),"",H32+CapaDue)</f>
        <v/>
      </c>
      <c r="Q32" s="27" t="str">
        <f aca="false">IF(A32="","",IF(I32="","Not required",IF(J32&lt;&gt;"","Closed",IF(H32="","Awaiting dev. close",IF(AsOf&gt;P32,"Overdue","Open")))))</f>
        <v>Not required</v>
      </c>
      <c r="R32" s="27" t="str">
        <f aca="false">IF(J32="","",IF(COUNTIFS($D$5:$D$400,D32,$F$5:$F$400,F32,$B$5:$B$400,"&gt;"&amp;J32,$B$5:$B$400,"&lt;="&amp;(J32+EffWin))&gt;0,"Ineffective",IF(AsOf-J32&gt;=EffWin,"Effective","Check pending")))</f>
        <v/>
      </c>
      <c r="S32" s="36" t="n">
        <f aca="false">IF(A32="","",DATE(YEAR(B32),MONTH(B32),1))</f>
        <v>45809</v>
      </c>
      <c r="T32" s="36" t="n">
        <f aca="false">IF(H32="","",DATE(YEAR(H32),MONTH(H32),1))</f>
        <v>45839</v>
      </c>
      <c r="U32" s="27" t="str">
        <f aca="false">IF(H32="","",IF(AsOf-H32&lt;=90,L32,""))</f>
        <v/>
      </c>
      <c r="V32" s="27" t="str">
        <f aca="false">IF(H32="","",IF(AND(AsOf-H32&gt;90,AsOf-H32&lt;=270),L32,""))</f>
        <v/>
      </c>
    </row>
    <row r="33" customFormat="false" ht="15" hidden="false" customHeight="false" outlineLevel="0" collapsed="false">
      <c r="A33" s="32" t="s">
        <v>203</v>
      </c>
      <c r="B33" s="34" t="n">
        <v>45837</v>
      </c>
      <c r="C33" s="32" t="s">
        <v>79</v>
      </c>
      <c r="D33" s="32" t="s">
        <v>204</v>
      </c>
      <c r="E33" s="32" t="s">
        <v>61</v>
      </c>
      <c r="F33" s="32" t="s">
        <v>94</v>
      </c>
      <c r="G33" s="32" t="s">
        <v>130</v>
      </c>
      <c r="H33" s="34" t="n">
        <v>45856</v>
      </c>
      <c r="I33" s="32"/>
      <c r="J33" s="34"/>
      <c r="K33" s="27" t="str">
        <f aca="false">IF(A33="","",IF(H33="","Open","Closed"))</f>
        <v>Closed</v>
      </c>
      <c r="L33" s="27" t="n">
        <f aca="false">IF(A33="","",IF(H33="",AsOf-B33,H33-B33))</f>
        <v>19</v>
      </c>
      <c r="M33" s="27" t="str">
        <f aca="false">IF(A33="","",IF(AND(K33="Open",L33&gt;Target),"Yes","No"))</f>
        <v>No</v>
      </c>
      <c r="N33" s="27" t="str">
        <f aca="false">IF(K33&lt;&gt;"Open","",IF(L33&lt;=30,"0-30",IF(L33&lt;=60,"31-60",IF(L33&lt;=90,"61-90","90+"))))</f>
        <v/>
      </c>
      <c r="O33" s="27" t="str">
        <f aca="false">IF(A33="","",IF(COUNTIFS($D$5:$D$400,D33,$F$5:$F$400,F33,$B$5:$B$400,"&gt;="&amp;(B33-RepeatWin),$B$5:$B$400,"&lt;"&amp;B33)&gt;0,"Yes","No"))</f>
        <v>No</v>
      </c>
      <c r="P33" s="35" t="str">
        <f aca="false">IF(OR(I33="",H33=""),"",H33+CapaDue)</f>
        <v/>
      </c>
      <c r="Q33" s="27" t="str">
        <f aca="false">IF(A33="","",IF(I33="","Not required",IF(J33&lt;&gt;"","Closed",IF(H33="","Awaiting dev. close",IF(AsOf&gt;P33,"Overdue","Open")))))</f>
        <v>Not required</v>
      </c>
      <c r="R33" s="27" t="str">
        <f aca="false">IF(J33="","",IF(COUNTIFS($D$5:$D$400,D33,$F$5:$F$400,F33,$B$5:$B$400,"&gt;"&amp;J33,$B$5:$B$400,"&lt;="&amp;(J33+EffWin))&gt;0,"Ineffective",IF(AsOf-J33&gt;=EffWin,"Effective","Check pending")))</f>
        <v/>
      </c>
      <c r="S33" s="36" t="n">
        <f aca="false">IF(A33="","",DATE(YEAR(B33),MONTH(B33),1))</f>
        <v>45809</v>
      </c>
      <c r="T33" s="36" t="n">
        <f aca="false">IF(H33="","",DATE(YEAR(H33),MONTH(H33),1))</f>
        <v>45839</v>
      </c>
      <c r="U33" s="27" t="str">
        <f aca="false">IF(H33="","",IF(AsOf-H33&lt;=90,L33,""))</f>
        <v/>
      </c>
      <c r="V33" s="27" t="str">
        <f aca="false">IF(H33="","",IF(AND(AsOf-H33&gt;90,AsOf-H33&lt;=270),L33,""))</f>
        <v/>
      </c>
    </row>
    <row r="34" customFormat="false" ht="15" hidden="false" customHeight="false" outlineLevel="0" collapsed="false">
      <c r="A34" s="32" t="s">
        <v>205</v>
      </c>
      <c r="B34" s="34" t="n">
        <v>45840</v>
      </c>
      <c r="C34" s="32" t="s">
        <v>73</v>
      </c>
      <c r="D34" s="32" t="s">
        <v>158</v>
      </c>
      <c r="E34" s="32" t="s">
        <v>57</v>
      </c>
      <c r="F34" s="32" t="s">
        <v>94</v>
      </c>
      <c r="G34" s="32" t="s">
        <v>130</v>
      </c>
      <c r="H34" s="34" t="n">
        <v>45867</v>
      </c>
      <c r="I34" s="32" t="s">
        <v>206</v>
      </c>
      <c r="J34" s="34" t="n">
        <v>45936</v>
      </c>
      <c r="K34" s="27" t="str">
        <f aca="false">IF(A34="","",IF(H34="","Open","Closed"))</f>
        <v>Closed</v>
      </c>
      <c r="L34" s="27" t="n">
        <f aca="false">IF(A34="","",IF(H34="",AsOf-B34,H34-B34))</f>
        <v>27</v>
      </c>
      <c r="M34" s="27" t="str">
        <f aca="false">IF(A34="","",IF(AND(K34="Open",L34&gt;Target),"Yes","No"))</f>
        <v>No</v>
      </c>
      <c r="N34" s="27" t="str">
        <f aca="false">IF(K34&lt;&gt;"Open","",IF(L34&lt;=30,"0-30",IF(L34&lt;=60,"31-60",IF(L34&lt;=90,"61-90","90+"))))</f>
        <v/>
      </c>
      <c r="O34" s="27" t="str">
        <f aca="false">IF(A34="","",IF(COUNTIFS($D$5:$D$400,D34,$F$5:$F$400,F34,$B$5:$B$400,"&gt;="&amp;(B34-RepeatWin),$B$5:$B$400,"&lt;"&amp;B34)&gt;0,"Yes","No"))</f>
        <v>No</v>
      </c>
      <c r="P34" s="35" t="n">
        <f aca="false">IF(OR(I34="",H34=""),"",H34+CapaDue)</f>
        <v>45957</v>
      </c>
      <c r="Q34" s="27" t="str">
        <f aca="false">IF(A34="","",IF(I34="","Not required",IF(J34&lt;&gt;"","Closed",IF(H34="","Awaiting dev. close",IF(AsOf&gt;P34,"Overdue","Open")))))</f>
        <v>Closed</v>
      </c>
      <c r="R34" s="27" t="str">
        <f aca="false">IF(J34="","",IF(COUNTIFS($D$5:$D$400,D34,$F$5:$F$400,F34,$B$5:$B$400,"&gt;"&amp;J34,$B$5:$B$400,"&lt;="&amp;(J34+EffWin))&gt;0,"Ineffective",IF(AsOf-J34&gt;=EffWin,"Effective","Check pending")))</f>
        <v>Effective</v>
      </c>
      <c r="S34" s="36" t="n">
        <f aca="false">IF(A34="","",DATE(YEAR(B34),MONTH(B34),1))</f>
        <v>45839</v>
      </c>
      <c r="T34" s="36" t="n">
        <f aca="false">IF(H34="","",DATE(YEAR(H34),MONTH(H34),1))</f>
        <v>45839</v>
      </c>
      <c r="U34" s="27" t="str">
        <f aca="false">IF(H34="","",IF(AsOf-H34&lt;=90,L34,""))</f>
        <v/>
      </c>
      <c r="V34" s="27" t="str">
        <f aca="false">IF(H34="","",IF(AND(AsOf-H34&gt;90,AsOf-H34&lt;=270),L34,""))</f>
        <v/>
      </c>
    </row>
    <row r="35" customFormat="false" ht="15" hidden="false" customHeight="false" outlineLevel="0" collapsed="false">
      <c r="A35" s="32" t="s">
        <v>207</v>
      </c>
      <c r="B35" s="34" t="n">
        <v>45844</v>
      </c>
      <c r="C35" s="32" t="s">
        <v>75</v>
      </c>
      <c r="D35" s="32" t="s">
        <v>208</v>
      </c>
      <c r="E35" s="32" t="s">
        <v>61</v>
      </c>
      <c r="F35" s="32" t="s">
        <v>95</v>
      </c>
      <c r="G35" s="32" t="s">
        <v>128</v>
      </c>
      <c r="H35" s="34" t="n">
        <v>45859</v>
      </c>
      <c r="I35" s="32"/>
      <c r="J35" s="34"/>
      <c r="K35" s="27" t="str">
        <f aca="false">IF(A35="","",IF(H35="","Open","Closed"))</f>
        <v>Closed</v>
      </c>
      <c r="L35" s="27" t="n">
        <f aca="false">IF(A35="","",IF(H35="",AsOf-B35,H35-B35))</f>
        <v>15</v>
      </c>
      <c r="M35" s="27" t="str">
        <f aca="false">IF(A35="","",IF(AND(K35="Open",L35&gt;Target),"Yes","No"))</f>
        <v>No</v>
      </c>
      <c r="N35" s="27" t="str">
        <f aca="false">IF(K35&lt;&gt;"Open","",IF(L35&lt;=30,"0-30",IF(L35&lt;=60,"31-60",IF(L35&lt;=90,"61-90","90+"))))</f>
        <v/>
      </c>
      <c r="O35" s="27" t="str">
        <f aca="false">IF(A35="","",IF(COUNTIFS($D$5:$D$400,D35,$F$5:$F$400,F35,$B$5:$B$400,"&gt;="&amp;(B35-RepeatWin),$B$5:$B$400,"&lt;"&amp;B35)&gt;0,"Yes","No"))</f>
        <v>No</v>
      </c>
      <c r="P35" s="35" t="str">
        <f aca="false">IF(OR(I35="",H35=""),"",H35+CapaDue)</f>
        <v/>
      </c>
      <c r="Q35" s="27" t="str">
        <f aca="false">IF(A35="","",IF(I35="","Not required",IF(J35&lt;&gt;"","Closed",IF(H35="","Awaiting dev. close",IF(AsOf&gt;P35,"Overdue","Open")))))</f>
        <v>Not required</v>
      </c>
      <c r="R35" s="27" t="str">
        <f aca="false">IF(J35="","",IF(COUNTIFS($D$5:$D$400,D35,$F$5:$F$400,F35,$B$5:$B$400,"&gt;"&amp;J35,$B$5:$B$400,"&lt;="&amp;(J35+EffWin))&gt;0,"Ineffective",IF(AsOf-J35&gt;=EffWin,"Effective","Check pending")))</f>
        <v/>
      </c>
      <c r="S35" s="36" t="n">
        <f aca="false">IF(A35="","",DATE(YEAR(B35),MONTH(B35),1))</f>
        <v>45839</v>
      </c>
      <c r="T35" s="36" t="n">
        <f aca="false">IF(H35="","",DATE(YEAR(H35),MONTH(H35),1))</f>
        <v>45839</v>
      </c>
      <c r="U35" s="27" t="str">
        <f aca="false">IF(H35="","",IF(AsOf-H35&lt;=90,L35,""))</f>
        <v/>
      </c>
      <c r="V35" s="27" t="str">
        <f aca="false">IF(H35="","",IF(AND(AsOf-H35&gt;90,AsOf-H35&lt;=270),L35,""))</f>
        <v/>
      </c>
    </row>
    <row r="36" customFormat="false" ht="15" hidden="false" customHeight="false" outlineLevel="0" collapsed="false">
      <c r="A36" s="32" t="s">
        <v>209</v>
      </c>
      <c r="B36" s="34" t="n">
        <v>45846</v>
      </c>
      <c r="C36" s="32" t="s">
        <v>73</v>
      </c>
      <c r="D36" s="32" t="s">
        <v>182</v>
      </c>
      <c r="E36" s="32" t="s">
        <v>61</v>
      </c>
      <c r="F36" s="32" t="s">
        <v>97</v>
      </c>
      <c r="G36" s="32" t="s">
        <v>131</v>
      </c>
      <c r="H36" s="34" t="n">
        <v>45860</v>
      </c>
      <c r="I36" s="32"/>
      <c r="J36" s="34"/>
      <c r="K36" s="27" t="str">
        <f aca="false">IF(A36="","",IF(H36="","Open","Closed"))</f>
        <v>Closed</v>
      </c>
      <c r="L36" s="27" t="n">
        <f aca="false">IF(A36="","",IF(H36="",AsOf-B36,H36-B36))</f>
        <v>14</v>
      </c>
      <c r="M36" s="27" t="str">
        <f aca="false">IF(A36="","",IF(AND(K36="Open",L36&gt;Target),"Yes","No"))</f>
        <v>No</v>
      </c>
      <c r="N36" s="27" t="str">
        <f aca="false">IF(K36&lt;&gt;"Open","",IF(L36&lt;=30,"0-30",IF(L36&lt;=60,"31-60",IF(L36&lt;=90,"61-90","90+"))))</f>
        <v/>
      </c>
      <c r="O36" s="27" t="str">
        <f aca="false">IF(A36="","",IF(COUNTIFS($D$5:$D$400,D36,$F$5:$F$400,F36,$B$5:$B$400,"&gt;="&amp;(B36-RepeatWin),$B$5:$B$400,"&lt;"&amp;B36)&gt;0,"Yes","No"))</f>
        <v>No</v>
      </c>
      <c r="P36" s="35" t="str">
        <f aca="false">IF(OR(I36="",H36=""),"",H36+CapaDue)</f>
        <v/>
      </c>
      <c r="Q36" s="27" t="str">
        <f aca="false">IF(A36="","",IF(I36="","Not required",IF(J36&lt;&gt;"","Closed",IF(H36="","Awaiting dev. close",IF(AsOf&gt;P36,"Overdue","Open")))))</f>
        <v>Not required</v>
      </c>
      <c r="R36" s="27" t="str">
        <f aca="false">IF(J36="","",IF(COUNTIFS($D$5:$D$400,D36,$F$5:$F$400,F36,$B$5:$B$400,"&gt;"&amp;J36,$B$5:$B$400,"&lt;="&amp;(J36+EffWin))&gt;0,"Ineffective",IF(AsOf-J36&gt;=EffWin,"Effective","Check pending")))</f>
        <v/>
      </c>
      <c r="S36" s="36" t="n">
        <f aca="false">IF(A36="","",DATE(YEAR(B36),MONTH(B36),1))</f>
        <v>45839</v>
      </c>
      <c r="T36" s="36" t="n">
        <f aca="false">IF(H36="","",DATE(YEAR(H36),MONTH(H36),1))</f>
        <v>45839</v>
      </c>
      <c r="U36" s="27" t="str">
        <f aca="false">IF(H36="","",IF(AsOf-H36&lt;=90,L36,""))</f>
        <v/>
      </c>
      <c r="V36" s="27" t="str">
        <f aca="false">IF(H36="","",IF(AND(AsOf-H36&gt;90,AsOf-H36&lt;=270),L36,""))</f>
        <v/>
      </c>
    </row>
    <row r="37" customFormat="false" ht="15" hidden="false" customHeight="false" outlineLevel="0" collapsed="false">
      <c r="A37" s="32" t="s">
        <v>210</v>
      </c>
      <c r="B37" s="34" t="n">
        <v>45847</v>
      </c>
      <c r="C37" s="32" t="s">
        <v>81</v>
      </c>
      <c r="D37" s="32" t="s">
        <v>211</v>
      </c>
      <c r="E37" s="32" t="s">
        <v>57</v>
      </c>
      <c r="F37" s="32" t="s">
        <v>104</v>
      </c>
      <c r="G37" s="32" t="s">
        <v>130</v>
      </c>
      <c r="H37" s="34" t="n">
        <v>45867</v>
      </c>
      <c r="I37" s="32" t="s">
        <v>212</v>
      </c>
      <c r="J37" s="34" t="n">
        <v>45933</v>
      </c>
      <c r="K37" s="27" t="str">
        <f aca="false">IF(A37="","",IF(H37="","Open","Closed"))</f>
        <v>Closed</v>
      </c>
      <c r="L37" s="27" t="n">
        <f aca="false">IF(A37="","",IF(H37="",AsOf-B37,H37-B37))</f>
        <v>20</v>
      </c>
      <c r="M37" s="27" t="str">
        <f aca="false">IF(A37="","",IF(AND(K37="Open",L37&gt;Target),"Yes","No"))</f>
        <v>No</v>
      </c>
      <c r="N37" s="27" t="str">
        <f aca="false">IF(K37&lt;&gt;"Open","",IF(L37&lt;=30,"0-30",IF(L37&lt;=60,"31-60",IF(L37&lt;=90,"61-90","90+"))))</f>
        <v/>
      </c>
      <c r="O37" s="27" t="str">
        <f aca="false">IF(A37="","",IF(COUNTIFS($D$5:$D$400,D37,$F$5:$F$400,F37,$B$5:$B$400,"&gt;="&amp;(B37-RepeatWin),$B$5:$B$400,"&lt;"&amp;B37)&gt;0,"Yes","No"))</f>
        <v>No</v>
      </c>
      <c r="P37" s="35" t="n">
        <f aca="false">IF(OR(I37="",H37=""),"",H37+CapaDue)</f>
        <v>45957</v>
      </c>
      <c r="Q37" s="27" t="str">
        <f aca="false">IF(A37="","",IF(I37="","Not required",IF(J37&lt;&gt;"","Closed",IF(H37="","Awaiting dev. close",IF(AsOf&gt;P37,"Overdue","Open")))))</f>
        <v>Closed</v>
      </c>
      <c r="R37" s="27" t="str">
        <f aca="false">IF(J37="","",IF(COUNTIFS($D$5:$D$400,D37,$F$5:$F$400,F37,$B$5:$B$400,"&gt;"&amp;J37,$B$5:$B$400,"&lt;="&amp;(J37+EffWin))&gt;0,"Ineffective",IF(AsOf-J37&gt;=EffWin,"Effective","Check pending")))</f>
        <v>Effective</v>
      </c>
      <c r="S37" s="36" t="n">
        <f aca="false">IF(A37="","",DATE(YEAR(B37),MONTH(B37),1))</f>
        <v>45839</v>
      </c>
      <c r="T37" s="36" t="n">
        <f aca="false">IF(H37="","",DATE(YEAR(H37),MONTH(H37),1))</f>
        <v>45839</v>
      </c>
      <c r="U37" s="27" t="str">
        <f aca="false">IF(H37="","",IF(AsOf-H37&lt;=90,L37,""))</f>
        <v/>
      </c>
      <c r="V37" s="27" t="str">
        <f aca="false">IF(H37="","",IF(AND(AsOf-H37&gt;90,AsOf-H37&lt;=270),L37,""))</f>
        <v/>
      </c>
    </row>
    <row r="38" customFormat="false" ht="15" hidden="false" customHeight="false" outlineLevel="0" collapsed="false">
      <c r="A38" s="32" t="s">
        <v>213</v>
      </c>
      <c r="B38" s="34" t="n">
        <v>45850</v>
      </c>
      <c r="C38" s="32" t="s">
        <v>79</v>
      </c>
      <c r="D38" s="32" t="s">
        <v>204</v>
      </c>
      <c r="E38" s="32" t="s">
        <v>61</v>
      </c>
      <c r="F38" s="32" t="s">
        <v>96</v>
      </c>
      <c r="G38" s="32" t="s">
        <v>132</v>
      </c>
      <c r="H38" s="34" t="n">
        <v>45861</v>
      </c>
      <c r="I38" s="32"/>
      <c r="J38" s="34"/>
      <c r="K38" s="27" t="str">
        <f aca="false">IF(A38="","",IF(H38="","Open","Closed"))</f>
        <v>Closed</v>
      </c>
      <c r="L38" s="27" t="n">
        <f aca="false">IF(A38="","",IF(H38="",AsOf-B38,H38-B38))</f>
        <v>11</v>
      </c>
      <c r="M38" s="27" t="str">
        <f aca="false">IF(A38="","",IF(AND(K38="Open",L38&gt;Target),"Yes","No"))</f>
        <v>No</v>
      </c>
      <c r="N38" s="27" t="str">
        <f aca="false">IF(K38&lt;&gt;"Open","",IF(L38&lt;=30,"0-30",IF(L38&lt;=60,"31-60",IF(L38&lt;=90,"61-90","90+"))))</f>
        <v/>
      </c>
      <c r="O38" s="27" t="str">
        <f aca="false">IF(A38="","",IF(COUNTIFS($D$5:$D$400,D38,$F$5:$F$400,F38,$B$5:$B$400,"&gt;="&amp;(B38-RepeatWin),$B$5:$B$400,"&lt;"&amp;B38)&gt;0,"Yes","No"))</f>
        <v>No</v>
      </c>
      <c r="P38" s="35" t="str">
        <f aca="false">IF(OR(I38="",H38=""),"",H38+CapaDue)</f>
        <v/>
      </c>
      <c r="Q38" s="27" t="str">
        <f aca="false">IF(A38="","",IF(I38="","Not required",IF(J38&lt;&gt;"","Closed",IF(H38="","Awaiting dev. close",IF(AsOf&gt;P38,"Overdue","Open")))))</f>
        <v>Not required</v>
      </c>
      <c r="R38" s="27" t="str">
        <f aca="false">IF(J38="","",IF(COUNTIFS($D$5:$D$400,D38,$F$5:$F$400,F38,$B$5:$B$400,"&gt;"&amp;J38,$B$5:$B$400,"&lt;="&amp;(J38+EffWin))&gt;0,"Ineffective",IF(AsOf-J38&gt;=EffWin,"Effective","Check pending")))</f>
        <v/>
      </c>
      <c r="S38" s="36" t="n">
        <f aca="false">IF(A38="","",DATE(YEAR(B38),MONTH(B38),1))</f>
        <v>45839</v>
      </c>
      <c r="T38" s="36" t="n">
        <f aca="false">IF(H38="","",DATE(YEAR(H38),MONTH(H38),1))</f>
        <v>45839</v>
      </c>
      <c r="U38" s="27" t="str">
        <f aca="false">IF(H38="","",IF(AsOf-H38&lt;=90,L38,""))</f>
        <v/>
      </c>
      <c r="V38" s="27" t="str">
        <f aca="false">IF(H38="","",IF(AND(AsOf-H38&gt;90,AsOf-H38&lt;=270),L38,""))</f>
        <v/>
      </c>
    </row>
    <row r="39" customFormat="false" ht="15" hidden="false" customHeight="false" outlineLevel="0" collapsed="false">
      <c r="A39" s="32" t="s">
        <v>214</v>
      </c>
      <c r="B39" s="34" t="n">
        <v>45851</v>
      </c>
      <c r="C39" s="32" t="s">
        <v>79</v>
      </c>
      <c r="D39" s="32" t="s">
        <v>215</v>
      </c>
      <c r="E39" s="32" t="s">
        <v>61</v>
      </c>
      <c r="F39" s="32" t="s">
        <v>101</v>
      </c>
      <c r="G39" s="32" t="s">
        <v>126</v>
      </c>
      <c r="H39" s="34" t="n">
        <v>45866</v>
      </c>
      <c r="I39" s="32"/>
      <c r="J39" s="34"/>
      <c r="K39" s="27" t="str">
        <f aca="false">IF(A39="","",IF(H39="","Open","Closed"))</f>
        <v>Closed</v>
      </c>
      <c r="L39" s="27" t="n">
        <f aca="false">IF(A39="","",IF(H39="",AsOf-B39,H39-B39))</f>
        <v>15</v>
      </c>
      <c r="M39" s="27" t="str">
        <f aca="false">IF(A39="","",IF(AND(K39="Open",L39&gt;Target),"Yes","No"))</f>
        <v>No</v>
      </c>
      <c r="N39" s="27" t="str">
        <f aca="false">IF(K39&lt;&gt;"Open","",IF(L39&lt;=30,"0-30",IF(L39&lt;=60,"31-60",IF(L39&lt;=90,"61-90","90+"))))</f>
        <v/>
      </c>
      <c r="O39" s="27" t="str">
        <f aca="false">IF(A39="","",IF(COUNTIFS($D$5:$D$400,D39,$F$5:$F$400,F39,$B$5:$B$400,"&gt;="&amp;(B39-RepeatWin),$B$5:$B$400,"&lt;"&amp;B39)&gt;0,"Yes","No"))</f>
        <v>No</v>
      </c>
      <c r="P39" s="35" t="str">
        <f aca="false">IF(OR(I39="",H39=""),"",H39+CapaDue)</f>
        <v/>
      </c>
      <c r="Q39" s="27" t="str">
        <f aca="false">IF(A39="","",IF(I39="","Not required",IF(J39&lt;&gt;"","Closed",IF(H39="","Awaiting dev. close",IF(AsOf&gt;P39,"Overdue","Open")))))</f>
        <v>Not required</v>
      </c>
      <c r="R39" s="27" t="str">
        <f aca="false">IF(J39="","",IF(COUNTIFS($D$5:$D$400,D39,$F$5:$F$400,F39,$B$5:$B$400,"&gt;"&amp;J39,$B$5:$B$400,"&lt;="&amp;(J39+EffWin))&gt;0,"Ineffective",IF(AsOf-J39&gt;=EffWin,"Effective","Check pending")))</f>
        <v/>
      </c>
      <c r="S39" s="36" t="n">
        <f aca="false">IF(A39="","",DATE(YEAR(B39),MONTH(B39),1))</f>
        <v>45839</v>
      </c>
      <c r="T39" s="36" t="n">
        <f aca="false">IF(H39="","",DATE(YEAR(H39),MONTH(H39),1))</f>
        <v>45839</v>
      </c>
      <c r="U39" s="27" t="str">
        <f aca="false">IF(H39="","",IF(AsOf-H39&lt;=90,L39,""))</f>
        <v/>
      </c>
      <c r="V39" s="27" t="str">
        <f aca="false">IF(H39="","",IF(AND(AsOf-H39&gt;90,AsOf-H39&lt;=270),L39,""))</f>
        <v/>
      </c>
    </row>
    <row r="40" customFormat="false" ht="15" hidden="false" customHeight="false" outlineLevel="0" collapsed="false">
      <c r="A40" s="32" t="s">
        <v>216</v>
      </c>
      <c r="B40" s="34" t="n">
        <v>45858</v>
      </c>
      <c r="C40" s="32" t="s">
        <v>79</v>
      </c>
      <c r="D40" s="32" t="s">
        <v>217</v>
      </c>
      <c r="E40" s="32" t="s">
        <v>59</v>
      </c>
      <c r="F40" s="32" t="s">
        <v>94</v>
      </c>
      <c r="G40" s="32" t="s">
        <v>127</v>
      </c>
      <c r="H40" s="34" t="n">
        <v>45893</v>
      </c>
      <c r="I40" s="32" t="s">
        <v>218</v>
      </c>
      <c r="J40" s="34" t="n">
        <v>45962</v>
      </c>
      <c r="K40" s="27" t="str">
        <f aca="false">IF(A40="","",IF(H40="","Open","Closed"))</f>
        <v>Closed</v>
      </c>
      <c r="L40" s="27" t="n">
        <f aca="false">IF(A40="","",IF(H40="",AsOf-B40,H40-B40))</f>
        <v>35</v>
      </c>
      <c r="M40" s="27" t="str">
        <f aca="false">IF(A40="","",IF(AND(K40="Open",L40&gt;Target),"Yes","No"))</f>
        <v>No</v>
      </c>
      <c r="N40" s="27" t="str">
        <f aca="false">IF(K40&lt;&gt;"Open","",IF(L40&lt;=30,"0-30",IF(L40&lt;=60,"31-60",IF(L40&lt;=90,"61-90","90+"))))</f>
        <v/>
      </c>
      <c r="O40" s="27" t="str">
        <f aca="false">IF(A40="","",IF(COUNTIFS($D$5:$D$400,D40,$F$5:$F$400,F40,$B$5:$B$400,"&gt;="&amp;(B40-RepeatWin),$B$5:$B$400,"&lt;"&amp;B40)&gt;0,"Yes","No"))</f>
        <v>No</v>
      </c>
      <c r="P40" s="35" t="n">
        <f aca="false">IF(OR(I40="",H40=""),"",H40+CapaDue)</f>
        <v>45983</v>
      </c>
      <c r="Q40" s="27" t="str">
        <f aca="false">IF(A40="","",IF(I40="","Not required",IF(J40&lt;&gt;"","Closed",IF(H40="","Awaiting dev. close",IF(AsOf&gt;P40,"Overdue","Open")))))</f>
        <v>Closed</v>
      </c>
      <c r="R40" s="27" t="str">
        <f aca="false">IF(J40="","",IF(COUNTIFS($D$5:$D$400,D40,$F$5:$F$400,F40,$B$5:$B$400,"&gt;"&amp;J40,$B$5:$B$400,"&lt;="&amp;(J40+EffWin))&gt;0,"Ineffective",IF(AsOf-J40&gt;=EffWin,"Effective","Check pending")))</f>
        <v>Effective</v>
      </c>
      <c r="S40" s="36" t="n">
        <f aca="false">IF(A40="","",DATE(YEAR(B40),MONTH(B40),1))</f>
        <v>45839</v>
      </c>
      <c r="T40" s="36" t="n">
        <f aca="false">IF(H40="","",DATE(YEAR(H40),MONTH(H40),1))</f>
        <v>45870</v>
      </c>
      <c r="U40" s="27" t="str">
        <f aca="false">IF(H40="","",IF(AsOf-H40&lt;=90,L40,""))</f>
        <v/>
      </c>
      <c r="V40" s="27" t="str">
        <f aca="false">IF(H40="","",IF(AND(AsOf-H40&gt;90,AsOf-H40&lt;=270),L40,""))</f>
        <v/>
      </c>
    </row>
    <row r="41" customFormat="false" ht="15" hidden="false" customHeight="false" outlineLevel="0" collapsed="false">
      <c r="A41" s="32" t="s">
        <v>219</v>
      </c>
      <c r="B41" s="34" t="n">
        <v>45858</v>
      </c>
      <c r="C41" s="32" t="s">
        <v>80</v>
      </c>
      <c r="D41" s="32" t="s">
        <v>220</v>
      </c>
      <c r="E41" s="32" t="s">
        <v>61</v>
      </c>
      <c r="F41" s="32" t="s">
        <v>94</v>
      </c>
      <c r="G41" s="32" t="s">
        <v>126</v>
      </c>
      <c r="H41" s="34" t="n">
        <v>45871</v>
      </c>
      <c r="I41" s="32"/>
      <c r="J41" s="34"/>
      <c r="K41" s="27" t="str">
        <f aca="false">IF(A41="","",IF(H41="","Open","Closed"))</f>
        <v>Closed</v>
      </c>
      <c r="L41" s="27" t="n">
        <f aca="false">IF(A41="","",IF(H41="",AsOf-B41,H41-B41))</f>
        <v>13</v>
      </c>
      <c r="M41" s="27" t="str">
        <f aca="false">IF(A41="","",IF(AND(K41="Open",L41&gt;Target),"Yes","No"))</f>
        <v>No</v>
      </c>
      <c r="N41" s="27" t="str">
        <f aca="false">IF(K41&lt;&gt;"Open","",IF(L41&lt;=30,"0-30",IF(L41&lt;=60,"31-60",IF(L41&lt;=90,"61-90","90+"))))</f>
        <v/>
      </c>
      <c r="O41" s="27" t="str">
        <f aca="false">IF(A41="","",IF(COUNTIFS($D$5:$D$400,D41,$F$5:$F$400,F41,$B$5:$B$400,"&gt;="&amp;(B41-RepeatWin),$B$5:$B$400,"&lt;"&amp;B41)&gt;0,"Yes","No"))</f>
        <v>No</v>
      </c>
      <c r="P41" s="35" t="str">
        <f aca="false">IF(OR(I41="",H41=""),"",H41+CapaDue)</f>
        <v/>
      </c>
      <c r="Q41" s="27" t="str">
        <f aca="false">IF(A41="","",IF(I41="","Not required",IF(J41&lt;&gt;"","Closed",IF(H41="","Awaiting dev. close",IF(AsOf&gt;P41,"Overdue","Open")))))</f>
        <v>Not required</v>
      </c>
      <c r="R41" s="27" t="str">
        <f aca="false">IF(J41="","",IF(COUNTIFS($D$5:$D$400,D41,$F$5:$F$400,F41,$B$5:$B$400,"&gt;"&amp;J41,$B$5:$B$400,"&lt;="&amp;(J41+EffWin))&gt;0,"Ineffective",IF(AsOf-J41&gt;=EffWin,"Effective","Check pending")))</f>
        <v/>
      </c>
      <c r="S41" s="36" t="n">
        <f aca="false">IF(A41="","",DATE(YEAR(B41),MONTH(B41),1))</f>
        <v>45839</v>
      </c>
      <c r="T41" s="36" t="n">
        <f aca="false">IF(H41="","",DATE(YEAR(H41),MONTH(H41),1))</f>
        <v>45870</v>
      </c>
      <c r="U41" s="27" t="str">
        <f aca="false">IF(H41="","",IF(AsOf-H41&lt;=90,L41,""))</f>
        <v/>
      </c>
      <c r="V41" s="27" t="str">
        <f aca="false">IF(H41="","",IF(AND(AsOf-H41&gt;90,AsOf-H41&lt;=270),L41,""))</f>
        <v/>
      </c>
    </row>
    <row r="42" customFormat="false" ht="15" hidden="false" customHeight="false" outlineLevel="0" collapsed="false">
      <c r="A42" s="32" t="s">
        <v>221</v>
      </c>
      <c r="B42" s="34" t="n">
        <v>45867</v>
      </c>
      <c r="C42" s="32" t="s">
        <v>73</v>
      </c>
      <c r="D42" s="32" t="s">
        <v>158</v>
      </c>
      <c r="E42" s="32" t="s">
        <v>61</v>
      </c>
      <c r="F42" s="32" t="s">
        <v>96</v>
      </c>
      <c r="G42" s="32" t="s">
        <v>132</v>
      </c>
      <c r="H42" s="34" t="n">
        <v>45885</v>
      </c>
      <c r="I42" s="32"/>
      <c r="J42" s="34"/>
      <c r="K42" s="27" t="str">
        <f aca="false">IF(A42="","",IF(H42="","Open","Closed"))</f>
        <v>Closed</v>
      </c>
      <c r="L42" s="27" t="n">
        <f aca="false">IF(A42="","",IF(H42="",AsOf-B42,H42-B42))</f>
        <v>18</v>
      </c>
      <c r="M42" s="27" t="str">
        <f aca="false">IF(A42="","",IF(AND(K42="Open",L42&gt;Target),"Yes","No"))</f>
        <v>No</v>
      </c>
      <c r="N42" s="27" t="str">
        <f aca="false">IF(K42&lt;&gt;"Open","",IF(L42&lt;=30,"0-30",IF(L42&lt;=60,"31-60",IF(L42&lt;=90,"61-90","90+"))))</f>
        <v/>
      </c>
      <c r="O42" s="27" t="str">
        <f aca="false">IF(A42="","",IF(COUNTIFS($D$5:$D$400,D42,$F$5:$F$400,F42,$B$5:$B$400,"&gt;="&amp;(B42-RepeatWin),$B$5:$B$400,"&lt;"&amp;B42)&gt;0,"Yes","No"))</f>
        <v>No</v>
      </c>
      <c r="P42" s="35" t="str">
        <f aca="false">IF(OR(I42="",H42=""),"",H42+CapaDue)</f>
        <v/>
      </c>
      <c r="Q42" s="27" t="str">
        <f aca="false">IF(A42="","",IF(I42="","Not required",IF(J42&lt;&gt;"","Closed",IF(H42="","Awaiting dev. close",IF(AsOf&gt;P42,"Overdue","Open")))))</f>
        <v>Not required</v>
      </c>
      <c r="R42" s="27" t="str">
        <f aca="false">IF(J42="","",IF(COUNTIFS($D$5:$D$400,D42,$F$5:$F$400,F42,$B$5:$B$400,"&gt;"&amp;J42,$B$5:$B$400,"&lt;="&amp;(J42+EffWin))&gt;0,"Ineffective",IF(AsOf-J42&gt;=EffWin,"Effective","Check pending")))</f>
        <v/>
      </c>
      <c r="S42" s="36" t="n">
        <f aca="false">IF(A42="","",DATE(YEAR(B42),MONTH(B42),1))</f>
        <v>45839</v>
      </c>
      <c r="T42" s="36" t="n">
        <f aca="false">IF(H42="","",DATE(YEAR(H42),MONTH(H42),1))</f>
        <v>45870</v>
      </c>
      <c r="U42" s="27" t="str">
        <f aca="false">IF(H42="","",IF(AsOf-H42&lt;=90,L42,""))</f>
        <v/>
      </c>
      <c r="V42" s="27" t="str">
        <f aca="false">IF(H42="","",IF(AND(AsOf-H42&gt;90,AsOf-H42&lt;=270),L42,""))</f>
        <v/>
      </c>
    </row>
    <row r="43" customFormat="false" ht="15" hidden="false" customHeight="false" outlineLevel="0" collapsed="false">
      <c r="A43" s="32" t="s">
        <v>222</v>
      </c>
      <c r="B43" s="34" t="n">
        <v>45868</v>
      </c>
      <c r="C43" s="32" t="s">
        <v>73</v>
      </c>
      <c r="D43" s="32" t="s">
        <v>223</v>
      </c>
      <c r="E43" s="32" t="s">
        <v>59</v>
      </c>
      <c r="F43" s="32" t="s">
        <v>96</v>
      </c>
      <c r="G43" s="32" t="s">
        <v>130</v>
      </c>
      <c r="H43" s="34" t="n">
        <v>45886</v>
      </c>
      <c r="I43" s="32" t="s">
        <v>224</v>
      </c>
      <c r="J43" s="34" t="n">
        <v>45971</v>
      </c>
      <c r="K43" s="27" t="str">
        <f aca="false">IF(A43="","",IF(H43="","Open","Closed"))</f>
        <v>Closed</v>
      </c>
      <c r="L43" s="27" t="n">
        <f aca="false">IF(A43="","",IF(H43="",AsOf-B43,H43-B43))</f>
        <v>18</v>
      </c>
      <c r="M43" s="27" t="str">
        <f aca="false">IF(A43="","",IF(AND(K43="Open",L43&gt;Target),"Yes","No"))</f>
        <v>No</v>
      </c>
      <c r="N43" s="27" t="str">
        <f aca="false">IF(K43&lt;&gt;"Open","",IF(L43&lt;=30,"0-30",IF(L43&lt;=60,"31-60",IF(L43&lt;=90,"61-90","90+"))))</f>
        <v/>
      </c>
      <c r="O43" s="27" t="str">
        <f aca="false">IF(A43="","",IF(COUNTIFS($D$5:$D$400,D43,$F$5:$F$400,F43,$B$5:$B$400,"&gt;="&amp;(B43-RepeatWin),$B$5:$B$400,"&lt;"&amp;B43)&gt;0,"Yes","No"))</f>
        <v>No</v>
      </c>
      <c r="P43" s="35" t="n">
        <f aca="false">IF(OR(I43="",H43=""),"",H43+CapaDue)</f>
        <v>45976</v>
      </c>
      <c r="Q43" s="27" t="str">
        <f aca="false">IF(A43="","",IF(I43="","Not required",IF(J43&lt;&gt;"","Closed",IF(H43="","Awaiting dev. close",IF(AsOf&gt;P43,"Overdue","Open")))))</f>
        <v>Closed</v>
      </c>
      <c r="R43" s="27" t="str">
        <f aca="false">IF(J43="","",IF(COUNTIFS($D$5:$D$400,D43,$F$5:$F$400,F43,$B$5:$B$400,"&gt;"&amp;J43,$B$5:$B$400,"&lt;="&amp;(J43+EffWin))&gt;0,"Ineffective",IF(AsOf-J43&gt;=EffWin,"Effective","Check pending")))</f>
        <v>Effective</v>
      </c>
      <c r="S43" s="36" t="n">
        <f aca="false">IF(A43="","",DATE(YEAR(B43),MONTH(B43),1))</f>
        <v>45839</v>
      </c>
      <c r="T43" s="36" t="n">
        <f aca="false">IF(H43="","",DATE(YEAR(H43),MONTH(H43),1))</f>
        <v>45870</v>
      </c>
      <c r="U43" s="27" t="str">
        <f aca="false">IF(H43="","",IF(AsOf-H43&lt;=90,L43,""))</f>
        <v/>
      </c>
      <c r="V43" s="27" t="str">
        <f aca="false">IF(H43="","",IF(AND(AsOf-H43&gt;90,AsOf-H43&lt;=270),L43,""))</f>
        <v/>
      </c>
    </row>
    <row r="44" customFormat="false" ht="15" hidden="false" customHeight="false" outlineLevel="0" collapsed="false">
      <c r="A44" s="32" t="s">
        <v>225</v>
      </c>
      <c r="B44" s="34" t="n">
        <v>45870</v>
      </c>
      <c r="C44" s="32" t="s">
        <v>73</v>
      </c>
      <c r="D44" s="32" t="s">
        <v>226</v>
      </c>
      <c r="E44" s="32" t="s">
        <v>61</v>
      </c>
      <c r="F44" s="32" t="s">
        <v>96</v>
      </c>
      <c r="G44" s="32" t="s">
        <v>130</v>
      </c>
      <c r="H44" s="34" t="n">
        <v>45883</v>
      </c>
      <c r="I44" s="32"/>
      <c r="J44" s="34"/>
      <c r="K44" s="27" t="str">
        <f aca="false">IF(A44="","",IF(H44="","Open","Closed"))</f>
        <v>Closed</v>
      </c>
      <c r="L44" s="27" t="n">
        <f aca="false">IF(A44="","",IF(H44="",AsOf-B44,H44-B44))</f>
        <v>13</v>
      </c>
      <c r="M44" s="27" t="str">
        <f aca="false">IF(A44="","",IF(AND(K44="Open",L44&gt;Target),"Yes","No"))</f>
        <v>No</v>
      </c>
      <c r="N44" s="27" t="str">
        <f aca="false">IF(K44&lt;&gt;"Open","",IF(L44&lt;=30,"0-30",IF(L44&lt;=60,"31-60",IF(L44&lt;=90,"61-90","90+"))))</f>
        <v/>
      </c>
      <c r="O44" s="27" t="str">
        <f aca="false">IF(A44="","",IF(COUNTIFS($D$5:$D$400,D44,$F$5:$F$400,F44,$B$5:$B$400,"&gt;="&amp;(B44-RepeatWin),$B$5:$B$400,"&lt;"&amp;B44)&gt;0,"Yes","No"))</f>
        <v>No</v>
      </c>
      <c r="P44" s="35" t="str">
        <f aca="false">IF(OR(I44="",H44=""),"",H44+CapaDue)</f>
        <v/>
      </c>
      <c r="Q44" s="27" t="str">
        <f aca="false">IF(A44="","",IF(I44="","Not required",IF(J44&lt;&gt;"","Closed",IF(H44="","Awaiting dev. close",IF(AsOf&gt;P44,"Overdue","Open")))))</f>
        <v>Not required</v>
      </c>
      <c r="R44" s="27" t="str">
        <f aca="false">IF(J44="","",IF(COUNTIFS($D$5:$D$400,D44,$F$5:$F$400,F44,$B$5:$B$400,"&gt;"&amp;J44,$B$5:$B$400,"&lt;="&amp;(J44+EffWin))&gt;0,"Ineffective",IF(AsOf-J44&gt;=EffWin,"Effective","Check pending")))</f>
        <v/>
      </c>
      <c r="S44" s="36" t="n">
        <f aca="false">IF(A44="","",DATE(YEAR(B44),MONTH(B44),1))</f>
        <v>45870</v>
      </c>
      <c r="T44" s="36" t="n">
        <f aca="false">IF(H44="","",DATE(YEAR(H44),MONTH(H44),1))</f>
        <v>45870</v>
      </c>
      <c r="U44" s="27" t="str">
        <f aca="false">IF(H44="","",IF(AsOf-H44&lt;=90,L44,""))</f>
        <v/>
      </c>
      <c r="V44" s="27" t="str">
        <f aca="false">IF(H44="","",IF(AND(AsOf-H44&gt;90,AsOf-H44&lt;=270),L44,""))</f>
        <v/>
      </c>
    </row>
    <row r="45" customFormat="false" ht="15" hidden="false" customHeight="false" outlineLevel="0" collapsed="false">
      <c r="A45" s="32" t="s">
        <v>227</v>
      </c>
      <c r="B45" s="34" t="n">
        <v>45874</v>
      </c>
      <c r="C45" s="32" t="s">
        <v>79</v>
      </c>
      <c r="D45" s="32" t="s">
        <v>174</v>
      </c>
      <c r="E45" s="32" t="s">
        <v>61</v>
      </c>
      <c r="F45" s="32" t="s">
        <v>94</v>
      </c>
      <c r="G45" s="32" t="s">
        <v>129</v>
      </c>
      <c r="H45" s="34" t="n">
        <v>45893</v>
      </c>
      <c r="I45" s="32"/>
      <c r="J45" s="34"/>
      <c r="K45" s="27" t="str">
        <f aca="false">IF(A45="","",IF(H45="","Open","Closed"))</f>
        <v>Closed</v>
      </c>
      <c r="L45" s="27" t="n">
        <f aca="false">IF(A45="","",IF(H45="",AsOf-B45,H45-B45))</f>
        <v>19</v>
      </c>
      <c r="M45" s="27" t="str">
        <f aca="false">IF(A45="","",IF(AND(K45="Open",L45&gt;Target),"Yes","No"))</f>
        <v>No</v>
      </c>
      <c r="N45" s="27" t="str">
        <f aca="false">IF(K45&lt;&gt;"Open","",IF(L45&lt;=30,"0-30",IF(L45&lt;=60,"31-60",IF(L45&lt;=90,"61-90","90+"))))</f>
        <v/>
      </c>
      <c r="O45" s="27" t="str">
        <f aca="false">IF(A45="","",IF(COUNTIFS($D$5:$D$400,D45,$F$5:$F$400,F45,$B$5:$B$400,"&gt;="&amp;(B45-RepeatWin),$B$5:$B$400,"&lt;"&amp;B45)&gt;0,"Yes","No"))</f>
        <v>No</v>
      </c>
      <c r="P45" s="35" t="str">
        <f aca="false">IF(OR(I45="",H45=""),"",H45+CapaDue)</f>
        <v/>
      </c>
      <c r="Q45" s="27" t="str">
        <f aca="false">IF(A45="","",IF(I45="","Not required",IF(J45&lt;&gt;"","Closed",IF(H45="","Awaiting dev. close",IF(AsOf&gt;P45,"Overdue","Open")))))</f>
        <v>Not required</v>
      </c>
      <c r="R45" s="27" t="str">
        <f aca="false">IF(J45="","",IF(COUNTIFS($D$5:$D$400,D45,$F$5:$F$400,F45,$B$5:$B$400,"&gt;"&amp;J45,$B$5:$B$400,"&lt;="&amp;(J45+EffWin))&gt;0,"Ineffective",IF(AsOf-J45&gt;=EffWin,"Effective","Check pending")))</f>
        <v/>
      </c>
      <c r="S45" s="36" t="n">
        <f aca="false">IF(A45="","",DATE(YEAR(B45),MONTH(B45),1))</f>
        <v>45870</v>
      </c>
      <c r="T45" s="36" t="n">
        <f aca="false">IF(H45="","",DATE(YEAR(H45),MONTH(H45),1))</f>
        <v>45870</v>
      </c>
      <c r="U45" s="27" t="str">
        <f aca="false">IF(H45="","",IF(AsOf-H45&lt;=90,L45,""))</f>
        <v/>
      </c>
      <c r="V45" s="27" t="str">
        <f aca="false">IF(H45="","",IF(AND(AsOf-H45&gt;90,AsOf-H45&lt;=270),L45,""))</f>
        <v/>
      </c>
    </row>
    <row r="46" customFormat="false" ht="15" hidden="false" customHeight="false" outlineLevel="0" collapsed="false">
      <c r="A46" s="32" t="s">
        <v>228</v>
      </c>
      <c r="B46" s="34" t="n">
        <v>45879</v>
      </c>
      <c r="C46" s="32" t="s">
        <v>73</v>
      </c>
      <c r="D46" s="32" t="s">
        <v>149</v>
      </c>
      <c r="E46" s="32" t="s">
        <v>61</v>
      </c>
      <c r="F46" s="32" t="s">
        <v>95</v>
      </c>
      <c r="G46" s="32" t="s">
        <v>130</v>
      </c>
      <c r="H46" s="34" t="n">
        <v>45891</v>
      </c>
      <c r="I46" s="32"/>
      <c r="J46" s="34"/>
      <c r="K46" s="27" t="str">
        <f aca="false">IF(A46="","",IF(H46="","Open","Closed"))</f>
        <v>Closed</v>
      </c>
      <c r="L46" s="27" t="n">
        <f aca="false">IF(A46="","",IF(H46="",AsOf-B46,H46-B46))</f>
        <v>12</v>
      </c>
      <c r="M46" s="27" t="str">
        <f aca="false">IF(A46="","",IF(AND(K46="Open",L46&gt;Target),"Yes","No"))</f>
        <v>No</v>
      </c>
      <c r="N46" s="27" t="str">
        <f aca="false">IF(K46&lt;&gt;"Open","",IF(L46&lt;=30,"0-30",IF(L46&lt;=60,"31-60",IF(L46&lt;=90,"61-90","90+"))))</f>
        <v/>
      </c>
      <c r="O46" s="27" t="str">
        <f aca="false">IF(A46="","",IF(COUNTIFS($D$5:$D$400,D46,$F$5:$F$400,F46,$B$5:$B$400,"&gt;="&amp;(B46-RepeatWin),$B$5:$B$400,"&lt;"&amp;B46)&gt;0,"Yes","No"))</f>
        <v>No</v>
      </c>
      <c r="P46" s="35" t="str">
        <f aca="false">IF(OR(I46="",H46=""),"",H46+CapaDue)</f>
        <v/>
      </c>
      <c r="Q46" s="27" t="str">
        <f aca="false">IF(A46="","",IF(I46="","Not required",IF(J46&lt;&gt;"","Closed",IF(H46="","Awaiting dev. close",IF(AsOf&gt;P46,"Overdue","Open")))))</f>
        <v>Not required</v>
      </c>
      <c r="R46" s="27" t="str">
        <f aca="false">IF(J46="","",IF(COUNTIFS($D$5:$D$400,D46,$F$5:$F$400,F46,$B$5:$B$400,"&gt;"&amp;J46,$B$5:$B$400,"&lt;="&amp;(J46+EffWin))&gt;0,"Ineffective",IF(AsOf-J46&gt;=EffWin,"Effective","Check pending")))</f>
        <v/>
      </c>
      <c r="S46" s="36" t="n">
        <f aca="false">IF(A46="","",DATE(YEAR(B46),MONTH(B46),1))</f>
        <v>45870</v>
      </c>
      <c r="T46" s="36" t="n">
        <f aca="false">IF(H46="","",DATE(YEAR(H46),MONTH(H46),1))</f>
        <v>45870</v>
      </c>
      <c r="U46" s="27" t="str">
        <f aca="false">IF(H46="","",IF(AsOf-H46&lt;=90,L46,""))</f>
        <v/>
      </c>
      <c r="V46" s="27" t="str">
        <f aca="false">IF(H46="","",IF(AND(AsOf-H46&gt;90,AsOf-H46&lt;=270),L46,""))</f>
        <v/>
      </c>
    </row>
    <row r="47" customFormat="false" ht="15" hidden="false" customHeight="false" outlineLevel="0" collapsed="false">
      <c r="A47" s="32" t="s">
        <v>229</v>
      </c>
      <c r="B47" s="34" t="n">
        <v>45880</v>
      </c>
      <c r="C47" s="32" t="s">
        <v>77</v>
      </c>
      <c r="D47" s="32" t="s">
        <v>230</v>
      </c>
      <c r="E47" s="32" t="s">
        <v>61</v>
      </c>
      <c r="F47" s="32" t="s">
        <v>95</v>
      </c>
      <c r="G47" s="32" t="s">
        <v>127</v>
      </c>
      <c r="H47" s="34" t="n">
        <v>45899</v>
      </c>
      <c r="I47" s="32"/>
      <c r="J47" s="34"/>
      <c r="K47" s="27" t="str">
        <f aca="false">IF(A47="","",IF(H47="","Open","Closed"))</f>
        <v>Closed</v>
      </c>
      <c r="L47" s="27" t="n">
        <f aca="false">IF(A47="","",IF(H47="",AsOf-B47,H47-B47))</f>
        <v>19</v>
      </c>
      <c r="M47" s="27" t="str">
        <f aca="false">IF(A47="","",IF(AND(K47="Open",L47&gt;Target),"Yes","No"))</f>
        <v>No</v>
      </c>
      <c r="N47" s="27" t="str">
        <f aca="false">IF(K47&lt;&gt;"Open","",IF(L47&lt;=30,"0-30",IF(L47&lt;=60,"31-60",IF(L47&lt;=90,"61-90","90+"))))</f>
        <v/>
      </c>
      <c r="O47" s="27" t="str">
        <f aca="false">IF(A47="","",IF(COUNTIFS($D$5:$D$400,D47,$F$5:$F$400,F47,$B$5:$B$400,"&gt;="&amp;(B47-RepeatWin),$B$5:$B$400,"&lt;"&amp;B47)&gt;0,"Yes","No"))</f>
        <v>No</v>
      </c>
      <c r="P47" s="35" t="str">
        <f aca="false">IF(OR(I47="",H47=""),"",H47+CapaDue)</f>
        <v/>
      </c>
      <c r="Q47" s="27" t="str">
        <f aca="false">IF(A47="","",IF(I47="","Not required",IF(J47&lt;&gt;"","Closed",IF(H47="","Awaiting dev. close",IF(AsOf&gt;P47,"Overdue","Open")))))</f>
        <v>Not required</v>
      </c>
      <c r="R47" s="27" t="str">
        <f aca="false">IF(J47="","",IF(COUNTIFS($D$5:$D$400,D47,$F$5:$F$400,F47,$B$5:$B$400,"&gt;"&amp;J47,$B$5:$B$400,"&lt;="&amp;(J47+EffWin))&gt;0,"Ineffective",IF(AsOf-J47&gt;=EffWin,"Effective","Check pending")))</f>
        <v/>
      </c>
      <c r="S47" s="36" t="n">
        <f aca="false">IF(A47="","",DATE(YEAR(B47),MONTH(B47),1))</f>
        <v>45870</v>
      </c>
      <c r="T47" s="36" t="n">
        <f aca="false">IF(H47="","",DATE(YEAR(H47),MONTH(H47),1))</f>
        <v>45870</v>
      </c>
      <c r="U47" s="27" t="str">
        <f aca="false">IF(H47="","",IF(AsOf-H47&lt;=90,L47,""))</f>
        <v/>
      </c>
      <c r="V47" s="27" t="str">
        <f aca="false">IF(H47="","",IF(AND(AsOf-H47&gt;90,AsOf-H47&lt;=270),L47,""))</f>
        <v/>
      </c>
    </row>
    <row r="48" customFormat="false" ht="15" hidden="false" customHeight="false" outlineLevel="0" collapsed="false">
      <c r="A48" s="32" t="s">
        <v>231</v>
      </c>
      <c r="B48" s="34" t="n">
        <v>45880</v>
      </c>
      <c r="C48" s="32" t="s">
        <v>73</v>
      </c>
      <c r="D48" s="32" t="s">
        <v>149</v>
      </c>
      <c r="E48" s="32" t="s">
        <v>57</v>
      </c>
      <c r="F48" s="32" t="s">
        <v>96</v>
      </c>
      <c r="G48" s="32" t="s">
        <v>128</v>
      </c>
      <c r="H48" s="34" t="n">
        <v>45903</v>
      </c>
      <c r="I48" s="32" t="s">
        <v>232</v>
      </c>
      <c r="J48" s="34" t="n">
        <v>45981</v>
      </c>
      <c r="K48" s="27" t="str">
        <f aca="false">IF(A48="","",IF(H48="","Open","Closed"))</f>
        <v>Closed</v>
      </c>
      <c r="L48" s="27" t="n">
        <f aca="false">IF(A48="","",IF(H48="",AsOf-B48,H48-B48))</f>
        <v>23</v>
      </c>
      <c r="M48" s="27" t="str">
        <f aca="false">IF(A48="","",IF(AND(K48="Open",L48&gt;Target),"Yes","No"))</f>
        <v>No</v>
      </c>
      <c r="N48" s="27" t="str">
        <f aca="false">IF(K48&lt;&gt;"Open","",IF(L48&lt;=30,"0-30",IF(L48&lt;=60,"31-60",IF(L48&lt;=90,"61-90","90+"))))</f>
        <v/>
      </c>
      <c r="O48" s="27" t="str">
        <f aca="false">IF(A48="","",IF(COUNTIFS($D$5:$D$400,D48,$F$5:$F$400,F48,$B$5:$B$400,"&gt;="&amp;(B48-RepeatWin),$B$5:$B$400,"&lt;"&amp;B48)&gt;0,"Yes","No"))</f>
        <v>No</v>
      </c>
      <c r="P48" s="35" t="n">
        <f aca="false">IF(OR(I48="",H48=""),"",H48+CapaDue)</f>
        <v>45993</v>
      </c>
      <c r="Q48" s="27" t="str">
        <f aca="false">IF(A48="","",IF(I48="","Not required",IF(J48&lt;&gt;"","Closed",IF(H48="","Awaiting dev. close",IF(AsOf&gt;P48,"Overdue","Open")))))</f>
        <v>Closed</v>
      </c>
      <c r="R48" s="27" t="str">
        <f aca="false">IF(J48="","",IF(COUNTIFS($D$5:$D$400,D48,$F$5:$F$400,F48,$B$5:$B$400,"&gt;"&amp;J48,$B$5:$B$400,"&lt;="&amp;(J48+EffWin))&gt;0,"Ineffective",IF(AsOf-J48&gt;=EffWin,"Effective","Check pending")))</f>
        <v>Effective</v>
      </c>
      <c r="S48" s="36" t="n">
        <f aca="false">IF(A48="","",DATE(YEAR(B48),MONTH(B48),1))</f>
        <v>45870</v>
      </c>
      <c r="T48" s="36" t="n">
        <f aca="false">IF(H48="","",DATE(YEAR(H48),MONTH(H48),1))</f>
        <v>45901</v>
      </c>
      <c r="U48" s="27" t="str">
        <f aca="false">IF(H48="","",IF(AsOf-H48&lt;=90,L48,""))</f>
        <v/>
      </c>
      <c r="V48" s="27" t="str">
        <f aca="false">IF(H48="","",IF(AND(AsOf-H48&gt;90,AsOf-H48&lt;=270),L48,""))</f>
        <v/>
      </c>
    </row>
    <row r="49" customFormat="false" ht="15" hidden="false" customHeight="false" outlineLevel="0" collapsed="false">
      <c r="A49" s="32" t="s">
        <v>233</v>
      </c>
      <c r="B49" s="34" t="n">
        <v>45881</v>
      </c>
      <c r="C49" s="32" t="s">
        <v>73</v>
      </c>
      <c r="D49" s="32" t="s">
        <v>223</v>
      </c>
      <c r="E49" s="32" t="s">
        <v>61</v>
      </c>
      <c r="F49" s="32" t="s">
        <v>98</v>
      </c>
      <c r="G49" s="32" t="s">
        <v>131</v>
      </c>
      <c r="H49" s="34" t="n">
        <v>45902</v>
      </c>
      <c r="I49" s="32"/>
      <c r="J49" s="34"/>
      <c r="K49" s="27" t="str">
        <f aca="false">IF(A49="","",IF(H49="","Open","Closed"))</f>
        <v>Closed</v>
      </c>
      <c r="L49" s="27" t="n">
        <f aca="false">IF(A49="","",IF(H49="",AsOf-B49,H49-B49))</f>
        <v>21</v>
      </c>
      <c r="M49" s="27" t="str">
        <f aca="false">IF(A49="","",IF(AND(K49="Open",L49&gt;Target),"Yes","No"))</f>
        <v>No</v>
      </c>
      <c r="N49" s="27" t="str">
        <f aca="false">IF(K49&lt;&gt;"Open","",IF(L49&lt;=30,"0-30",IF(L49&lt;=60,"31-60",IF(L49&lt;=90,"61-90","90+"))))</f>
        <v/>
      </c>
      <c r="O49" s="27" t="str">
        <f aca="false">IF(A49="","",IF(COUNTIFS($D$5:$D$400,D49,$F$5:$F$400,F49,$B$5:$B$400,"&gt;="&amp;(B49-RepeatWin),$B$5:$B$400,"&lt;"&amp;B49)&gt;0,"Yes","No"))</f>
        <v>No</v>
      </c>
      <c r="P49" s="35" t="str">
        <f aca="false">IF(OR(I49="",H49=""),"",H49+CapaDue)</f>
        <v/>
      </c>
      <c r="Q49" s="27" t="str">
        <f aca="false">IF(A49="","",IF(I49="","Not required",IF(J49&lt;&gt;"","Closed",IF(H49="","Awaiting dev. close",IF(AsOf&gt;P49,"Overdue","Open")))))</f>
        <v>Not required</v>
      </c>
      <c r="R49" s="27" t="str">
        <f aca="false">IF(J49="","",IF(COUNTIFS($D$5:$D$400,D49,$F$5:$F$400,F49,$B$5:$B$400,"&gt;"&amp;J49,$B$5:$B$400,"&lt;="&amp;(J49+EffWin))&gt;0,"Ineffective",IF(AsOf-J49&gt;=EffWin,"Effective","Check pending")))</f>
        <v/>
      </c>
      <c r="S49" s="36" t="n">
        <f aca="false">IF(A49="","",DATE(YEAR(B49),MONTH(B49),1))</f>
        <v>45870</v>
      </c>
      <c r="T49" s="36" t="n">
        <f aca="false">IF(H49="","",DATE(YEAR(H49),MONTH(H49),1))</f>
        <v>45901</v>
      </c>
      <c r="U49" s="27" t="str">
        <f aca="false">IF(H49="","",IF(AsOf-H49&lt;=90,L49,""))</f>
        <v/>
      </c>
      <c r="V49" s="27" t="str">
        <f aca="false">IF(H49="","",IF(AND(AsOf-H49&gt;90,AsOf-H49&lt;=270),L49,""))</f>
        <v/>
      </c>
    </row>
    <row r="50" customFormat="false" ht="15" hidden="false" customHeight="false" outlineLevel="0" collapsed="false">
      <c r="A50" s="32" t="s">
        <v>234</v>
      </c>
      <c r="B50" s="34" t="n">
        <v>45886</v>
      </c>
      <c r="C50" s="32" t="s">
        <v>79</v>
      </c>
      <c r="D50" s="32" t="s">
        <v>217</v>
      </c>
      <c r="E50" s="32" t="s">
        <v>61</v>
      </c>
      <c r="F50" s="32" t="s">
        <v>101</v>
      </c>
      <c r="G50" s="32" t="s">
        <v>126</v>
      </c>
      <c r="H50" s="34" t="n">
        <v>45904</v>
      </c>
      <c r="I50" s="32"/>
      <c r="J50" s="34"/>
      <c r="K50" s="27" t="str">
        <f aca="false">IF(A50="","",IF(H50="","Open","Closed"))</f>
        <v>Closed</v>
      </c>
      <c r="L50" s="27" t="n">
        <f aca="false">IF(A50="","",IF(H50="",AsOf-B50,H50-B50))</f>
        <v>18</v>
      </c>
      <c r="M50" s="27" t="str">
        <f aca="false">IF(A50="","",IF(AND(K50="Open",L50&gt;Target),"Yes","No"))</f>
        <v>No</v>
      </c>
      <c r="N50" s="27" t="str">
        <f aca="false">IF(K50&lt;&gt;"Open","",IF(L50&lt;=30,"0-30",IF(L50&lt;=60,"31-60",IF(L50&lt;=90,"61-90","90+"))))</f>
        <v/>
      </c>
      <c r="O50" s="27" t="str">
        <f aca="false">IF(A50="","",IF(COUNTIFS($D$5:$D$400,D50,$F$5:$F$400,F50,$B$5:$B$400,"&gt;="&amp;(B50-RepeatWin),$B$5:$B$400,"&lt;"&amp;B50)&gt;0,"Yes","No"))</f>
        <v>No</v>
      </c>
      <c r="P50" s="35" t="str">
        <f aca="false">IF(OR(I50="",H50=""),"",H50+CapaDue)</f>
        <v/>
      </c>
      <c r="Q50" s="27" t="str">
        <f aca="false">IF(A50="","",IF(I50="","Not required",IF(J50&lt;&gt;"","Closed",IF(H50="","Awaiting dev. close",IF(AsOf&gt;P50,"Overdue","Open")))))</f>
        <v>Not required</v>
      </c>
      <c r="R50" s="27" t="str">
        <f aca="false">IF(J50="","",IF(COUNTIFS($D$5:$D$400,D50,$F$5:$F$400,F50,$B$5:$B$400,"&gt;"&amp;J50,$B$5:$B$400,"&lt;="&amp;(J50+EffWin))&gt;0,"Ineffective",IF(AsOf-J50&gt;=EffWin,"Effective","Check pending")))</f>
        <v/>
      </c>
      <c r="S50" s="36" t="n">
        <f aca="false">IF(A50="","",DATE(YEAR(B50),MONTH(B50),1))</f>
        <v>45870</v>
      </c>
      <c r="T50" s="36" t="n">
        <f aca="false">IF(H50="","",DATE(YEAR(H50),MONTH(H50),1))</f>
        <v>45901</v>
      </c>
      <c r="U50" s="27" t="str">
        <f aca="false">IF(H50="","",IF(AsOf-H50&lt;=90,L50,""))</f>
        <v/>
      </c>
      <c r="V50" s="27" t="str">
        <f aca="false">IF(H50="","",IF(AND(AsOf-H50&gt;90,AsOf-H50&lt;=270),L50,""))</f>
        <v/>
      </c>
    </row>
    <row r="51" customFormat="false" ht="15" hidden="false" customHeight="false" outlineLevel="0" collapsed="false">
      <c r="A51" s="32" t="s">
        <v>235</v>
      </c>
      <c r="B51" s="34" t="n">
        <v>45899</v>
      </c>
      <c r="C51" s="32" t="s">
        <v>75</v>
      </c>
      <c r="D51" s="32" t="s">
        <v>208</v>
      </c>
      <c r="E51" s="32" t="s">
        <v>61</v>
      </c>
      <c r="F51" s="32" t="s">
        <v>102</v>
      </c>
      <c r="G51" s="32" t="s">
        <v>128</v>
      </c>
      <c r="H51" s="34" t="n">
        <v>45913</v>
      </c>
      <c r="I51" s="32"/>
      <c r="J51" s="34"/>
      <c r="K51" s="27" t="str">
        <f aca="false">IF(A51="","",IF(H51="","Open","Closed"))</f>
        <v>Closed</v>
      </c>
      <c r="L51" s="27" t="n">
        <f aca="false">IF(A51="","",IF(H51="",AsOf-B51,H51-B51))</f>
        <v>14</v>
      </c>
      <c r="M51" s="27" t="str">
        <f aca="false">IF(A51="","",IF(AND(K51="Open",L51&gt;Target),"Yes","No"))</f>
        <v>No</v>
      </c>
      <c r="N51" s="27" t="str">
        <f aca="false">IF(K51&lt;&gt;"Open","",IF(L51&lt;=30,"0-30",IF(L51&lt;=60,"31-60",IF(L51&lt;=90,"61-90","90+"))))</f>
        <v/>
      </c>
      <c r="O51" s="27" t="str">
        <f aca="false">IF(A51="","",IF(COUNTIFS($D$5:$D$400,D51,$F$5:$F$400,F51,$B$5:$B$400,"&gt;="&amp;(B51-RepeatWin),$B$5:$B$400,"&lt;"&amp;B51)&gt;0,"Yes","No"))</f>
        <v>No</v>
      </c>
      <c r="P51" s="35" t="str">
        <f aca="false">IF(OR(I51="",H51=""),"",H51+CapaDue)</f>
        <v/>
      </c>
      <c r="Q51" s="27" t="str">
        <f aca="false">IF(A51="","",IF(I51="","Not required",IF(J51&lt;&gt;"","Closed",IF(H51="","Awaiting dev. close",IF(AsOf&gt;P51,"Overdue","Open")))))</f>
        <v>Not required</v>
      </c>
      <c r="R51" s="27" t="str">
        <f aca="false">IF(J51="","",IF(COUNTIFS($D$5:$D$400,D51,$F$5:$F$400,F51,$B$5:$B$400,"&gt;"&amp;J51,$B$5:$B$400,"&lt;="&amp;(J51+EffWin))&gt;0,"Ineffective",IF(AsOf-J51&gt;=EffWin,"Effective","Check pending")))</f>
        <v/>
      </c>
      <c r="S51" s="36" t="n">
        <f aca="false">IF(A51="","",DATE(YEAR(B51),MONTH(B51),1))</f>
        <v>45870</v>
      </c>
      <c r="T51" s="36" t="n">
        <f aca="false">IF(H51="","",DATE(YEAR(H51),MONTH(H51),1))</f>
        <v>45901</v>
      </c>
      <c r="U51" s="27" t="str">
        <f aca="false">IF(H51="","",IF(AsOf-H51&lt;=90,L51,""))</f>
        <v/>
      </c>
      <c r="V51" s="27" t="str">
        <f aca="false">IF(H51="","",IF(AND(AsOf-H51&gt;90,AsOf-H51&lt;=270),L51,""))</f>
        <v/>
      </c>
    </row>
    <row r="52" customFormat="false" ht="15" hidden="false" customHeight="false" outlineLevel="0" collapsed="false">
      <c r="A52" s="32" t="s">
        <v>236</v>
      </c>
      <c r="B52" s="34" t="n">
        <v>45902</v>
      </c>
      <c r="C52" s="32" t="s">
        <v>80</v>
      </c>
      <c r="D52" s="32" t="s">
        <v>199</v>
      </c>
      <c r="E52" s="32" t="s">
        <v>61</v>
      </c>
      <c r="F52" s="32" t="s">
        <v>98</v>
      </c>
      <c r="G52" s="32" t="s">
        <v>132</v>
      </c>
      <c r="H52" s="34" t="n">
        <v>45920</v>
      </c>
      <c r="I52" s="32"/>
      <c r="J52" s="34"/>
      <c r="K52" s="27" t="str">
        <f aca="false">IF(A52="","",IF(H52="","Open","Closed"))</f>
        <v>Closed</v>
      </c>
      <c r="L52" s="27" t="n">
        <f aca="false">IF(A52="","",IF(H52="",AsOf-B52,H52-B52))</f>
        <v>18</v>
      </c>
      <c r="M52" s="27" t="str">
        <f aca="false">IF(A52="","",IF(AND(K52="Open",L52&gt;Target),"Yes","No"))</f>
        <v>No</v>
      </c>
      <c r="N52" s="27" t="str">
        <f aca="false">IF(K52&lt;&gt;"Open","",IF(L52&lt;=30,"0-30",IF(L52&lt;=60,"31-60",IF(L52&lt;=90,"61-90","90+"))))</f>
        <v/>
      </c>
      <c r="O52" s="27" t="str">
        <f aca="false">IF(A52="","",IF(COUNTIFS($D$5:$D$400,D52,$F$5:$F$400,F52,$B$5:$B$400,"&gt;="&amp;(B52-RepeatWin),$B$5:$B$400,"&lt;"&amp;B52)&gt;0,"Yes","No"))</f>
        <v>No</v>
      </c>
      <c r="P52" s="35" t="str">
        <f aca="false">IF(OR(I52="",H52=""),"",H52+CapaDue)</f>
        <v/>
      </c>
      <c r="Q52" s="27" t="str">
        <f aca="false">IF(A52="","",IF(I52="","Not required",IF(J52&lt;&gt;"","Closed",IF(H52="","Awaiting dev. close",IF(AsOf&gt;P52,"Overdue","Open")))))</f>
        <v>Not required</v>
      </c>
      <c r="R52" s="27" t="str">
        <f aca="false">IF(J52="","",IF(COUNTIFS($D$5:$D$400,D52,$F$5:$F$400,F52,$B$5:$B$400,"&gt;"&amp;J52,$B$5:$B$400,"&lt;="&amp;(J52+EffWin))&gt;0,"Ineffective",IF(AsOf-J52&gt;=EffWin,"Effective","Check pending")))</f>
        <v/>
      </c>
      <c r="S52" s="36" t="n">
        <f aca="false">IF(A52="","",DATE(YEAR(B52),MONTH(B52),1))</f>
        <v>45901</v>
      </c>
      <c r="T52" s="36" t="n">
        <f aca="false">IF(H52="","",DATE(YEAR(H52),MONTH(H52),1))</f>
        <v>45901</v>
      </c>
      <c r="U52" s="27" t="str">
        <f aca="false">IF(H52="","",IF(AsOf-H52&lt;=90,L52,""))</f>
        <v/>
      </c>
      <c r="V52" s="27" t="str">
        <f aca="false">IF(H52="","",IF(AND(AsOf-H52&gt;90,AsOf-H52&lt;=270),L52,""))</f>
        <v/>
      </c>
    </row>
    <row r="53" customFormat="false" ht="15" hidden="false" customHeight="false" outlineLevel="0" collapsed="false">
      <c r="A53" s="32" t="s">
        <v>237</v>
      </c>
      <c r="B53" s="34" t="n">
        <v>45905</v>
      </c>
      <c r="C53" s="32" t="s">
        <v>73</v>
      </c>
      <c r="D53" s="32" t="s">
        <v>180</v>
      </c>
      <c r="E53" s="32" t="s">
        <v>59</v>
      </c>
      <c r="F53" s="32" t="s">
        <v>96</v>
      </c>
      <c r="G53" s="32" t="s">
        <v>132</v>
      </c>
      <c r="H53" s="34" t="n">
        <v>45930</v>
      </c>
      <c r="I53" s="32" t="s">
        <v>238</v>
      </c>
      <c r="J53" s="34" t="n">
        <v>46020</v>
      </c>
      <c r="K53" s="27" t="str">
        <f aca="false">IF(A53="","",IF(H53="","Open","Closed"))</f>
        <v>Closed</v>
      </c>
      <c r="L53" s="27" t="n">
        <f aca="false">IF(A53="","",IF(H53="",AsOf-B53,H53-B53))</f>
        <v>25</v>
      </c>
      <c r="M53" s="27" t="str">
        <f aca="false">IF(A53="","",IF(AND(K53="Open",L53&gt;Target),"Yes","No"))</f>
        <v>No</v>
      </c>
      <c r="N53" s="27" t="str">
        <f aca="false">IF(K53&lt;&gt;"Open","",IF(L53&lt;=30,"0-30",IF(L53&lt;=60,"31-60",IF(L53&lt;=90,"61-90","90+"))))</f>
        <v/>
      </c>
      <c r="O53" s="27" t="str">
        <f aca="false">IF(A53="","",IF(COUNTIFS($D$5:$D$400,D53,$F$5:$F$400,F53,$B$5:$B$400,"&gt;="&amp;(B53-RepeatWin),$B$5:$B$400,"&lt;"&amp;B53)&gt;0,"Yes","No"))</f>
        <v>No</v>
      </c>
      <c r="P53" s="35" t="n">
        <f aca="false">IF(OR(I53="",H53=""),"",H53+CapaDue)</f>
        <v>46020</v>
      </c>
      <c r="Q53" s="27" t="str">
        <f aca="false">IF(A53="","",IF(I53="","Not required",IF(J53&lt;&gt;"","Closed",IF(H53="","Awaiting dev. close",IF(AsOf&gt;P53,"Overdue","Open")))))</f>
        <v>Closed</v>
      </c>
      <c r="R53" s="27" t="str">
        <f aca="false">IF(J53="","",IF(COUNTIFS($D$5:$D$400,D53,$F$5:$F$400,F53,$B$5:$B$400,"&gt;"&amp;J53,$B$5:$B$400,"&lt;="&amp;(J53+EffWin))&gt;0,"Ineffective",IF(AsOf-J53&gt;=EffWin,"Effective","Check pending")))</f>
        <v>Effective</v>
      </c>
      <c r="S53" s="36" t="n">
        <f aca="false">IF(A53="","",DATE(YEAR(B53),MONTH(B53),1))</f>
        <v>45901</v>
      </c>
      <c r="T53" s="36" t="n">
        <f aca="false">IF(H53="","",DATE(YEAR(H53),MONTH(H53),1))</f>
        <v>45901</v>
      </c>
      <c r="U53" s="27" t="str">
        <f aca="false">IF(H53="","",IF(AsOf-H53&lt;=90,L53,""))</f>
        <v/>
      </c>
      <c r="V53" s="27" t="str">
        <f aca="false">IF(H53="","",IF(AND(AsOf-H53&gt;90,AsOf-H53&lt;=270),L53,""))</f>
        <v/>
      </c>
    </row>
    <row r="54" customFormat="false" ht="15" hidden="false" customHeight="false" outlineLevel="0" collapsed="false">
      <c r="A54" s="32" t="s">
        <v>239</v>
      </c>
      <c r="B54" s="34" t="n">
        <v>45909</v>
      </c>
      <c r="C54" s="32" t="s">
        <v>81</v>
      </c>
      <c r="D54" s="32" t="s">
        <v>240</v>
      </c>
      <c r="E54" s="32" t="s">
        <v>61</v>
      </c>
      <c r="F54" s="32" t="s">
        <v>100</v>
      </c>
      <c r="G54" s="32" t="s">
        <v>132</v>
      </c>
      <c r="H54" s="34" t="n">
        <v>45925</v>
      </c>
      <c r="I54" s="32"/>
      <c r="J54" s="34"/>
      <c r="K54" s="27" t="str">
        <f aca="false">IF(A54="","",IF(H54="","Open","Closed"))</f>
        <v>Closed</v>
      </c>
      <c r="L54" s="27" t="n">
        <f aca="false">IF(A54="","",IF(H54="",AsOf-B54,H54-B54))</f>
        <v>16</v>
      </c>
      <c r="M54" s="27" t="str">
        <f aca="false">IF(A54="","",IF(AND(K54="Open",L54&gt;Target),"Yes","No"))</f>
        <v>No</v>
      </c>
      <c r="N54" s="27" t="str">
        <f aca="false">IF(K54&lt;&gt;"Open","",IF(L54&lt;=30,"0-30",IF(L54&lt;=60,"31-60",IF(L54&lt;=90,"61-90","90+"))))</f>
        <v/>
      </c>
      <c r="O54" s="27" t="str">
        <f aca="false">IF(A54="","",IF(COUNTIFS($D$5:$D$400,D54,$F$5:$F$400,F54,$B$5:$B$400,"&gt;="&amp;(B54-RepeatWin),$B$5:$B$400,"&lt;"&amp;B54)&gt;0,"Yes","No"))</f>
        <v>No</v>
      </c>
      <c r="P54" s="35" t="str">
        <f aca="false">IF(OR(I54="",H54=""),"",H54+CapaDue)</f>
        <v/>
      </c>
      <c r="Q54" s="27" t="str">
        <f aca="false">IF(A54="","",IF(I54="","Not required",IF(J54&lt;&gt;"","Closed",IF(H54="","Awaiting dev. close",IF(AsOf&gt;P54,"Overdue","Open")))))</f>
        <v>Not required</v>
      </c>
      <c r="R54" s="27" t="str">
        <f aca="false">IF(J54="","",IF(COUNTIFS($D$5:$D$400,D54,$F$5:$F$400,F54,$B$5:$B$400,"&gt;"&amp;J54,$B$5:$B$400,"&lt;="&amp;(J54+EffWin))&gt;0,"Ineffective",IF(AsOf-J54&gt;=EffWin,"Effective","Check pending")))</f>
        <v/>
      </c>
      <c r="S54" s="36" t="n">
        <f aca="false">IF(A54="","",DATE(YEAR(B54),MONTH(B54),1))</f>
        <v>45901</v>
      </c>
      <c r="T54" s="36" t="n">
        <f aca="false">IF(H54="","",DATE(YEAR(H54),MONTH(H54),1))</f>
        <v>45901</v>
      </c>
      <c r="U54" s="27" t="str">
        <f aca="false">IF(H54="","",IF(AsOf-H54&lt;=90,L54,""))</f>
        <v/>
      </c>
      <c r="V54" s="27" t="str">
        <f aca="false">IF(H54="","",IF(AND(AsOf-H54&gt;90,AsOf-H54&lt;=270),L54,""))</f>
        <v/>
      </c>
    </row>
    <row r="55" customFormat="false" ht="15" hidden="false" customHeight="false" outlineLevel="0" collapsed="false">
      <c r="A55" s="32" t="s">
        <v>241</v>
      </c>
      <c r="B55" s="34" t="n">
        <v>45911</v>
      </c>
      <c r="C55" s="32" t="s">
        <v>81</v>
      </c>
      <c r="D55" s="32" t="s">
        <v>171</v>
      </c>
      <c r="E55" s="32" t="s">
        <v>61</v>
      </c>
      <c r="F55" s="32" t="s">
        <v>104</v>
      </c>
      <c r="G55" s="32" t="s">
        <v>130</v>
      </c>
      <c r="H55" s="34" t="n">
        <v>45927</v>
      </c>
      <c r="I55" s="32"/>
      <c r="J55" s="34"/>
      <c r="K55" s="27" t="str">
        <f aca="false">IF(A55="","",IF(H55="","Open","Closed"))</f>
        <v>Closed</v>
      </c>
      <c r="L55" s="27" t="n">
        <f aca="false">IF(A55="","",IF(H55="",AsOf-B55,H55-B55))</f>
        <v>16</v>
      </c>
      <c r="M55" s="27" t="str">
        <f aca="false">IF(A55="","",IF(AND(K55="Open",L55&gt;Target),"Yes","No"))</f>
        <v>No</v>
      </c>
      <c r="N55" s="27" t="str">
        <f aca="false">IF(K55&lt;&gt;"Open","",IF(L55&lt;=30,"0-30",IF(L55&lt;=60,"31-60",IF(L55&lt;=90,"61-90","90+"))))</f>
        <v/>
      </c>
      <c r="O55" s="27" t="str">
        <f aca="false">IF(A55="","",IF(COUNTIFS($D$5:$D$400,D55,$F$5:$F$400,F55,$B$5:$B$400,"&gt;="&amp;(B55-RepeatWin),$B$5:$B$400,"&lt;"&amp;B55)&gt;0,"Yes","No"))</f>
        <v>No</v>
      </c>
      <c r="P55" s="35" t="str">
        <f aca="false">IF(OR(I55="",H55=""),"",H55+CapaDue)</f>
        <v/>
      </c>
      <c r="Q55" s="27" t="str">
        <f aca="false">IF(A55="","",IF(I55="","Not required",IF(J55&lt;&gt;"","Closed",IF(H55="","Awaiting dev. close",IF(AsOf&gt;P55,"Overdue","Open")))))</f>
        <v>Not required</v>
      </c>
      <c r="R55" s="27" t="str">
        <f aca="false">IF(J55="","",IF(COUNTIFS($D$5:$D$400,D55,$F$5:$F$400,F55,$B$5:$B$400,"&gt;"&amp;J55,$B$5:$B$400,"&lt;="&amp;(J55+EffWin))&gt;0,"Ineffective",IF(AsOf-J55&gt;=EffWin,"Effective","Check pending")))</f>
        <v/>
      </c>
      <c r="S55" s="36" t="n">
        <f aca="false">IF(A55="","",DATE(YEAR(B55),MONTH(B55),1))</f>
        <v>45901</v>
      </c>
      <c r="T55" s="36" t="n">
        <f aca="false">IF(H55="","",DATE(YEAR(H55),MONTH(H55),1))</f>
        <v>45901</v>
      </c>
      <c r="U55" s="27" t="str">
        <f aca="false">IF(H55="","",IF(AsOf-H55&lt;=90,L55,""))</f>
        <v/>
      </c>
      <c r="V55" s="27" t="str">
        <f aca="false">IF(H55="","",IF(AND(AsOf-H55&gt;90,AsOf-H55&lt;=270),L55,""))</f>
        <v/>
      </c>
    </row>
    <row r="56" customFormat="false" ht="15" hidden="false" customHeight="false" outlineLevel="0" collapsed="false">
      <c r="A56" s="32" t="s">
        <v>242</v>
      </c>
      <c r="B56" s="34" t="n">
        <v>45916</v>
      </c>
      <c r="C56" s="32" t="s">
        <v>80</v>
      </c>
      <c r="D56" s="32" t="s">
        <v>197</v>
      </c>
      <c r="E56" s="32" t="s">
        <v>61</v>
      </c>
      <c r="F56" s="32" t="s">
        <v>94</v>
      </c>
      <c r="G56" s="32" t="s">
        <v>132</v>
      </c>
      <c r="H56" s="34" t="n">
        <v>45932</v>
      </c>
      <c r="I56" s="32"/>
      <c r="J56" s="34"/>
      <c r="K56" s="27" t="str">
        <f aca="false">IF(A56="","",IF(H56="","Open","Closed"))</f>
        <v>Closed</v>
      </c>
      <c r="L56" s="27" t="n">
        <f aca="false">IF(A56="","",IF(H56="",AsOf-B56,H56-B56))</f>
        <v>16</v>
      </c>
      <c r="M56" s="27" t="str">
        <f aca="false">IF(A56="","",IF(AND(K56="Open",L56&gt;Target),"Yes","No"))</f>
        <v>No</v>
      </c>
      <c r="N56" s="27" t="str">
        <f aca="false">IF(K56&lt;&gt;"Open","",IF(L56&lt;=30,"0-30",IF(L56&lt;=60,"31-60",IF(L56&lt;=90,"61-90","90+"))))</f>
        <v/>
      </c>
      <c r="O56" s="27" t="str">
        <f aca="false">IF(A56="","",IF(COUNTIFS($D$5:$D$400,D56,$F$5:$F$400,F56,$B$5:$B$400,"&gt;="&amp;(B56-RepeatWin),$B$5:$B$400,"&lt;"&amp;B56)&gt;0,"Yes","No"))</f>
        <v>No</v>
      </c>
      <c r="P56" s="35" t="str">
        <f aca="false">IF(OR(I56="",H56=""),"",H56+CapaDue)</f>
        <v/>
      </c>
      <c r="Q56" s="27" t="str">
        <f aca="false">IF(A56="","",IF(I56="","Not required",IF(J56&lt;&gt;"","Closed",IF(H56="","Awaiting dev. close",IF(AsOf&gt;P56,"Overdue","Open")))))</f>
        <v>Not required</v>
      </c>
      <c r="R56" s="27" t="str">
        <f aca="false">IF(J56="","",IF(COUNTIFS($D$5:$D$400,D56,$F$5:$F$400,F56,$B$5:$B$400,"&gt;"&amp;J56,$B$5:$B$400,"&lt;="&amp;(J56+EffWin))&gt;0,"Ineffective",IF(AsOf-J56&gt;=EffWin,"Effective","Check pending")))</f>
        <v/>
      </c>
      <c r="S56" s="36" t="n">
        <f aca="false">IF(A56="","",DATE(YEAR(B56),MONTH(B56),1))</f>
        <v>45901</v>
      </c>
      <c r="T56" s="36" t="n">
        <f aca="false">IF(H56="","",DATE(YEAR(H56),MONTH(H56),1))</f>
        <v>45931</v>
      </c>
      <c r="U56" s="27" t="str">
        <f aca="false">IF(H56="","",IF(AsOf-H56&lt;=90,L56,""))</f>
        <v/>
      </c>
      <c r="V56" s="27" t="str">
        <f aca="false">IF(H56="","",IF(AND(AsOf-H56&gt;90,AsOf-H56&lt;=270),L56,""))</f>
        <v/>
      </c>
    </row>
    <row r="57" customFormat="false" ht="15" hidden="false" customHeight="false" outlineLevel="0" collapsed="false">
      <c r="A57" s="32" t="s">
        <v>243</v>
      </c>
      <c r="B57" s="34" t="n">
        <v>45925</v>
      </c>
      <c r="C57" s="32" t="s">
        <v>73</v>
      </c>
      <c r="D57" s="32" t="s">
        <v>158</v>
      </c>
      <c r="E57" s="32" t="s">
        <v>61</v>
      </c>
      <c r="F57" s="32" t="s">
        <v>98</v>
      </c>
      <c r="G57" s="32" t="s">
        <v>129</v>
      </c>
      <c r="H57" s="34" t="n">
        <v>45939</v>
      </c>
      <c r="I57" s="32"/>
      <c r="J57" s="34"/>
      <c r="K57" s="27" t="str">
        <f aca="false">IF(A57="","",IF(H57="","Open","Closed"))</f>
        <v>Closed</v>
      </c>
      <c r="L57" s="27" t="n">
        <f aca="false">IF(A57="","",IF(H57="",AsOf-B57,H57-B57))</f>
        <v>14</v>
      </c>
      <c r="M57" s="27" t="str">
        <f aca="false">IF(A57="","",IF(AND(K57="Open",L57&gt;Target),"Yes","No"))</f>
        <v>No</v>
      </c>
      <c r="N57" s="27" t="str">
        <f aca="false">IF(K57&lt;&gt;"Open","",IF(L57&lt;=30,"0-30",IF(L57&lt;=60,"31-60",IF(L57&lt;=90,"61-90","90+"))))</f>
        <v/>
      </c>
      <c r="O57" s="27" t="str">
        <f aca="false">IF(A57="","",IF(COUNTIFS($D$5:$D$400,D57,$F$5:$F$400,F57,$B$5:$B$400,"&gt;="&amp;(B57-RepeatWin),$B$5:$B$400,"&lt;"&amp;B57)&gt;0,"Yes","No"))</f>
        <v>No</v>
      </c>
      <c r="P57" s="35" t="str">
        <f aca="false">IF(OR(I57="",H57=""),"",H57+CapaDue)</f>
        <v/>
      </c>
      <c r="Q57" s="27" t="str">
        <f aca="false">IF(A57="","",IF(I57="","Not required",IF(J57&lt;&gt;"","Closed",IF(H57="","Awaiting dev. close",IF(AsOf&gt;P57,"Overdue","Open")))))</f>
        <v>Not required</v>
      </c>
      <c r="R57" s="27" t="str">
        <f aca="false">IF(J57="","",IF(COUNTIFS($D$5:$D$400,D57,$F$5:$F$400,F57,$B$5:$B$400,"&gt;"&amp;J57,$B$5:$B$400,"&lt;="&amp;(J57+EffWin))&gt;0,"Ineffective",IF(AsOf-J57&gt;=EffWin,"Effective","Check pending")))</f>
        <v/>
      </c>
      <c r="S57" s="36" t="n">
        <f aca="false">IF(A57="","",DATE(YEAR(B57),MONTH(B57),1))</f>
        <v>45901</v>
      </c>
      <c r="T57" s="36" t="n">
        <f aca="false">IF(H57="","",DATE(YEAR(H57),MONTH(H57),1))</f>
        <v>45931</v>
      </c>
      <c r="U57" s="27" t="str">
        <f aca="false">IF(H57="","",IF(AsOf-H57&lt;=90,L57,""))</f>
        <v/>
      </c>
      <c r="V57" s="27" t="str">
        <f aca="false">IF(H57="","",IF(AND(AsOf-H57&gt;90,AsOf-H57&lt;=270),L57,""))</f>
        <v/>
      </c>
    </row>
    <row r="58" customFormat="false" ht="15" hidden="false" customHeight="false" outlineLevel="0" collapsed="false">
      <c r="A58" s="32" t="s">
        <v>244</v>
      </c>
      <c r="B58" s="34" t="n">
        <v>45925</v>
      </c>
      <c r="C58" s="32" t="s">
        <v>77</v>
      </c>
      <c r="D58" s="32" t="s">
        <v>195</v>
      </c>
      <c r="E58" s="32" t="s">
        <v>61</v>
      </c>
      <c r="F58" s="32" t="s">
        <v>95</v>
      </c>
      <c r="G58" s="32" t="s">
        <v>131</v>
      </c>
      <c r="H58" s="34" t="n">
        <v>45944</v>
      </c>
      <c r="I58" s="32"/>
      <c r="J58" s="34"/>
      <c r="K58" s="27" t="str">
        <f aca="false">IF(A58="","",IF(H58="","Open","Closed"))</f>
        <v>Closed</v>
      </c>
      <c r="L58" s="27" t="n">
        <f aca="false">IF(A58="","",IF(H58="",AsOf-B58,H58-B58))</f>
        <v>19</v>
      </c>
      <c r="M58" s="27" t="str">
        <f aca="false">IF(A58="","",IF(AND(K58="Open",L58&gt;Target),"Yes","No"))</f>
        <v>No</v>
      </c>
      <c r="N58" s="27" t="str">
        <f aca="false">IF(K58&lt;&gt;"Open","",IF(L58&lt;=30,"0-30",IF(L58&lt;=60,"31-60",IF(L58&lt;=90,"61-90","90+"))))</f>
        <v/>
      </c>
      <c r="O58" s="27" t="str">
        <f aca="false">IF(A58="","",IF(COUNTIFS($D$5:$D$400,D58,$F$5:$F$400,F58,$B$5:$B$400,"&gt;="&amp;(B58-RepeatWin),$B$5:$B$400,"&lt;"&amp;B58)&gt;0,"Yes","No"))</f>
        <v>No</v>
      </c>
      <c r="P58" s="35" t="str">
        <f aca="false">IF(OR(I58="",H58=""),"",H58+CapaDue)</f>
        <v/>
      </c>
      <c r="Q58" s="27" t="str">
        <f aca="false">IF(A58="","",IF(I58="","Not required",IF(J58&lt;&gt;"","Closed",IF(H58="","Awaiting dev. close",IF(AsOf&gt;P58,"Overdue","Open")))))</f>
        <v>Not required</v>
      </c>
      <c r="R58" s="27" t="str">
        <f aca="false">IF(J58="","",IF(COUNTIFS($D$5:$D$400,D58,$F$5:$F$400,F58,$B$5:$B$400,"&gt;"&amp;J58,$B$5:$B$400,"&lt;="&amp;(J58+EffWin))&gt;0,"Ineffective",IF(AsOf-J58&gt;=EffWin,"Effective","Check pending")))</f>
        <v/>
      </c>
      <c r="S58" s="36" t="n">
        <f aca="false">IF(A58="","",DATE(YEAR(B58),MONTH(B58),1))</f>
        <v>45901</v>
      </c>
      <c r="T58" s="36" t="n">
        <f aca="false">IF(H58="","",DATE(YEAR(H58),MONTH(H58),1))</f>
        <v>45931</v>
      </c>
      <c r="U58" s="27" t="str">
        <f aca="false">IF(H58="","",IF(AsOf-H58&lt;=90,L58,""))</f>
        <v/>
      </c>
      <c r="V58" s="27" t="str">
        <f aca="false">IF(H58="","",IF(AND(AsOf-H58&gt;90,AsOf-H58&lt;=270),L58,""))</f>
        <v/>
      </c>
    </row>
    <row r="59" customFormat="false" ht="15" hidden="false" customHeight="false" outlineLevel="0" collapsed="false">
      <c r="A59" s="32" t="s">
        <v>245</v>
      </c>
      <c r="B59" s="34" t="n">
        <v>45928</v>
      </c>
      <c r="C59" s="32" t="s">
        <v>73</v>
      </c>
      <c r="D59" s="32" t="s">
        <v>164</v>
      </c>
      <c r="E59" s="32" t="s">
        <v>61</v>
      </c>
      <c r="F59" s="32" t="s">
        <v>97</v>
      </c>
      <c r="G59" s="32" t="s">
        <v>129</v>
      </c>
      <c r="H59" s="34" t="n">
        <v>45948</v>
      </c>
      <c r="I59" s="32"/>
      <c r="J59" s="34"/>
      <c r="K59" s="27" t="str">
        <f aca="false">IF(A59="","",IF(H59="","Open","Closed"))</f>
        <v>Closed</v>
      </c>
      <c r="L59" s="27" t="n">
        <f aca="false">IF(A59="","",IF(H59="",AsOf-B59,H59-B59))</f>
        <v>20</v>
      </c>
      <c r="M59" s="27" t="str">
        <f aca="false">IF(A59="","",IF(AND(K59="Open",L59&gt;Target),"Yes","No"))</f>
        <v>No</v>
      </c>
      <c r="N59" s="27" t="str">
        <f aca="false">IF(K59&lt;&gt;"Open","",IF(L59&lt;=30,"0-30",IF(L59&lt;=60,"31-60",IF(L59&lt;=90,"61-90","90+"))))</f>
        <v/>
      </c>
      <c r="O59" s="27" t="str">
        <f aca="false">IF(A59="","",IF(COUNTIFS($D$5:$D$400,D59,$F$5:$F$400,F59,$B$5:$B$400,"&gt;="&amp;(B59-RepeatWin),$B$5:$B$400,"&lt;"&amp;B59)&gt;0,"Yes","No"))</f>
        <v>No</v>
      </c>
      <c r="P59" s="35" t="str">
        <f aca="false">IF(OR(I59="",H59=""),"",H59+CapaDue)</f>
        <v/>
      </c>
      <c r="Q59" s="27" t="str">
        <f aca="false">IF(A59="","",IF(I59="","Not required",IF(J59&lt;&gt;"","Closed",IF(H59="","Awaiting dev. close",IF(AsOf&gt;P59,"Overdue","Open")))))</f>
        <v>Not required</v>
      </c>
      <c r="R59" s="27" t="str">
        <f aca="false">IF(J59="","",IF(COUNTIFS($D$5:$D$400,D59,$F$5:$F$400,F59,$B$5:$B$400,"&gt;"&amp;J59,$B$5:$B$400,"&lt;="&amp;(J59+EffWin))&gt;0,"Ineffective",IF(AsOf-J59&gt;=EffWin,"Effective","Check pending")))</f>
        <v/>
      </c>
      <c r="S59" s="36" t="n">
        <f aca="false">IF(A59="","",DATE(YEAR(B59),MONTH(B59),1))</f>
        <v>45901</v>
      </c>
      <c r="T59" s="36" t="n">
        <f aca="false">IF(H59="","",DATE(YEAR(H59),MONTH(H59),1))</f>
        <v>45931</v>
      </c>
      <c r="U59" s="27" t="str">
        <f aca="false">IF(H59="","",IF(AsOf-H59&lt;=90,L59,""))</f>
        <v/>
      </c>
      <c r="V59" s="27" t="str">
        <f aca="false">IF(H59="","",IF(AND(AsOf-H59&gt;90,AsOf-H59&lt;=270),L59,""))</f>
        <v/>
      </c>
    </row>
    <row r="60" customFormat="false" ht="15" hidden="false" customHeight="false" outlineLevel="0" collapsed="false">
      <c r="A60" s="32" t="s">
        <v>246</v>
      </c>
      <c r="B60" s="34" t="n">
        <v>45932</v>
      </c>
      <c r="C60" s="32" t="s">
        <v>79</v>
      </c>
      <c r="D60" s="32" t="s">
        <v>215</v>
      </c>
      <c r="E60" s="32" t="s">
        <v>61</v>
      </c>
      <c r="F60" s="32" t="s">
        <v>99</v>
      </c>
      <c r="G60" s="32" t="s">
        <v>131</v>
      </c>
      <c r="H60" s="34" t="n">
        <v>45944</v>
      </c>
      <c r="I60" s="32"/>
      <c r="J60" s="34"/>
      <c r="K60" s="27" t="str">
        <f aca="false">IF(A60="","",IF(H60="","Open","Closed"))</f>
        <v>Closed</v>
      </c>
      <c r="L60" s="27" t="n">
        <f aca="false">IF(A60="","",IF(H60="",AsOf-B60,H60-B60))</f>
        <v>12</v>
      </c>
      <c r="M60" s="27" t="str">
        <f aca="false">IF(A60="","",IF(AND(K60="Open",L60&gt;Target),"Yes","No"))</f>
        <v>No</v>
      </c>
      <c r="N60" s="27" t="str">
        <f aca="false">IF(K60&lt;&gt;"Open","",IF(L60&lt;=30,"0-30",IF(L60&lt;=60,"31-60",IF(L60&lt;=90,"61-90","90+"))))</f>
        <v/>
      </c>
      <c r="O60" s="27" t="str">
        <f aca="false">IF(A60="","",IF(COUNTIFS($D$5:$D$400,D60,$F$5:$F$400,F60,$B$5:$B$400,"&gt;="&amp;(B60-RepeatWin),$B$5:$B$400,"&lt;"&amp;B60)&gt;0,"Yes","No"))</f>
        <v>No</v>
      </c>
      <c r="P60" s="35" t="str">
        <f aca="false">IF(OR(I60="",H60=""),"",H60+CapaDue)</f>
        <v/>
      </c>
      <c r="Q60" s="27" t="str">
        <f aca="false">IF(A60="","",IF(I60="","Not required",IF(J60&lt;&gt;"","Closed",IF(H60="","Awaiting dev. close",IF(AsOf&gt;P60,"Overdue","Open")))))</f>
        <v>Not required</v>
      </c>
      <c r="R60" s="27" t="str">
        <f aca="false">IF(J60="","",IF(COUNTIFS($D$5:$D$400,D60,$F$5:$F$400,F60,$B$5:$B$400,"&gt;"&amp;J60,$B$5:$B$400,"&lt;="&amp;(J60+EffWin))&gt;0,"Ineffective",IF(AsOf-J60&gt;=EffWin,"Effective","Check pending")))</f>
        <v/>
      </c>
      <c r="S60" s="36" t="n">
        <f aca="false">IF(A60="","",DATE(YEAR(B60),MONTH(B60),1))</f>
        <v>45931</v>
      </c>
      <c r="T60" s="36" t="n">
        <f aca="false">IF(H60="","",DATE(YEAR(H60),MONTH(H60),1))</f>
        <v>45931</v>
      </c>
      <c r="U60" s="27" t="str">
        <f aca="false">IF(H60="","",IF(AsOf-H60&lt;=90,L60,""))</f>
        <v/>
      </c>
      <c r="V60" s="27" t="str">
        <f aca="false">IF(H60="","",IF(AND(AsOf-H60&gt;90,AsOf-H60&lt;=270),L60,""))</f>
        <v/>
      </c>
    </row>
    <row r="61" customFormat="false" ht="15" hidden="false" customHeight="false" outlineLevel="0" collapsed="false">
      <c r="A61" s="32" t="s">
        <v>247</v>
      </c>
      <c r="B61" s="34" t="n">
        <v>45937</v>
      </c>
      <c r="C61" s="32" t="s">
        <v>73</v>
      </c>
      <c r="D61" s="32" t="s">
        <v>149</v>
      </c>
      <c r="E61" s="32" t="s">
        <v>61</v>
      </c>
      <c r="F61" s="32" t="s">
        <v>98</v>
      </c>
      <c r="G61" s="32" t="s">
        <v>132</v>
      </c>
      <c r="H61" s="34" t="n">
        <v>45952</v>
      </c>
      <c r="I61" s="32"/>
      <c r="J61" s="34"/>
      <c r="K61" s="27" t="str">
        <f aca="false">IF(A61="","",IF(H61="","Open","Closed"))</f>
        <v>Closed</v>
      </c>
      <c r="L61" s="27" t="n">
        <f aca="false">IF(A61="","",IF(H61="",AsOf-B61,H61-B61))</f>
        <v>15</v>
      </c>
      <c r="M61" s="27" t="str">
        <f aca="false">IF(A61="","",IF(AND(K61="Open",L61&gt;Target),"Yes","No"))</f>
        <v>No</v>
      </c>
      <c r="N61" s="27" t="str">
        <f aca="false">IF(K61&lt;&gt;"Open","",IF(L61&lt;=30,"0-30",IF(L61&lt;=60,"31-60",IF(L61&lt;=90,"61-90","90+"))))</f>
        <v/>
      </c>
      <c r="O61" s="27" t="str">
        <f aca="false">IF(A61="","",IF(COUNTIFS($D$5:$D$400,D61,$F$5:$F$400,F61,$B$5:$B$400,"&gt;="&amp;(B61-RepeatWin),$B$5:$B$400,"&lt;"&amp;B61)&gt;0,"Yes","No"))</f>
        <v>No</v>
      </c>
      <c r="P61" s="35" t="str">
        <f aca="false">IF(OR(I61="",H61=""),"",H61+CapaDue)</f>
        <v/>
      </c>
      <c r="Q61" s="27" t="str">
        <f aca="false">IF(A61="","",IF(I61="","Not required",IF(J61&lt;&gt;"","Closed",IF(H61="","Awaiting dev. close",IF(AsOf&gt;P61,"Overdue","Open")))))</f>
        <v>Not required</v>
      </c>
      <c r="R61" s="27" t="str">
        <f aca="false">IF(J61="","",IF(COUNTIFS($D$5:$D$400,D61,$F$5:$F$400,F61,$B$5:$B$400,"&gt;"&amp;J61,$B$5:$B$400,"&lt;="&amp;(J61+EffWin))&gt;0,"Ineffective",IF(AsOf-J61&gt;=EffWin,"Effective","Check pending")))</f>
        <v/>
      </c>
      <c r="S61" s="36" t="n">
        <f aca="false">IF(A61="","",DATE(YEAR(B61),MONTH(B61),1))</f>
        <v>45931</v>
      </c>
      <c r="T61" s="36" t="n">
        <f aca="false">IF(H61="","",DATE(YEAR(H61),MONTH(H61),1))</f>
        <v>45931</v>
      </c>
      <c r="U61" s="27" t="str">
        <f aca="false">IF(H61="","",IF(AsOf-H61&lt;=90,L61,""))</f>
        <v/>
      </c>
      <c r="V61" s="27" t="str">
        <f aca="false">IF(H61="","",IF(AND(AsOf-H61&gt;90,AsOf-H61&lt;=270),L61,""))</f>
        <v/>
      </c>
    </row>
    <row r="62" customFormat="false" ht="15" hidden="false" customHeight="false" outlineLevel="0" collapsed="false">
      <c r="A62" s="32" t="s">
        <v>248</v>
      </c>
      <c r="B62" s="34" t="n">
        <v>45944</v>
      </c>
      <c r="C62" s="32" t="s">
        <v>75</v>
      </c>
      <c r="D62" s="32" t="s">
        <v>188</v>
      </c>
      <c r="E62" s="32" t="s">
        <v>59</v>
      </c>
      <c r="F62" s="32" t="s">
        <v>102</v>
      </c>
      <c r="G62" s="32" t="s">
        <v>131</v>
      </c>
      <c r="H62" s="34" t="n">
        <v>45970</v>
      </c>
      <c r="I62" s="32" t="s">
        <v>249</v>
      </c>
      <c r="J62" s="34" t="n">
        <v>46005</v>
      </c>
      <c r="K62" s="27" t="str">
        <f aca="false">IF(A62="","",IF(H62="","Open","Closed"))</f>
        <v>Closed</v>
      </c>
      <c r="L62" s="27" t="n">
        <f aca="false">IF(A62="","",IF(H62="",AsOf-B62,H62-B62))</f>
        <v>26</v>
      </c>
      <c r="M62" s="27" t="str">
        <f aca="false">IF(A62="","",IF(AND(K62="Open",L62&gt;Target),"Yes","No"))</f>
        <v>No</v>
      </c>
      <c r="N62" s="27" t="str">
        <f aca="false">IF(K62&lt;&gt;"Open","",IF(L62&lt;=30,"0-30",IF(L62&lt;=60,"31-60",IF(L62&lt;=90,"61-90","90+"))))</f>
        <v/>
      </c>
      <c r="O62" s="27" t="str">
        <f aca="false">IF(A62="","",IF(COUNTIFS($D$5:$D$400,D62,$F$5:$F$400,F62,$B$5:$B$400,"&gt;="&amp;(B62-RepeatWin),$B$5:$B$400,"&lt;"&amp;B62)&gt;0,"Yes","No"))</f>
        <v>No</v>
      </c>
      <c r="P62" s="35" t="n">
        <f aca="false">IF(OR(I62="",H62=""),"",H62+CapaDue)</f>
        <v>46060</v>
      </c>
      <c r="Q62" s="27" t="str">
        <f aca="false">IF(A62="","",IF(I62="","Not required",IF(J62&lt;&gt;"","Closed",IF(H62="","Awaiting dev. close",IF(AsOf&gt;P62,"Overdue","Open")))))</f>
        <v>Closed</v>
      </c>
      <c r="R62" s="27" t="str">
        <f aca="false">IF(J62="","",IF(COUNTIFS($D$5:$D$400,D62,$F$5:$F$400,F62,$B$5:$B$400,"&gt;"&amp;J62,$B$5:$B$400,"&lt;="&amp;(J62+EffWin))&gt;0,"Ineffective",IF(AsOf-J62&gt;=EffWin,"Effective","Check pending")))</f>
        <v>Ineffective</v>
      </c>
      <c r="S62" s="36" t="n">
        <f aca="false">IF(A62="","",DATE(YEAR(B62),MONTH(B62),1))</f>
        <v>45931</v>
      </c>
      <c r="T62" s="36" t="n">
        <f aca="false">IF(H62="","",DATE(YEAR(H62),MONTH(H62),1))</f>
        <v>45962</v>
      </c>
      <c r="U62" s="27" t="str">
        <f aca="false">IF(H62="","",IF(AsOf-H62&lt;=90,L62,""))</f>
        <v/>
      </c>
      <c r="V62" s="27" t="str">
        <f aca="false">IF(H62="","",IF(AND(AsOf-H62&gt;90,AsOf-H62&lt;=270),L62,""))</f>
        <v/>
      </c>
    </row>
    <row r="63" customFormat="false" ht="15" hidden="false" customHeight="false" outlineLevel="0" collapsed="false">
      <c r="A63" s="32" t="s">
        <v>250</v>
      </c>
      <c r="B63" s="34" t="n">
        <v>45944</v>
      </c>
      <c r="C63" s="32" t="s">
        <v>73</v>
      </c>
      <c r="D63" s="32" t="s">
        <v>226</v>
      </c>
      <c r="E63" s="32" t="s">
        <v>61</v>
      </c>
      <c r="F63" s="32" t="s">
        <v>94</v>
      </c>
      <c r="G63" s="32" t="s">
        <v>131</v>
      </c>
      <c r="H63" s="34" t="n">
        <v>45967</v>
      </c>
      <c r="I63" s="32"/>
      <c r="J63" s="34"/>
      <c r="K63" s="27" t="str">
        <f aca="false">IF(A63="","",IF(H63="","Open","Closed"))</f>
        <v>Closed</v>
      </c>
      <c r="L63" s="27" t="n">
        <f aca="false">IF(A63="","",IF(H63="",AsOf-B63,H63-B63))</f>
        <v>23</v>
      </c>
      <c r="M63" s="27" t="str">
        <f aca="false">IF(A63="","",IF(AND(K63="Open",L63&gt;Target),"Yes","No"))</f>
        <v>No</v>
      </c>
      <c r="N63" s="27" t="str">
        <f aca="false">IF(K63&lt;&gt;"Open","",IF(L63&lt;=30,"0-30",IF(L63&lt;=60,"31-60",IF(L63&lt;=90,"61-90","90+"))))</f>
        <v/>
      </c>
      <c r="O63" s="27" t="str">
        <f aca="false">IF(A63="","",IF(COUNTIFS($D$5:$D$400,D63,$F$5:$F$400,F63,$B$5:$B$400,"&gt;="&amp;(B63-RepeatWin),$B$5:$B$400,"&lt;"&amp;B63)&gt;0,"Yes","No"))</f>
        <v>No</v>
      </c>
      <c r="P63" s="35" t="str">
        <f aca="false">IF(OR(I63="",H63=""),"",H63+CapaDue)</f>
        <v/>
      </c>
      <c r="Q63" s="27" t="str">
        <f aca="false">IF(A63="","",IF(I63="","Not required",IF(J63&lt;&gt;"","Closed",IF(H63="","Awaiting dev. close",IF(AsOf&gt;P63,"Overdue","Open")))))</f>
        <v>Not required</v>
      </c>
      <c r="R63" s="27" t="str">
        <f aca="false">IF(J63="","",IF(COUNTIFS($D$5:$D$400,D63,$F$5:$F$400,F63,$B$5:$B$400,"&gt;"&amp;J63,$B$5:$B$400,"&lt;="&amp;(J63+EffWin))&gt;0,"Ineffective",IF(AsOf-J63&gt;=EffWin,"Effective","Check pending")))</f>
        <v/>
      </c>
      <c r="S63" s="36" t="n">
        <f aca="false">IF(A63="","",DATE(YEAR(B63),MONTH(B63),1))</f>
        <v>45931</v>
      </c>
      <c r="T63" s="36" t="n">
        <f aca="false">IF(H63="","",DATE(YEAR(H63),MONTH(H63),1))</f>
        <v>45962</v>
      </c>
      <c r="U63" s="27" t="str">
        <f aca="false">IF(H63="","",IF(AsOf-H63&lt;=90,L63,""))</f>
        <v/>
      </c>
      <c r="V63" s="27" t="str">
        <f aca="false">IF(H63="","",IF(AND(AsOf-H63&gt;90,AsOf-H63&lt;=270),L63,""))</f>
        <v/>
      </c>
    </row>
    <row r="64" customFormat="false" ht="15" hidden="false" customHeight="false" outlineLevel="0" collapsed="false">
      <c r="A64" s="32" t="s">
        <v>251</v>
      </c>
      <c r="B64" s="34" t="n">
        <v>45946</v>
      </c>
      <c r="C64" s="32" t="s">
        <v>79</v>
      </c>
      <c r="D64" s="32" t="s">
        <v>204</v>
      </c>
      <c r="E64" s="32" t="s">
        <v>61</v>
      </c>
      <c r="F64" s="32" t="s">
        <v>94</v>
      </c>
      <c r="G64" s="32" t="s">
        <v>131</v>
      </c>
      <c r="H64" s="34" t="n">
        <v>45966</v>
      </c>
      <c r="I64" s="32" t="s">
        <v>252</v>
      </c>
      <c r="J64" s="34" t="n">
        <v>46053</v>
      </c>
      <c r="K64" s="27" t="str">
        <f aca="false">IF(A64="","",IF(H64="","Open","Closed"))</f>
        <v>Closed</v>
      </c>
      <c r="L64" s="27" t="n">
        <f aca="false">IF(A64="","",IF(H64="",AsOf-B64,H64-B64))</f>
        <v>20</v>
      </c>
      <c r="M64" s="27" t="str">
        <f aca="false">IF(A64="","",IF(AND(K64="Open",L64&gt;Target),"Yes","No"))</f>
        <v>No</v>
      </c>
      <c r="N64" s="27" t="str">
        <f aca="false">IF(K64&lt;&gt;"Open","",IF(L64&lt;=30,"0-30",IF(L64&lt;=60,"31-60",IF(L64&lt;=90,"61-90","90+"))))</f>
        <v/>
      </c>
      <c r="O64" s="27" t="str">
        <f aca="false">IF(A64="","",IF(COUNTIFS($D$5:$D$400,D64,$F$5:$F$400,F64,$B$5:$B$400,"&gt;="&amp;(B64-RepeatWin),$B$5:$B$400,"&lt;"&amp;B64)&gt;0,"Yes","No"))</f>
        <v>Yes</v>
      </c>
      <c r="P64" s="35" t="n">
        <f aca="false">IF(OR(I64="",H64=""),"",H64+CapaDue)</f>
        <v>46056</v>
      </c>
      <c r="Q64" s="27" t="str">
        <f aca="false">IF(A64="","",IF(I64="","Not required",IF(J64&lt;&gt;"","Closed",IF(H64="","Awaiting dev. close",IF(AsOf&gt;P64,"Overdue","Open")))))</f>
        <v>Closed</v>
      </c>
      <c r="R64" s="27" t="str">
        <f aca="false">IF(J64="","",IF(COUNTIFS($D$5:$D$400,D64,$F$5:$F$400,F64,$B$5:$B$400,"&gt;"&amp;J64,$B$5:$B$400,"&lt;="&amp;(J64+EffWin))&gt;0,"Ineffective",IF(AsOf-J64&gt;=EffWin,"Effective","Check pending")))</f>
        <v>Effective</v>
      </c>
      <c r="S64" s="36" t="n">
        <f aca="false">IF(A64="","",DATE(YEAR(B64),MONTH(B64),1))</f>
        <v>45931</v>
      </c>
      <c r="T64" s="36" t="n">
        <f aca="false">IF(H64="","",DATE(YEAR(H64),MONTH(H64),1))</f>
        <v>45962</v>
      </c>
      <c r="U64" s="27" t="str">
        <f aca="false">IF(H64="","",IF(AsOf-H64&lt;=90,L64,""))</f>
        <v/>
      </c>
      <c r="V64" s="27" t="str">
        <f aca="false">IF(H64="","",IF(AND(AsOf-H64&gt;90,AsOf-H64&lt;=270),L64,""))</f>
        <v/>
      </c>
    </row>
    <row r="65" customFormat="false" ht="15" hidden="false" customHeight="false" outlineLevel="0" collapsed="false">
      <c r="A65" s="32" t="s">
        <v>253</v>
      </c>
      <c r="B65" s="34" t="n">
        <v>45947</v>
      </c>
      <c r="C65" s="32" t="s">
        <v>75</v>
      </c>
      <c r="D65" s="32" t="s">
        <v>153</v>
      </c>
      <c r="E65" s="32" t="s">
        <v>61</v>
      </c>
      <c r="F65" s="32" t="s">
        <v>103</v>
      </c>
      <c r="G65" s="32" t="s">
        <v>126</v>
      </c>
      <c r="H65" s="34" t="n">
        <v>45967</v>
      </c>
      <c r="I65" s="32"/>
      <c r="J65" s="34"/>
      <c r="K65" s="27" t="str">
        <f aca="false">IF(A65="","",IF(H65="","Open","Closed"))</f>
        <v>Closed</v>
      </c>
      <c r="L65" s="27" t="n">
        <f aca="false">IF(A65="","",IF(H65="",AsOf-B65,H65-B65))</f>
        <v>20</v>
      </c>
      <c r="M65" s="27" t="str">
        <f aca="false">IF(A65="","",IF(AND(K65="Open",L65&gt;Target),"Yes","No"))</f>
        <v>No</v>
      </c>
      <c r="N65" s="27" t="str">
        <f aca="false">IF(K65&lt;&gt;"Open","",IF(L65&lt;=30,"0-30",IF(L65&lt;=60,"31-60",IF(L65&lt;=90,"61-90","90+"))))</f>
        <v/>
      </c>
      <c r="O65" s="27" t="str">
        <f aca="false">IF(A65="","",IF(COUNTIFS($D$5:$D$400,D65,$F$5:$F$400,F65,$B$5:$B$400,"&gt;="&amp;(B65-RepeatWin),$B$5:$B$400,"&lt;"&amp;B65)&gt;0,"Yes","No"))</f>
        <v>No</v>
      </c>
      <c r="P65" s="35" t="str">
        <f aca="false">IF(OR(I65="",H65=""),"",H65+CapaDue)</f>
        <v/>
      </c>
      <c r="Q65" s="27" t="str">
        <f aca="false">IF(A65="","",IF(I65="","Not required",IF(J65&lt;&gt;"","Closed",IF(H65="","Awaiting dev. close",IF(AsOf&gt;P65,"Overdue","Open")))))</f>
        <v>Not required</v>
      </c>
      <c r="R65" s="27" t="str">
        <f aca="false">IF(J65="","",IF(COUNTIFS($D$5:$D$400,D65,$F$5:$F$400,F65,$B$5:$B$400,"&gt;"&amp;J65,$B$5:$B$400,"&lt;="&amp;(J65+EffWin))&gt;0,"Ineffective",IF(AsOf-J65&gt;=EffWin,"Effective","Check pending")))</f>
        <v/>
      </c>
      <c r="S65" s="36" t="n">
        <f aca="false">IF(A65="","",DATE(YEAR(B65),MONTH(B65),1))</f>
        <v>45931</v>
      </c>
      <c r="T65" s="36" t="n">
        <f aca="false">IF(H65="","",DATE(YEAR(H65),MONTH(H65),1))</f>
        <v>45962</v>
      </c>
      <c r="U65" s="27" t="str">
        <f aca="false">IF(H65="","",IF(AsOf-H65&lt;=90,L65,""))</f>
        <v/>
      </c>
      <c r="V65" s="27" t="str">
        <f aca="false">IF(H65="","",IF(AND(AsOf-H65&gt;90,AsOf-H65&lt;=270),L65,""))</f>
        <v/>
      </c>
    </row>
    <row r="66" customFormat="false" ht="15" hidden="false" customHeight="false" outlineLevel="0" collapsed="false">
      <c r="A66" s="32" t="s">
        <v>254</v>
      </c>
      <c r="B66" s="34" t="n">
        <v>45948</v>
      </c>
      <c r="C66" s="32" t="s">
        <v>80</v>
      </c>
      <c r="D66" s="32" t="s">
        <v>190</v>
      </c>
      <c r="E66" s="32" t="s">
        <v>61</v>
      </c>
      <c r="F66" s="32" t="s">
        <v>105</v>
      </c>
      <c r="G66" s="32" t="s">
        <v>130</v>
      </c>
      <c r="H66" s="34" t="n">
        <v>45967</v>
      </c>
      <c r="I66" s="32"/>
      <c r="J66" s="34"/>
      <c r="K66" s="27" t="str">
        <f aca="false">IF(A66="","",IF(H66="","Open","Closed"))</f>
        <v>Closed</v>
      </c>
      <c r="L66" s="27" t="n">
        <f aca="false">IF(A66="","",IF(H66="",AsOf-B66,H66-B66))</f>
        <v>19</v>
      </c>
      <c r="M66" s="27" t="str">
        <f aca="false">IF(A66="","",IF(AND(K66="Open",L66&gt;Target),"Yes","No"))</f>
        <v>No</v>
      </c>
      <c r="N66" s="27" t="str">
        <f aca="false">IF(K66&lt;&gt;"Open","",IF(L66&lt;=30,"0-30",IF(L66&lt;=60,"31-60",IF(L66&lt;=90,"61-90","90+"))))</f>
        <v/>
      </c>
      <c r="O66" s="27" t="str">
        <f aca="false">IF(A66="","",IF(COUNTIFS($D$5:$D$400,D66,$F$5:$F$400,F66,$B$5:$B$400,"&gt;="&amp;(B66-RepeatWin),$B$5:$B$400,"&lt;"&amp;B66)&gt;0,"Yes","No"))</f>
        <v>No</v>
      </c>
      <c r="P66" s="35" t="str">
        <f aca="false">IF(OR(I66="",H66=""),"",H66+CapaDue)</f>
        <v/>
      </c>
      <c r="Q66" s="27" t="str">
        <f aca="false">IF(A66="","",IF(I66="","Not required",IF(J66&lt;&gt;"","Closed",IF(H66="","Awaiting dev. close",IF(AsOf&gt;P66,"Overdue","Open")))))</f>
        <v>Not required</v>
      </c>
      <c r="R66" s="27" t="str">
        <f aca="false">IF(J66="","",IF(COUNTIFS($D$5:$D$400,D66,$F$5:$F$400,F66,$B$5:$B$400,"&gt;"&amp;J66,$B$5:$B$400,"&lt;="&amp;(J66+EffWin))&gt;0,"Ineffective",IF(AsOf-J66&gt;=EffWin,"Effective","Check pending")))</f>
        <v/>
      </c>
      <c r="S66" s="36" t="n">
        <f aca="false">IF(A66="","",DATE(YEAR(B66),MONTH(B66),1))</f>
        <v>45931</v>
      </c>
      <c r="T66" s="36" t="n">
        <f aca="false">IF(H66="","",DATE(YEAR(H66),MONTH(H66),1))</f>
        <v>45962</v>
      </c>
      <c r="U66" s="27" t="str">
        <f aca="false">IF(H66="","",IF(AsOf-H66&lt;=90,L66,""))</f>
        <v/>
      </c>
      <c r="V66" s="27" t="str">
        <f aca="false">IF(H66="","",IF(AND(AsOf-H66&gt;90,AsOf-H66&lt;=270),L66,""))</f>
        <v/>
      </c>
    </row>
    <row r="67" customFormat="false" ht="15" hidden="false" customHeight="false" outlineLevel="0" collapsed="false">
      <c r="A67" s="32" t="s">
        <v>255</v>
      </c>
      <c r="B67" s="34" t="n">
        <v>45950</v>
      </c>
      <c r="C67" s="32" t="s">
        <v>79</v>
      </c>
      <c r="D67" s="32" t="s">
        <v>166</v>
      </c>
      <c r="E67" s="32" t="s">
        <v>61</v>
      </c>
      <c r="F67" s="32" t="s">
        <v>101</v>
      </c>
      <c r="G67" s="32" t="s">
        <v>126</v>
      </c>
      <c r="H67" s="34" t="n">
        <v>45965</v>
      </c>
      <c r="I67" s="32"/>
      <c r="J67" s="34"/>
      <c r="K67" s="27" t="str">
        <f aca="false">IF(A67="","",IF(H67="","Open","Closed"))</f>
        <v>Closed</v>
      </c>
      <c r="L67" s="27" t="n">
        <f aca="false">IF(A67="","",IF(H67="",AsOf-B67,H67-B67))</f>
        <v>15</v>
      </c>
      <c r="M67" s="27" t="str">
        <f aca="false">IF(A67="","",IF(AND(K67="Open",L67&gt;Target),"Yes","No"))</f>
        <v>No</v>
      </c>
      <c r="N67" s="27" t="str">
        <f aca="false">IF(K67&lt;&gt;"Open","",IF(L67&lt;=30,"0-30",IF(L67&lt;=60,"31-60",IF(L67&lt;=90,"61-90","90+"))))</f>
        <v/>
      </c>
      <c r="O67" s="27" t="str">
        <f aca="false">IF(A67="","",IF(COUNTIFS($D$5:$D$400,D67,$F$5:$F$400,F67,$B$5:$B$400,"&gt;="&amp;(B67-RepeatWin),$B$5:$B$400,"&lt;"&amp;B67)&gt;0,"Yes","No"))</f>
        <v>No</v>
      </c>
      <c r="P67" s="35" t="str">
        <f aca="false">IF(OR(I67="",H67=""),"",H67+CapaDue)</f>
        <v/>
      </c>
      <c r="Q67" s="27" t="str">
        <f aca="false">IF(A67="","",IF(I67="","Not required",IF(J67&lt;&gt;"","Closed",IF(H67="","Awaiting dev. close",IF(AsOf&gt;P67,"Overdue","Open")))))</f>
        <v>Not required</v>
      </c>
      <c r="R67" s="27" t="str">
        <f aca="false">IF(J67="","",IF(COUNTIFS($D$5:$D$400,D67,$F$5:$F$400,F67,$B$5:$B$400,"&gt;"&amp;J67,$B$5:$B$400,"&lt;="&amp;(J67+EffWin))&gt;0,"Ineffective",IF(AsOf-J67&gt;=EffWin,"Effective","Check pending")))</f>
        <v/>
      </c>
      <c r="S67" s="36" t="n">
        <f aca="false">IF(A67="","",DATE(YEAR(B67),MONTH(B67),1))</f>
        <v>45931</v>
      </c>
      <c r="T67" s="36" t="n">
        <f aca="false">IF(H67="","",DATE(YEAR(H67),MONTH(H67),1))</f>
        <v>45962</v>
      </c>
      <c r="U67" s="27" t="str">
        <f aca="false">IF(H67="","",IF(AsOf-H67&lt;=90,L67,""))</f>
        <v/>
      </c>
      <c r="V67" s="27" t="str">
        <f aca="false">IF(H67="","",IF(AND(AsOf-H67&gt;90,AsOf-H67&lt;=270),L67,""))</f>
        <v/>
      </c>
    </row>
    <row r="68" customFormat="false" ht="15" hidden="false" customHeight="false" outlineLevel="0" collapsed="false">
      <c r="A68" s="32" t="s">
        <v>256</v>
      </c>
      <c r="B68" s="34" t="n">
        <v>45952</v>
      </c>
      <c r="C68" s="32" t="s">
        <v>79</v>
      </c>
      <c r="D68" s="32" t="s">
        <v>204</v>
      </c>
      <c r="E68" s="32" t="s">
        <v>61</v>
      </c>
      <c r="F68" s="32" t="s">
        <v>101</v>
      </c>
      <c r="G68" s="32" t="s">
        <v>130</v>
      </c>
      <c r="H68" s="34" t="n">
        <v>45978</v>
      </c>
      <c r="I68" s="32"/>
      <c r="J68" s="34"/>
      <c r="K68" s="27" t="str">
        <f aca="false">IF(A68="","",IF(H68="","Open","Closed"))</f>
        <v>Closed</v>
      </c>
      <c r="L68" s="27" t="n">
        <f aca="false">IF(A68="","",IF(H68="",AsOf-B68,H68-B68))</f>
        <v>26</v>
      </c>
      <c r="M68" s="27" t="str">
        <f aca="false">IF(A68="","",IF(AND(K68="Open",L68&gt;Target),"Yes","No"))</f>
        <v>No</v>
      </c>
      <c r="N68" s="27" t="str">
        <f aca="false">IF(K68&lt;&gt;"Open","",IF(L68&lt;=30,"0-30",IF(L68&lt;=60,"31-60",IF(L68&lt;=90,"61-90","90+"))))</f>
        <v/>
      </c>
      <c r="O68" s="27" t="str">
        <f aca="false">IF(A68="","",IF(COUNTIFS($D$5:$D$400,D68,$F$5:$F$400,F68,$B$5:$B$400,"&gt;="&amp;(B68-RepeatWin),$B$5:$B$400,"&lt;"&amp;B68)&gt;0,"Yes","No"))</f>
        <v>No</v>
      </c>
      <c r="P68" s="35" t="str">
        <f aca="false">IF(OR(I68="",H68=""),"",H68+CapaDue)</f>
        <v/>
      </c>
      <c r="Q68" s="27" t="str">
        <f aca="false">IF(A68="","",IF(I68="","Not required",IF(J68&lt;&gt;"","Closed",IF(H68="","Awaiting dev. close",IF(AsOf&gt;P68,"Overdue","Open")))))</f>
        <v>Not required</v>
      </c>
      <c r="R68" s="27" t="str">
        <f aca="false">IF(J68="","",IF(COUNTIFS($D$5:$D$400,D68,$F$5:$F$400,F68,$B$5:$B$400,"&gt;"&amp;J68,$B$5:$B$400,"&lt;="&amp;(J68+EffWin))&gt;0,"Ineffective",IF(AsOf-J68&gt;=EffWin,"Effective","Check pending")))</f>
        <v/>
      </c>
      <c r="S68" s="36" t="n">
        <f aca="false">IF(A68="","",DATE(YEAR(B68),MONTH(B68),1))</f>
        <v>45931</v>
      </c>
      <c r="T68" s="36" t="n">
        <f aca="false">IF(H68="","",DATE(YEAR(H68),MONTH(H68),1))</f>
        <v>45962</v>
      </c>
      <c r="U68" s="27" t="str">
        <f aca="false">IF(H68="","",IF(AsOf-H68&lt;=90,L68,""))</f>
        <v/>
      </c>
      <c r="V68" s="27" t="str">
        <f aca="false">IF(H68="","",IF(AND(AsOf-H68&gt;90,AsOf-H68&lt;=270),L68,""))</f>
        <v/>
      </c>
    </row>
    <row r="69" customFormat="false" ht="15" hidden="false" customHeight="false" outlineLevel="0" collapsed="false">
      <c r="A69" s="32" t="s">
        <v>257</v>
      </c>
      <c r="B69" s="34" t="n">
        <v>45953</v>
      </c>
      <c r="C69" s="32" t="s">
        <v>73</v>
      </c>
      <c r="D69" s="32" t="s">
        <v>226</v>
      </c>
      <c r="E69" s="32" t="s">
        <v>61</v>
      </c>
      <c r="F69" s="32" t="s">
        <v>94</v>
      </c>
      <c r="G69" s="32" t="s">
        <v>130</v>
      </c>
      <c r="H69" s="34" t="n">
        <v>45967</v>
      </c>
      <c r="I69" s="32" t="s">
        <v>258</v>
      </c>
      <c r="J69" s="34" t="n">
        <v>46005</v>
      </c>
      <c r="K69" s="27" t="str">
        <f aca="false">IF(A69="","",IF(H69="","Open","Closed"))</f>
        <v>Closed</v>
      </c>
      <c r="L69" s="27" t="n">
        <f aca="false">IF(A69="","",IF(H69="",AsOf-B69,H69-B69))</f>
        <v>14</v>
      </c>
      <c r="M69" s="27" t="str">
        <f aca="false">IF(A69="","",IF(AND(K69="Open",L69&gt;Target),"Yes","No"))</f>
        <v>No</v>
      </c>
      <c r="N69" s="27" t="str">
        <f aca="false">IF(K69&lt;&gt;"Open","",IF(L69&lt;=30,"0-30",IF(L69&lt;=60,"31-60",IF(L69&lt;=90,"61-90","90+"))))</f>
        <v/>
      </c>
      <c r="O69" s="27" t="str">
        <f aca="false">IF(A69="","",IF(COUNTIFS($D$5:$D$400,D69,$F$5:$F$400,F69,$B$5:$B$400,"&gt;="&amp;(B69-RepeatWin),$B$5:$B$400,"&lt;"&amp;B69)&gt;0,"Yes","No"))</f>
        <v>Yes</v>
      </c>
      <c r="P69" s="35" t="n">
        <f aca="false">IF(OR(I69="",H69=""),"",H69+CapaDue)</f>
        <v>46057</v>
      </c>
      <c r="Q69" s="27" t="str">
        <f aca="false">IF(A69="","",IF(I69="","Not required",IF(J69&lt;&gt;"","Closed",IF(H69="","Awaiting dev. close",IF(AsOf&gt;P69,"Overdue","Open")))))</f>
        <v>Closed</v>
      </c>
      <c r="R69" s="27" t="str">
        <f aca="false">IF(J69="","",IF(COUNTIFS($D$5:$D$400,D69,$F$5:$F$400,F69,$B$5:$B$400,"&gt;"&amp;J69,$B$5:$B$400,"&lt;="&amp;(J69+EffWin))&gt;0,"Ineffective",IF(AsOf-J69&gt;=EffWin,"Effective","Check pending")))</f>
        <v>Effective</v>
      </c>
      <c r="S69" s="36" t="n">
        <f aca="false">IF(A69="","",DATE(YEAR(B69),MONTH(B69),1))</f>
        <v>45931</v>
      </c>
      <c r="T69" s="36" t="n">
        <f aca="false">IF(H69="","",DATE(YEAR(H69),MONTH(H69),1))</f>
        <v>45962</v>
      </c>
      <c r="U69" s="27" t="str">
        <f aca="false">IF(H69="","",IF(AsOf-H69&lt;=90,L69,""))</f>
        <v/>
      </c>
      <c r="V69" s="27" t="str">
        <f aca="false">IF(H69="","",IF(AND(AsOf-H69&gt;90,AsOf-H69&lt;=270),L69,""))</f>
        <v/>
      </c>
    </row>
    <row r="70" customFormat="false" ht="15" hidden="false" customHeight="false" outlineLevel="0" collapsed="false">
      <c r="A70" s="32" t="s">
        <v>259</v>
      </c>
      <c r="B70" s="34" t="n">
        <v>45954</v>
      </c>
      <c r="C70" s="32" t="s">
        <v>81</v>
      </c>
      <c r="D70" s="32" t="s">
        <v>171</v>
      </c>
      <c r="E70" s="32" t="s">
        <v>61</v>
      </c>
      <c r="F70" s="32" t="s">
        <v>100</v>
      </c>
      <c r="G70" s="32" t="s">
        <v>126</v>
      </c>
      <c r="H70" s="34" t="n">
        <v>45973</v>
      </c>
      <c r="I70" s="32"/>
      <c r="J70" s="34"/>
      <c r="K70" s="27" t="str">
        <f aca="false">IF(A70="","",IF(H70="","Open","Closed"))</f>
        <v>Closed</v>
      </c>
      <c r="L70" s="27" t="n">
        <f aca="false">IF(A70="","",IF(H70="",AsOf-B70,H70-B70))</f>
        <v>19</v>
      </c>
      <c r="M70" s="27" t="str">
        <f aca="false">IF(A70="","",IF(AND(K70="Open",L70&gt;Target),"Yes","No"))</f>
        <v>No</v>
      </c>
      <c r="N70" s="27" t="str">
        <f aca="false">IF(K70&lt;&gt;"Open","",IF(L70&lt;=30,"0-30",IF(L70&lt;=60,"31-60",IF(L70&lt;=90,"61-90","90+"))))</f>
        <v/>
      </c>
      <c r="O70" s="27" t="str">
        <f aca="false">IF(A70="","",IF(COUNTIFS($D$5:$D$400,D70,$F$5:$F$400,F70,$B$5:$B$400,"&gt;="&amp;(B70-RepeatWin),$B$5:$B$400,"&lt;"&amp;B70)&gt;0,"Yes","No"))</f>
        <v>No</v>
      </c>
      <c r="P70" s="35" t="str">
        <f aca="false">IF(OR(I70="",H70=""),"",H70+CapaDue)</f>
        <v/>
      </c>
      <c r="Q70" s="27" t="str">
        <f aca="false">IF(A70="","",IF(I70="","Not required",IF(J70&lt;&gt;"","Closed",IF(H70="","Awaiting dev. close",IF(AsOf&gt;P70,"Overdue","Open")))))</f>
        <v>Not required</v>
      </c>
      <c r="R70" s="27" t="str">
        <f aca="false">IF(J70="","",IF(COUNTIFS($D$5:$D$400,D70,$F$5:$F$400,F70,$B$5:$B$400,"&gt;"&amp;J70,$B$5:$B$400,"&lt;="&amp;(J70+EffWin))&gt;0,"Ineffective",IF(AsOf-J70&gt;=EffWin,"Effective","Check pending")))</f>
        <v/>
      </c>
      <c r="S70" s="36" t="n">
        <f aca="false">IF(A70="","",DATE(YEAR(B70),MONTH(B70),1))</f>
        <v>45931</v>
      </c>
      <c r="T70" s="36" t="n">
        <f aca="false">IF(H70="","",DATE(YEAR(H70),MONTH(H70),1))</f>
        <v>45962</v>
      </c>
      <c r="U70" s="27" t="str">
        <f aca="false">IF(H70="","",IF(AsOf-H70&lt;=90,L70,""))</f>
        <v/>
      </c>
      <c r="V70" s="27" t="str">
        <f aca="false">IF(H70="","",IF(AND(AsOf-H70&gt;90,AsOf-H70&lt;=270),L70,""))</f>
        <v/>
      </c>
    </row>
    <row r="71" customFormat="false" ht="15" hidden="false" customHeight="false" outlineLevel="0" collapsed="false">
      <c r="A71" s="32" t="s">
        <v>260</v>
      </c>
      <c r="B71" s="34" t="n">
        <v>45955</v>
      </c>
      <c r="C71" s="32" t="s">
        <v>73</v>
      </c>
      <c r="D71" s="32" t="s">
        <v>180</v>
      </c>
      <c r="E71" s="32" t="s">
        <v>61</v>
      </c>
      <c r="F71" s="32" t="s">
        <v>98</v>
      </c>
      <c r="G71" s="32" t="s">
        <v>127</v>
      </c>
      <c r="H71" s="34" t="n">
        <v>45970</v>
      </c>
      <c r="I71" s="32"/>
      <c r="J71" s="34"/>
      <c r="K71" s="27" t="str">
        <f aca="false">IF(A71="","",IF(H71="","Open","Closed"))</f>
        <v>Closed</v>
      </c>
      <c r="L71" s="27" t="n">
        <f aca="false">IF(A71="","",IF(H71="",AsOf-B71,H71-B71))</f>
        <v>15</v>
      </c>
      <c r="M71" s="27" t="str">
        <f aca="false">IF(A71="","",IF(AND(K71="Open",L71&gt;Target),"Yes","No"))</f>
        <v>No</v>
      </c>
      <c r="N71" s="27" t="str">
        <f aca="false">IF(K71&lt;&gt;"Open","",IF(L71&lt;=30,"0-30",IF(L71&lt;=60,"31-60",IF(L71&lt;=90,"61-90","90+"))))</f>
        <v/>
      </c>
      <c r="O71" s="27" t="str">
        <f aca="false">IF(A71="","",IF(COUNTIFS($D$5:$D$400,D71,$F$5:$F$400,F71,$B$5:$B$400,"&gt;="&amp;(B71-RepeatWin),$B$5:$B$400,"&lt;"&amp;B71)&gt;0,"Yes","No"))</f>
        <v>No</v>
      </c>
      <c r="P71" s="35" t="str">
        <f aca="false">IF(OR(I71="",H71=""),"",H71+CapaDue)</f>
        <v/>
      </c>
      <c r="Q71" s="27" t="str">
        <f aca="false">IF(A71="","",IF(I71="","Not required",IF(J71&lt;&gt;"","Closed",IF(H71="","Awaiting dev. close",IF(AsOf&gt;P71,"Overdue","Open")))))</f>
        <v>Not required</v>
      </c>
      <c r="R71" s="27" t="str">
        <f aca="false">IF(J71="","",IF(COUNTIFS($D$5:$D$400,D71,$F$5:$F$400,F71,$B$5:$B$400,"&gt;"&amp;J71,$B$5:$B$400,"&lt;="&amp;(J71+EffWin))&gt;0,"Ineffective",IF(AsOf-J71&gt;=EffWin,"Effective","Check pending")))</f>
        <v/>
      </c>
      <c r="S71" s="36" t="n">
        <f aca="false">IF(A71="","",DATE(YEAR(B71),MONTH(B71),1))</f>
        <v>45931</v>
      </c>
      <c r="T71" s="36" t="n">
        <f aca="false">IF(H71="","",DATE(YEAR(H71),MONTH(H71),1))</f>
        <v>45962</v>
      </c>
      <c r="U71" s="27" t="str">
        <f aca="false">IF(H71="","",IF(AsOf-H71&lt;=90,L71,""))</f>
        <v/>
      </c>
      <c r="V71" s="27" t="str">
        <f aca="false">IF(H71="","",IF(AND(AsOf-H71&gt;90,AsOf-H71&lt;=270),L71,""))</f>
        <v/>
      </c>
    </row>
    <row r="72" customFormat="false" ht="15" hidden="false" customHeight="false" outlineLevel="0" collapsed="false">
      <c r="A72" s="32" t="s">
        <v>261</v>
      </c>
      <c r="B72" s="34" t="n">
        <v>45963</v>
      </c>
      <c r="C72" s="32" t="s">
        <v>79</v>
      </c>
      <c r="D72" s="32" t="s">
        <v>174</v>
      </c>
      <c r="E72" s="32" t="s">
        <v>61</v>
      </c>
      <c r="F72" s="32" t="s">
        <v>101</v>
      </c>
      <c r="G72" s="32" t="s">
        <v>130</v>
      </c>
      <c r="H72" s="34" t="n">
        <v>45986</v>
      </c>
      <c r="I72" s="32"/>
      <c r="J72" s="34"/>
      <c r="K72" s="27" t="str">
        <f aca="false">IF(A72="","",IF(H72="","Open","Closed"))</f>
        <v>Closed</v>
      </c>
      <c r="L72" s="27" t="n">
        <f aca="false">IF(A72="","",IF(H72="",AsOf-B72,H72-B72))</f>
        <v>23</v>
      </c>
      <c r="M72" s="27" t="str">
        <f aca="false">IF(A72="","",IF(AND(K72="Open",L72&gt;Target),"Yes","No"))</f>
        <v>No</v>
      </c>
      <c r="N72" s="27" t="str">
        <f aca="false">IF(K72&lt;&gt;"Open","",IF(L72&lt;=30,"0-30",IF(L72&lt;=60,"31-60",IF(L72&lt;=90,"61-90","90+"))))</f>
        <v/>
      </c>
      <c r="O72" s="27" t="str">
        <f aca="false">IF(A72="","",IF(COUNTIFS($D$5:$D$400,D72,$F$5:$F$400,F72,$B$5:$B$400,"&gt;="&amp;(B72-RepeatWin),$B$5:$B$400,"&lt;"&amp;B72)&gt;0,"Yes","No"))</f>
        <v>No</v>
      </c>
      <c r="P72" s="35" t="str">
        <f aca="false">IF(OR(I72="",H72=""),"",H72+CapaDue)</f>
        <v/>
      </c>
      <c r="Q72" s="27" t="str">
        <f aca="false">IF(A72="","",IF(I72="","Not required",IF(J72&lt;&gt;"","Closed",IF(H72="","Awaiting dev. close",IF(AsOf&gt;P72,"Overdue","Open")))))</f>
        <v>Not required</v>
      </c>
      <c r="R72" s="27" t="str">
        <f aca="false">IF(J72="","",IF(COUNTIFS($D$5:$D$400,D72,$F$5:$F$400,F72,$B$5:$B$400,"&gt;"&amp;J72,$B$5:$B$400,"&lt;="&amp;(J72+EffWin))&gt;0,"Ineffective",IF(AsOf-J72&gt;=EffWin,"Effective","Check pending")))</f>
        <v/>
      </c>
      <c r="S72" s="36" t="n">
        <f aca="false">IF(A72="","",DATE(YEAR(B72),MONTH(B72),1))</f>
        <v>45962</v>
      </c>
      <c r="T72" s="36" t="n">
        <f aca="false">IF(H72="","",DATE(YEAR(H72),MONTH(H72),1))</f>
        <v>45962</v>
      </c>
      <c r="U72" s="27" t="str">
        <f aca="false">IF(H72="","",IF(AsOf-H72&lt;=90,L72,""))</f>
        <v/>
      </c>
      <c r="V72" s="27" t="str">
        <f aca="false">IF(H72="","",IF(AND(AsOf-H72&gt;90,AsOf-H72&lt;=270),L72,""))</f>
        <v/>
      </c>
    </row>
    <row r="73" customFormat="false" ht="15" hidden="false" customHeight="false" outlineLevel="0" collapsed="false">
      <c r="A73" s="32" t="s">
        <v>262</v>
      </c>
      <c r="B73" s="34" t="n">
        <v>45965</v>
      </c>
      <c r="C73" s="32" t="s">
        <v>80</v>
      </c>
      <c r="D73" s="32" t="s">
        <v>220</v>
      </c>
      <c r="E73" s="32" t="s">
        <v>61</v>
      </c>
      <c r="F73" s="32" t="s">
        <v>105</v>
      </c>
      <c r="G73" s="32" t="s">
        <v>130</v>
      </c>
      <c r="H73" s="34" t="n">
        <v>45979</v>
      </c>
      <c r="I73" s="32"/>
      <c r="J73" s="34"/>
      <c r="K73" s="27" t="str">
        <f aca="false">IF(A73="","",IF(H73="","Open","Closed"))</f>
        <v>Closed</v>
      </c>
      <c r="L73" s="27" t="n">
        <f aca="false">IF(A73="","",IF(H73="",AsOf-B73,H73-B73))</f>
        <v>14</v>
      </c>
      <c r="M73" s="27" t="str">
        <f aca="false">IF(A73="","",IF(AND(K73="Open",L73&gt;Target),"Yes","No"))</f>
        <v>No</v>
      </c>
      <c r="N73" s="27" t="str">
        <f aca="false">IF(K73&lt;&gt;"Open","",IF(L73&lt;=30,"0-30",IF(L73&lt;=60,"31-60",IF(L73&lt;=90,"61-90","90+"))))</f>
        <v/>
      </c>
      <c r="O73" s="27" t="str">
        <f aca="false">IF(A73="","",IF(COUNTIFS($D$5:$D$400,D73,$F$5:$F$400,F73,$B$5:$B$400,"&gt;="&amp;(B73-RepeatWin),$B$5:$B$400,"&lt;"&amp;B73)&gt;0,"Yes","No"))</f>
        <v>No</v>
      </c>
      <c r="P73" s="35" t="str">
        <f aca="false">IF(OR(I73="",H73=""),"",H73+CapaDue)</f>
        <v/>
      </c>
      <c r="Q73" s="27" t="str">
        <f aca="false">IF(A73="","",IF(I73="","Not required",IF(J73&lt;&gt;"","Closed",IF(H73="","Awaiting dev. close",IF(AsOf&gt;P73,"Overdue","Open")))))</f>
        <v>Not required</v>
      </c>
      <c r="R73" s="27" t="str">
        <f aca="false">IF(J73="","",IF(COUNTIFS($D$5:$D$400,D73,$F$5:$F$400,F73,$B$5:$B$400,"&gt;"&amp;J73,$B$5:$B$400,"&lt;="&amp;(J73+EffWin))&gt;0,"Ineffective",IF(AsOf-J73&gt;=EffWin,"Effective","Check pending")))</f>
        <v/>
      </c>
      <c r="S73" s="36" t="n">
        <f aca="false">IF(A73="","",DATE(YEAR(B73),MONTH(B73),1))</f>
        <v>45962</v>
      </c>
      <c r="T73" s="36" t="n">
        <f aca="false">IF(H73="","",DATE(YEAR(H73),MONTH(H73),1))</f>
        <v>45962</v>
      </c>
      <c r="U73" s="27" t="str">
        <f aca="false">IF(H73="","",IF(AsOf-H73&lt;=90,L73,""))</f>
        <v/>
      </c>
      <c r="V73" s="27" t="str">
        <f aca="false">IF(H73="","",IF(AND(AsOf-H73&gt;90,AsOf-H73&lt;=270),L73,""))</f>
        <v/>
      </c>
    </row>
    <row r="74" customFormat="false" ht="15" hidden="false" customHeight="false" outlineLevel="0" collapsed="false">
      <c r="A74" s="32" t="s">
        <v>263</v>
      </c>
      <c r="B74" s="34" t="n">
        <v>45965</v>
      </c>
      <c r="C74" s="32" t="s">
        <v>75</v>
      </c>
      <c r="D74" s="32" t="s">
        <v>153</v>
      </c>
      <c r="E74" s="32" t="s">
        <v>59</v>
      </c>
      <c r="F74" s="32" t="s">
        <v>94</v>
      </c>
      <c r="G74" s="32" t="s">
        <v>127</v>
      </c>
      <c r="H74" s="34" t="n">
        <v>45990</v>
      </c>
      <c r="I74" s="32" t="s">
        <v>264</v>
      </c>
      <c r="J74" s="34" t="n">
        <v>46072</v>
      </c>
      <c r="K74" s="27" t="str">
        <f aca="false">IF(A74="","",IF(H74="","Open","Closed"))</f>
        <v>Closed</v>
      </c>
      <c r="L74" s="27" t="n">
        <f aca="false">IF(A74="","",IF(H74="",AsOf-B74,H74-B74))</f>
        <v>25</v>
      </c>
      <c r="M74" s="27" t="str">
        <f aca="false">IF(A74="","",IF(AND(K74="Open",L74&gt;Target),"Yes","No"))</f>
        <v>No</v>
      </c>
      <c r="N74" s="27" t="str">
        <f aca="false">IF(K74&lt;&gt;"Open","",IF(L74&lt;=30,"0-30",IF(L74&lt;=60,"31-60",IF(L74&lt;=90,"61-90","90+"))))</f>
        <v/>
      </c>
      <c r="O74" s="27" t="str">
        <f aca="false">IF(A74="","",IF(COUNTIFS($D$5:$D$400,D74,$F$5:$F$400,F74,$B$5:$B$400,"&gt;="&amp;(B74-RepeatWin),$B$5:$B$400,"&lt;"&amp;B74)&gt;0,"Yes","No"))</f>
        <v>No</v>
      </c>
      <c r="P74" s="35" t="n">
        <f aca="false">IF(OR(I74="",H74=""),"",H74+CapaDue)</f>
        <v>46080</v>
      </c>
      <c r="Q74" s="27" t="str">
        <f aca="false">IF(A74="","",IF(I74="","Not required",IF(J74&lt;&gt;"","Closed",IF(H74="","Awaiting dev. close",IF(AsOf&gt;P74,"Overdue","Open")))))</f>
        <v>Closed</v>
      </c>
      <c r="R74" s="27" t="str">
        <f aca="false">IF(J74="","",IF(COUNTIFS($D$5:$D$400,D74,$F$5:$F$400,F74,$B$5:$B$400,"&gt;"&amp;J74,$B$5:$B$400,"&lt;="&amp;(J74+EffWin))&gt;0,"Ineffective",IF(AsOf-J74&gt;=EffWin,"Effective","Check pending")))</f>
        <v>Effective</v>
      </c>
      <c r="S74" s="36" t="n">
        <f aca="false">IF(A74="","",DATE(YEAR(B74),MONTH(B74),1))</f>
        <v>45962</v>
      </c>
      <c r="T74" s="36" t="n">
        <f aca="false">IF(H74="","",DATE(YEAR(H74),MONTH(H74),1))</f>
        <v>45962</v>
      </c>
      <c r="U74" s="27" t="str">
        <f aca="false">IF(H74="","",IF(AsOf-H74&lt;=90,L74,""))</f>
        <v/>
      </c>
      <c r="V74" s="27" t="str">
        <f aca="false">IF(H74="","",IF(AND(AsOf-H74&gt;90,AsOf-H74&lt;=270),L74,""))</f>
        <v/>
      </c>
    </row>
    <row r="75" customFormat="false" ht="15" hidden="false" customHeight="false" outlineLevel="0" collapsed="false">
      <c r="A75" s="32" t="s">
        <v>265</v>
      </c>
      <c r="B75" s="34" t="n">
        <v>45980</v>
      </c>
      <c r="C75" s="32" t="s">
        <v>77</v>
      </c>
      <c r="D75" s="32" t="s">
        <v>266</v>
      </c>
      <c r="E75" s="32" t="s">
        <v>61</v>
      </c>
      <c r="F75" s="32" t="s">
        <v>96</v>
      </c>
      <c r="G75" s="32" t="s">
        <v>127</v>
      </c>
      <c r="H75" s="34" t="n">
        <v>45992</v>
      </c>
      <c r="I75" s="32"/>
      <c r="J75" s="34"/>
      <c r="K75" s="27" t="str">
        <f aca="false">IF(A75="","",IF(H75="","Open","Closed"))</f>
        <v>Closed</v>
      </c>
      <c r="L75" s="27" t="n">
        <f aca="false">IF(A75="","",IF(H75="",AsOf-B75,H75-B75))</f>
        <v>12</v>
      </c>
      <c r="M75" s="27" t="str">
        <f aca="false">IF(A75="","",IF(AND(K75="Open",L75&gt;Target),"Yes","No"))</f>
        <v>No</v>
      </c>
      <c r="N75" s="27" t="str">
        <f aca="false">IF(K75&lt;&gt;"Open","",IF(L75&lt;=30,"0-30",IF(L75&lt;=60,"31-60",IF(L75&lt;=90,"61-90","90+"))))</f>
        <v/>
      </c>
      <c r="O75" s="27" t="str">
        <f aca="false">IF(A75="","",IF(COUNTIFS($D$5:$D$400,D75,$F$5:$F$400,F75,$B$5:$B$400,"&gt;="&amp;(B75-RepeatWin),$B$5:$B$400,"&lt;"&amp;B75)&gt;0,"Yes","No"))</f>
        <v>No</v>
      </c>
      <c r="P75" s="35" t="str">
        <f aca="false">IF(OR(I75="",H75=""),"",H75+CapaDue)</f>
        <v/>
      </c>
      <c r="Q75" s="27" t="str">
        <f aca="false">IF(A75="","",IF(I75="","Not required",IF(J75&lt;&gt;"","Closed",IF(H75="","Awaiting dev. close",IF(AsOf&gt;P75,"Overdue","Open")))))</f>
        <v>Not required</v>
      </c>
      <c r="R75" s="27" t="str">
        <f aca="false">IF(J75="","",IF(COUNTIFS($D$5:$D$400,D75,$F$5:$F$400,F75,$B$5:$B$400,"&gt;"&amp;J75,$B$5:$B$400,"&lt;="&amp;(J75+EffWin))&gt;0,"Ineffective",IF(AsOf-J75&gt;=EffWin,"Effective","Check pending")))</f>
        <v/>
      </c>
      <c r="S75" s="36" t="n">
        <f aca="false">IF(A75="","",DATE(YEAR(B75),MONTH(B75),1))</f>
        <v>45962</v>
      </c>
      <c r="T75" s="36" t="n">
        <f aca="false">IF(H75="","",DATE(YEAR(H75),MONTH(H75),1))</f>
        <v>45992</v>
      </c>
      <c r="U75" s="27" t="str">
        <f aca="false">IF(H75="","",IF(AsOf-H75&lt;=90,L75,""))</f>
        <v/>
      </c>
      <c r="V75" s="27" t="str">
        <f aca="false">IF(H75="","",IF(AND(AsOf-H75&gt;90,AsOf-H75&lt;=270),L75,""))</f>
        <v/>
      </c>
    </row>
    <row r="76" customFormat="false" ht="15" hidden="false" customHeight="false" outlineLevel="0" collapsed="false">
      <c r="A76" s="32" t="s">
        <v>267</v>
      </c>
      <c r="B76" s="34" t="n">
        <v>45981</v>
      </c>
      <c r="C76" s="32" t="s">
        <v>75</v>
      </c>
      <c r="D76" s="32" t="s">
        <v>208</v>
      </c>
      <c r="E76" s="32" t="s">
        <v>61</v>
      </c>
      <c r="F76" s="32" t="s">
        <v>103</v>
      </c>
      <c r="G76" s="32" t="s">
        <v>127</v>
      </c>
      <c r="H76" s="34" t="n">
        <v>46004</v>
      </c>
      <c r="I76" s="32"/>
      <c r="J76" s="34"/>
      <c r="K76" s="27" t="str">
        <f aca="false">IF(A76="","",IF(H76="","Open","Closed"))</f>
        <v>Closed</v>
      </c>
      <c r="L76" s="27" t="n">
        <f aca="false">IF(A76="","",IF(H76="",AsOf-B76,H76-B76))</f>
        <v>23</v>
      </c>
      <c r="M76" s="27" t="str">
        <f aca="false">IF(A76="","",IF(AND(K76="Open",L76&gt;Target),"Yes","No"))</f>
        <v>No</v>
      </c>
      <c r="N76" s="27" t="str">
        <f aca="false">IF(K76&lt;&gt;"Open","",IF(L76&lt;=30,"0-30",IF(L76&lt;=60,"31-60",IF(L76&lt;=90,"61-90","90+"))))</f>
        <v/>
      </c>
      <c r="O76" s="27" t="str">
        <f aca="false">IF(A76="","",IF(COUNTIFS($D$5:$D$400,D76,$F$5:$F$400,F76,$B$5:$B$400,"&gt;="&amp;(B76-RepeatWin),$B$5:$B$400,"&lt;"&amp;B76)&gt;0,"Yes","No"))</f>
        <v>No</v>
      </c>
      <c r="P76" s="35" t="str">
        <f aca="false">IF(OR(I76="",H76=""),"",H76+CapaDue)</f>
        <v/>
      </c>
      <c r="Q76" s="27" t="str">
        <f aca="false">IF(A76="","",IF(I76="","Not required",IF(J76&lt;&gt;"","Closed",IF(H76="","Awaiting dev. close",IF(AsOf&gt;P76,"Overdue","Open")))))</f>
        <v>Not required</v>
      </c>
      <c r="R76" s="27" t="str">
        <f aca="false">IF(J76="","",IF(COUNTIFS($D$5:$D$400,D76,$F$5:$F$400,F76,$B$5:$B$400,"&gt;"&amp;J76,$B$5:$B$400,"&lt;="&amp;(J76+EffWin))&gt;0,"Ineffective",IF(AsOf-J76&gt;=EffWin,"Effective","Check pending")))</f>
        <v/>
      </c>
      <c r="S76" s="36" t="n">
        <f aca="false">IF(A76="","",DATE(YEAR(B76),MONTH(B76),1))</f>
        <v>45962</v>
      </c>
      <c r="T76" s="36" t="n">
        <f aca="false">IF(H76="","",DATE(YEAR(H76),MONTH(H76),1))</f>
        <v>45992</v>
      </c>
      <c r="U76" s="27" t="str">
        <f aca="false">IF(H76="","",IF(AsOf-H76&lt;=90,L76,""))</f>
        <v/>
      </c>
      <c r="V76" s="27" t="str">
        <f aca="false">IF(H76="","",IF(AND(AsOf-H76&gt;90,AsOf-H76&lt;=270),L76,""))</f>
        <v/>
      </c>
    </row>
    <row r="77" customFormat="false" ht="15" hidden="false" customHeight="false" outlineLevel="0" collapsed="false">
      <c r="A77" s="32" t="s">
        <v>268</v>
      </c>
      <c r="B77" s="34" t="n">
        <v>45982</v>
      </c>
      <c r="C77" s="32" t="s">
        <v>80</v>
      </c>
      <c r="D77" s="32" t="s">
        <v>220</v>
      </c>
      <c r="E77" s="32" t="s">
        <v>59</v>
      </c>
      <c r="F77" s="32" t="s">
        <v>98</v>
      </c>
      <c r="G77" s="32" t="s">
        <v>131</v>
      </c>
      <c r="H77" s="34" t="n">
        <v>45999</v>
      </c>
      <c r="I77" s="32" t="s">
        <v>269</v>
      </c>
      <c r="J77" s="34" t="n">
        <v>46038</v>
      </c>
      <c r="K77" s="27" t="str">
        <f aca="false">IF(A77="","",IF(H77="","Open","Closed"))</f>
        <v>Closed</v>
      </c>
      <c r="L77" s="27" t="n">
        <f aca="false">IF(A77="","",IF(H77="",AsOf-B77,H77-B77))</f>
        <v>17</v>
      </c>
      <c r="M77" s="27" t="str">
        <f aca="false">IF(A77="","",IF(AND(K77="Open",L77&gt;Target),"Yes","No"))</f>
        <v>No</v>
      </c>
      <c r="N77" s="27" t="str">
        <f aca="false">IF(K77&lt;&gt;"Open","",IF(L77&lt;=30,"0-30",IF(L77&lt;=60,"31-60",IF(L77&lt;=90,"61-90","90+"))))</f>
        <v/>
      </c>
      <c r="O77" s="27" t="str">
        <f aca="false">IF(A77="","",IF(COUNTIFS($D$5:$D$400,D77,$F$5:$F$400,F77,$B$5:$B$400,"&gt;="&amp;(B77-RepeatWin),$B$5:$B$400,"&lt;"&amp;B77)&gt;0,"Yes","No"))</f>
        <v>No</v>
      </c>
      <c r="P77" s="35" t="n">
        <f aca="false">IF(OR(I77="",H77=""),"",H77+CapaDue)</f>
        <v>46089</v>
      </c>
      <c r="Q77" s="27" t="str">
        <f aca="false">IF(A77="","",IF(I77="","Not required",IF(J77&lt;&gt;"","Closed",IF(H77="","Awaiting dev. close",IF(AsOf&gt;P77,"Overdue","Open")))))</f>
        <v>Closed</v>
      </c>
      <c r="R77" s="27" t="str">
        <f aca="false">IF(J77="","",IF(COUNTIFS($D$5:$D$400,D77,$F$5:$F$400,F77,$B$5:$B$400,"&gt;"&amp;J77,$B$5:$B$400,"&lt;="&amp;(J77+EffWin))&gt;0,"Ineffective",IF(AsOf-J77&gt;=EffWin,"Effective","Check pending")))</f>
        <v>Effective</v>
      </c>
      <c r="S77" s="36" t="n">
        <f aca="false">IF(A77="","",DATE(YEAR(B77),MONTH(B77),1))</f>
        <v>45962</v>
      </c>
      <c r="T77" s="36" t="n">
        <f aca="false">IF(H77="","",DATE(YEAR(H77),MONTH(H77),1))</f>
        <v>45992</v>
      </c>
      <c r="U77" s="27" t="str">
        <f aca="false">IF(H77="","",IF(AsOf-H77&lt;=90,L77,""))</f>
        <v/>
      </c>
      <c r="V77" s="27" t="str">
        <f aca="false">IF(H77="","",IF(AND(AsOf-H77&gt;90,AsOf-H77&lt;=270),L77,""))</f>
        <v/>
      </c>
    </row>
    <row r="78" customFormat="false" ht="15" hidden="false" customHeight="false" outlineLevel="0" collapsed="false">
      <c r="A78" s="32" t="s">
        <v>270</v>
      </c>
      <c r="B78" s="34" t="n">
        <v>45989</v>
      </c>
      <c r="C78" s="32" t="s">
        <v>79</v>
      </c>
      <c r="D78" s="32" t="s">
        <v>217</v>
      </c>
      <c r="E78" s="32" t="s">
        <v>61</v>
      </c>
      <c r="F78" s="32" t="s">
        <v>96</v>
      </c>
      <c r="G78" s="32" t="s">
        <v>126</v>
      </c>
      <c r="H78" s="34" t="n">
        <v>46018</v>
      </c>
      <c r="I78" s="32"/>
      <c r="J78" s="34"/>
      <c r="K78" s="27" t="str">
        <f aca="false">IF(A78="","",IF(H78="","Open","Closed"))</f>
        <v>Closed</v>
      </c>
      <c r="L78" s="27" t="n">
        <f aca="false">IF(A78="","",IF(H78="",AsOf-B78,H78-B78))</f>
        <v>29</v>
      </c>
      <c r="M78" s="27" t="str">
        <f aca="false">IF(A78="","",IF(AND(K78="Open",L78&gt;Target),"Yes","No"))</f>
        <v>No</v>
      </c>
      <c r="N78" s="27" t="str">
        <f aca="false">IF(K78&lt;&gt;"Open","",IF(L78&lt;=30,"0-30",IF(L78&lt;=60,"31-60",IF(L78&lt;=90,"61-90","90+"))))</f>
        <v/>
      </c>
      <c r="O78" s="27" t="str">
        <f aca="false">IF(A78="","",IF(COUNTIFS($D$5:$D$400,D78,$F$5:$F$400,F78,$B$5:$B$400,"&gt;="&amp;(B78-RepeatWin),$B$5:$B$400,"&lt;"&amp;B78)&gt;0,"Yes","No"))</f>
        <v>No</v>
      </c>
      <c r="P78" s="35" t="str">
        <f aca="false">IF(OR(I78="",H78=""),"",H78+CapaDue)</f>
        <v/>
      </c>
      <c r="Q78" s="27" t="str">
        <f aca="false">IF(A78="","",IF(I78="","Not required",IF(J78&lt;&gt;"","Closed",IF(H78="","Awaiting dev. close",IF(AsOf&gt;P78,"Overdue","Open")))))</f>
        <v>Not required</v>
      </c>
      <c r="R78" s="27" t="str">
        <f aca="false">IF(J78="","",IF(COUNTIFS($D$5:$D$400,D78,$F$5:$F$400,F78,$B$5:$B$400,"&gt;"&amp;J78,$B$5:$B$400,"&lt;="&amp;(J78+EffWin))&gt;0,"Ineffective",IF(AsOf-J78&gt;=EffWin,"Effective","Check pending")))</f>
        <v/>
      </c>
      <c r="S78" s="36" t="n">
        <f aca="false">IF(A78="","",DATE(YEAR(B78),MONTH(B78),1))</f>
        <v>45962</v>
      </c>
      <c r="T78" s="36" t="n">
        <f aca="false">IF(H78="","",DATE(YEAR(H78),MONTH(H78),1))</f>
        <v>45992</v>
      </c>
      <c r="U78" s="27" t="str">
        <f aca="false">IF(H78="","",IF(AsOf-H78&lt;=90,L78,""))</f>
        <v/>
      </c>
      <c r="V78" s="27" t="str">
        <f aca="false">IF(H78="","",IF(AND(AsOf-H78&gt;90,AsOf-H78&lt;=270),L78,""))</f>
        <v/>
      </c>
    </row>
    <row r="79" customFormat="false" ht="15" hidden="false" customHeight="false" outlineLevel="0" collapsed="false">
      <c r="A79" s="32" t="s">
        <v>271</v>
      </c>
      <c r="B79" s="34" t="n">
        <v>45992</v>
      </c>
      <c r="C79" s="32" t="s">
        <v>73</v>
      </c>
      <c r="D79" s="32" t="s">
        <v>223</v>
      </c>
      <c r="E79" s="32" t="s">
        <v>59</v>
      </c>
      <c r="F79" s="32" t="s">
        <v>94</v>
      </c>
      <c r="G79" s="32" t="s">
        <v>129</v>
      </c>
      <c r="H79" s="34" t="n">
        <v>46019</v>
      </c>
      <c r="I79" s="32" t="s">
        <v>272</v>
      </c>
      <c r="J79" s="34" t="n">
        <v>46095</v>
      </c>
      <c r="K79" s="27" t="str">
        <f aca="false">IF(A79="","",IF(H79="","Open","Closed"))</f>
        <v>Closed</v>
      </c>
      <c r="L79" s="27" t="n">
        <f aca="false">IF(A79="","",IF(H79="",AsOf-B79,H79-B79))</f>
        <v>27</v>
      </c>
      <c r="M79" s="27" t="str">
        <f aca="false">IF(A79="","",IF(AND(K79="Open",L79&gt;Target),"Yes","No"))</f>
        <v>No</v>
      </c>
      <c r="N79" s="27" t="str">
        <f aca="false">IF(K79&lt;&gt;"Open","",IF(L79&lt;=30,"0-30",IF(L79&lt;=60,"31-60",IF(L79&lt;=90,"61-90","90+"))))</f>
        <v/>
      </c>
      <c r="O79" s="27" t="str">
        <f aca="false">IF(A79="","",IF(COUNTIFS($D$5:$D$400,D79,$F$5:$F$400,F79,$B$5:$B$400,"&gt;="&amp;(B79-RepeatWin),$B$5:$B$400,"&lt;"&amp;B79)&gt;0,"Yes","No"))</f>
        <v>No</v>
      </c>
      <c r="P79" s="35" t="n">
        <f aca="false">IF(OR(I79="",H79=""),"",H79+CapaDue)</f>
        <v>46109</v>
      </c>
      <c r="Q79" s="27" t="str">
        <f aca="false">IF(A79="","",IF(I79="","Not required",IF(J79&lt;&gt;"","Closed",IF(H79="","Awaiting dev. close",IF(AsOf&gt;P79,"Overdue","Open")))))</f>
        <v>Closed</v>
      </c>
      <c r="R79" s="27" t="str">
        <f aca="false">IF(J79="","",IF(COUNTIFS($D$5:$D$400,D79,$F$5:$F$400,F79,$B$5:$B$400,"&gt;"&amp;J79,$B$5:$B$400,"&lt;="&amp;(J79+EffWin))&gt;0,"Ineffective",IF(AsOf-J79&gt;=EffWin,"Effective","Check pending")))</f>
        <v>Effective</v>
      </c>
      <c r="S79" s="36" t="n">
        <f aca="false">IF(A79="","",DATE(YEAR(B79),MONTH(B79),1))</f>
        <v>45992</v>
      </c>
      <c r="T79" s="36" t="n">
        <f aca="false">IF(H79="","",DATE(YEAR(H79),MONTH(H79),1))</f>
        <v>45992</v>
      </c>
      <c r="U79" s="27" t="str">
        <f aca="false">IF(H79="","",IF(AsOf-H79&lt;=90,L79,""))</f>
        <v/>
      </c>
      <c r="V79" s="27" t="str">
        <f aca="false">IF(H79="","",IF(AND(AsOf-H79&gt;90,AsOf-H79&lt;=270),L79,""))</f>
        <v/>
      </c>
    </row>
    <row r="80" customFormat="false" ht="15" hidden="false" customHeight="false" outlineLevel="0" collapsed="false">
      <c r="A80" s="32" t="s">
        <v>273</v>
      </c>
      <c r="B80" s="34" t="n">
        <v>45993</v>
      </c>
      <c r="C80" s="32" t="s">
        <v>75</v>
      </c>
      <c r="D80" s="32" t="s">
        <v>274</v>
      </c>
      <c r="E80" s="32" t="s">
        <v>61</v>
      </c>
      <c r="F80" s="32" t="s">
        <v>102</v>
      </c>
      <c r="G80" s="32" t="s">
        <v>131</v>
      </c>
      <c r="H80" s="34" t="n">
        <v>46006</v>
      </c>
      <c r="I80" s="32"/>
      <c r="J80" s="34"/>
      <c r="K80" s="27" t="str">
        <f aca="false">IF(A80="","",IF(H80="","Open","Closed"))</f>
        <v>Closed</v>
      </c>
      <c r="L80" s="27" t="n">
        <f aca="false">IF(A80="","",IF(H80="",AsOf-B80,H80-B80))</f>
        <v>13</v>
      </c>
      <c r="M80" s="27" t="str">
        <f aca="false">IF(A80="","",IF(AND(K80="Open",L80&gt;Target),"Yes","No"))</f>
        <v>No</v>
      </c>
      <c r="N80" s="27" t="str">
        <f aca="false">IF(K80&lt;&gt;"Open","",IF(L80&lt;=30,"0-30",IF(L80&lt;=60,"31-60",IF(L80&lt;=90,"61-90","90+"))))</f>
        <v/>
      </c>
      <c r="O80" s="27" t="str">
        <f aca="false">IF(A80="","",IF(COUNTIFS($D$5:$D$400,D80,$F$5:$F$400,F80,$B$5:$B$400,"&gt;="&amp;(B80-RepeatWin),$B$5:$B$400,"&lt;"&amp;B80)&gt;0,"Yes","No"))</f>
        <v>No</v>
      </c>
      <c r="P80" s="35" t="str">
        <f aca="false">IF(OR(I80="",H80=""),"",H80+CapaDue)</f>
        <v/>
      </c>
      <c r="Q80" s="27" t="str">
        <f aca="false">IF(A80="","",IF(I80="","Not required",IF(J80&lt;&gt;"","Closed",IF(H80="","Awaiting dev. close",IF(AsOf&gt;P80,"Overdue","Open")))))</f>
        <v>Not required</v>
      </c>
      <c r="R80" s="27" t="str">
        <f aca="false">IF(J80="","",IF(COUNTIFS($D$5:$D$400,D80,$F$5:$F$400,F80,$B$5:$B$400,"&gt;"&amp;J80,$B$5:$B$400,"&lt;="&amp;(J80+EffWin))&gt;0,"Ineffective",IF(AsOf-J80&gt;=EffWin,"Effective","Check pending")))</f>
        <v/>
      </c>
      <c r="S80" s="36" t="n">
        <f aca="false">IF(A80="","",DATE(YEAR(B80),MONTH(B80),1))</f>
        <v>45992</v>
      </c>
      <c r="T80" s="36" t="n">
        <f aca="false">IF(H80="","",DATE(YEAR(H80),MONTH(H80),1))</f>
        <v>45992</v>
      </c>
      <c r="U80" s="27" t="str">
        <f aca="false">IF(H80="","",IF(AsOf-H80&lt;=90,L80,""))</f>
        <v/>
      </c>
      <c r="V80" s="27" t="str">
        <f aca="false">IF(H80="","",IF(AND(AsOf-H80&gt;90,AsOf-H80&lt;=270),L80,""))</f>
        <v/>
      </c>
    </row>
    <row r="81" customFormat="false" ht="15" hidden="false" customHeight="false" outlineLevel="0" collapsed="false">
      <c r="A81" s="32" t="s">
        <v>275</v>
      </c>
      <c r="B81" s="34" t="n">
        <v>45999</v>
      </c>
      <c r="C81" s="32" t="s">
        <v>77</v>
      </c>
      <c r="D81" s="32" t="s">
        <v>266</v>
      </c>
      <c r="E81" s="32" t="s">
        <v>61</v>
      </c>
      <c r="F81" s="32" t="s">
        <v>94</v>
      </c>
      <c r="G81" s="32" t="s">
        <v>127</v>
      </c>
      <c r="H81" s="34" t="n">
        <v>46020</v>
      </c>
      <c r="I81" s="32"/>
      <c r="J81" s="34"/>
      <c r="K81" s="27" t="str">
        <f aca="false">IF(A81="","",IF(H81="","Open","Closed"))</f>
        <v>Closed</v>
      </c>
      <c r="L81" s="27" t="n">
        <f aca="false">IF(A81="","",IF(H81="",AsOf-B81,H81-B81))</f>
        <v>21</v>
      </c>
      <c r="M81" s="27" t="str">
        <f aca="false">IF(A81="","",IF(AND(K81="Open",L81&gt;Target),"Yes","No"))</f>
        <v>No</v>
      </c>
      <c r="N81" s="27" t="str">
        <f aca="false">IF(K81&lt;&gt;"Open","",IF(L81&lt;=30,"0-30",IF(L81&lt;=60,"31-60",IF(L81&lt;=90,"61-90","90+"))))</f>
        <v/>
      </c>
      <c r="O81" s="27" t="str">
        <f aca="false">IF(A81="","",IF(COUNTIFS($D$5:$D$400,D81,$F$5:$F$400,F81,$B$5:$B$400,"&gt;="&amp;(B81-RepeatWin),$B$5:$B$400,"&lt;"&amp;B81)&gt;0,"Yes","No"))</f>
        <v>No</v>
      </c>
      <c r="P81" s="35" t="str">
        <f aca="false">IF(OR(I81="",H81=""),"",H81+CapaDue)</f>
        <v/>
      </c>
      <c r="Q81" s="27" t="str">
        <f aca="false">IF(A81="","",IF(I81="","Not required",IF(J81&lt;&gt;"","Closed",IF(H81="","Awaiting dev. close",IF(AsOf&gt;P81,"Overdue","Open")))))</f>
        <v>Not required</v>
      </c>
      <c r="R81" s="27" t="str">
        <f aca="false">IF(J81="","",IF(COUNTIFS($D$5:$D$400,D81,$F$5:$F$400,F81,$B$5:$B$400,"&gt;"&amp;J81,$B$5:$B$400,"&lt;="&amp;(J81+EffWin))&gt;0,"Ineffective",IF(AsOf-J81&gt;=EffWin,"Effective","Check pending")))</f>
        <v/>
      </c>
      <c r="S81" s="36" t="n">
        <f aca="false">IF(A81="","",DATE(YEAR(B81),MONTH(B81),1))</f>
        <v>45992</v>
      </c>
      <c r="T81" s="36" t="n">
        <f aca="false">IF(H81="","",DATE(YEAR(H81),MONTH(H81),1))</f>
        <v>45992</v>
      </c>
      <c r="U81" s="27" t="str">
        <f aca="false">IF(H81="","",IF(AsOf-H81&lt;=90,L81,""))</f>
        <v/>
      </c>
      <c r="V81" s="27" t="str">
        <f aca="false">IF(H81="","",IF(AND(AsOf-H81&gt;90,AsOf-H81&lt;=270),L81,""))</f>
        <v/>
      </c>
    </row>
    <row r="82" customFormat="false" ht="15" hidden="false" customHeight="false" outlineLevel="0" collapsed="false">
      <c r="A82" s="32" t="s">
        <v>276</v>
      </c>
      <c r="B82" s="34" t="n">
        <v>46001</v>
      </c>
      <c r="C82" s="32" t="s">
        <v>79</v>
      </c>
      <c r="D82" s="32" t="s">
        <v>204</v>
      </c>
      <c r="E82" s="32" t="s">
        <v>61</v>
      </c>
      <c r="F82" s="32" t="s">
        <v>97</v>
      </c>
      <c r="G82" s="32" t="s">
        <v>128</v>
      </c>
      <c r="H82" s="34" t="n">
        <v>46019</v>
      </c>
      <c r="I82" s="32"/>
      <c r="J82" s="34"/>
      <c r="K82" s="27" t="str">
        <f aca="false">IF(A82="","",IF(H82="","Open","Closed"))</f>
        <v>Closed</v>
      </c>
      <c r="L82" s="27" t="n">
        <f aca="false">IF(A82="","",IF(H82="",AsOf-B82,H82-B82))</f>
        <v>18</v>
      </c>
      <c r="M82" s="27" t="str">
        <f aca="false">IF(A82="","",IF(AND(K82="Open",L82&gt;Target),"Yes","No"))</f>
        <v>No</v>
      </c>
      <c r="N82" s="27" t="str">
        <f aca="false">IF(K82&lt;&gt;"Open","",IF(L82&lt;=30,"0-30",IF(L82&lt;=60,"31-60",IF(L82&lt;=90,"61-90","90+"))))</f>
        <v/>
      </c>
      <c r="O82" s="27" t="str">
        <f aca="false">IF(A82="","",IF(COUNTIFS($D$5:$D$400,D82,$F$5:$F$400,F82,$B$5:$B$400,"&gt;="&amp;(B82-RepeatWin),$B$5:$B$400,"&lt;"&amp;B82)&gt;0,"Yes","No"))</f>
        <v>No</v>
      </c>
      <c r="P82" s="35" t="str">
        <f aca="false">IF(OR(I82="",H82=""),"",H82+CapaDue)</f>
        <v/>
      </c>
      <c r="Q82" s="27" t="str">
        <f aca="false">IF(A82="","",IF(I82="","Not required",IF(J82&lt;&gt;"","Closed",IF(H82="","Awaiting dev. close",IF(AsOf&gt;P82,"Overdue","Open")))))</f>
        <v>Not required</v>
      </c>
      <c r="R82" s="27" t="str">
        <f aca="false">IF(J82="","",IF(COUNTIFS($D$5:$D$400,D82,$F$5:$F$400,F82,$B$5:$B$400,"&gt;"&amp;J82,$B$5:$B$400,"&lt;="&amp;(J82+EffWin))&gt;0,"Ineffective",IF(AsOf-J82&gt;=EffWin,"Effective","Check pending")))</f>
        <v/>
      </c>
      <c r="S82" s="36" t="n">
        <f aca="false">IF(A82="","",DATE(YEAR(B82),MONTH(B82),1))</f>
        <v>45992</v>
      </c>
      <c r="T82" s="36" t="n">
        <f aca="false">IF(H82="","",DATE(YEAR(H82),MONTH(H82),1))</f>
        <v>45992</v>
      </c>
      <c r="U82" s="27" t="str">
        <f aca="false">IF(H82="","",IF(AsOf-H82&lt;=90,L82,""))</f>
        <v/>
      </c>
      <c r="V82" s="27" t="str">
        <f aca="false">IF(H82="","",IF(AND(AsOf-H82&gt;90,AsOf-H82&lt;=270),L82,""))</f>
        <v/>
      </c>
    </row>
    <row r="83" customFormat="false" ht="15" hidden="false" customHeight="false" outlineLevel="0" collapsed="false">
      <c r="A83" s="32" t="s">
        <v>277</v>
      </c>
      <c r="B83" s="34" t="n">
        <v>46003</v>
      </c>
      <c r="C83" s="32" t="s">
        <v>73</v>
      </c>
      <c r="D83" s="32" t="s">
        <v>278</v>
      </c>
      <c r="E83" s="32" t="s">
        <v>61</v>
      </c>
      <c r="F83" s="32" t="s">
        <v>95</v>
      </c>
      <c r="G83" s="32" t="s">
        <v>130</v>
      </c>
      <c r="H83" s="34" t="n">
        <v>46016</v>
      </c>
      <c r="I83" s="32"/>
      <c r="J83" s="34"/>
      <c r="K83" s="27" t="str">
        <f aca="false">IF(A83="","",IF(H83="","Open","Closed"))</f>
        <v>Closed</v>
      </c>
      <c r="L83" s="27" t="n">
        <f aca="false">IF(A83="","",IF(H83="",AsOf-B83,H83-B83))</f>
        <v>13</v>
      </c>
      <c r="M83" s="27" t="str">
        <f aca="false">IF(A83="","",IF(AND(K83="Open",L83&gt;Target),"Yes","No"))</f>
        <v>No</v>
      </c>
      <c r="N83" s="27" t="str">
        <f aca="false">IF(K83&lt;&gt;"Open","",IF(L83&lt;=30,"0-30",IF(L83&lt;=60,"31-60",IF(L83&lt;=90,"61-90","90+"))))</f>
        <v/>
      </c>
      <c r="O83" s="27" t="str">
        <f aca="false">IF(A83="","",IF(COUNTIFS($D$5:$D$400,D83,$F$5:$F$400,F83,$B$5:$B$400,"&gt;="&amp;(B83-RepeatWin),$B$5:$B$400,"&lt;"&amp;B83)&gt;0,"Yes","No"))</f>
        <v>No</v>
      </c>
      <c r="P83" s="35" t="str">
        <f aca="false">IF(OR(I83="",H83=""),"",H83+CapaDue)</f>
        <v/>
      </c>
      <c r="Q83" s="27" t="str">
        <f aca="false">IF(A83="","",IF(I83="","Not required",IF(J83&lt;&gt;"","Closed",IF(H83="","Awaiting dev. close",IF(AsOf&gt;P83,"Overdue","Open")))))</f>
        <v>Not required</v>
      </c>
      <c r="R83" s="27" t="str">
        <f aca="false">IF(J83="","",IF(COUNTIFS($D$5:$D$400,D83,$F$5:$F$400,F83,$B$5:$B$400,"&gt;"&amp;J83,$B$5:$B$400,"&lt;="&amp;(J83+EffWin))&gt;0,"Ineffective",IF(AsOf-J83&gt;=EffWin,"Effective","Check pending")))</f>
        <v/>
      </c>
      <c r="S83" s="36" t="n">
        <f aca="false">IF(A83="","",DATE(YEAR(B83),MONTH(B83),1))</f>
        <v>45992</v>
      </c>
      <c r="T83" s="36" t="n">
        <f aca="false">IF(H83="","",DATE(YEAR(H83),MONTH(H83),1))</f>
        <v>45992</v>
      </c>
      <c r="U83" s="27" t="str">
        <f aca="false">IF(H83="","",IF(AsOf-H83&lt;=90,L83,""))</f>
        <v/>
      </c>
      <c r="V83" s="27" t="str">
        <f aca="false">IF(H83="","",IF(AND(AsOf-H83&gt;90,AsOf-H83&lt;=270),L83,""))</f>
        <v/>
      </c>
    </row>
    <row r="84" customFormat="false" ht="15" hidden="false" customHeight="false" outlineLevel="0" collapsed="false">
      <c r="A84" s="32" t="s">
        <v>279</v>
      </c>
      <c r="B84" s="34" t="n">
        <v>46005</v>
      </c>
      <c r="C84" s="32" t="s">
        <v>81</v>
      </c>
      <c r="D84" s="32" t="s">
        <v>155</v>
      </c>
      <c r="E84" s="32" t="s">
        <v>61</v>
      </c>
      <c r="F84" s="32" t="s">
        <v>95</v>
      </c>
      <c r="G84" s="32" t="s">
        <v>126</v>
      </c>
      <c r="H84" s="34" t="n">
        <v>46023</v>
      </c>
      <c r="I84" s="32"/>
      <c r="J84" s="34"/>
      <c r="K84" s="27" t="str">
        <f aca="false">IF(A84="","",IF(H84="","Open","Closed"))</f>
        <v>Closed</v>
      </c>
      <c r="L84" s="27" t="n">
        <f aca="false">IF(A84="","",IF(H84="",AsOf-B84,H84-B84))</f>
        <v>18</v>
      </c>
      <c r="M84" s="27" t="str">
        <f aca="false">IF(A84="","",IF(AND(K84="Open",L84&gt;Target),"Yes","No"))</f>
        <v>No</v>
      </c>
      <c r="N84" s="27" t="str">
        <f aca="false">IF(K84&lt;&gt;"Open","",IF(L84&lt;=30,"0-30",IF(L84&lt;=60,"31-60",IF(L84&lt;=90,"61-90","90+"))))</f>
        <v/>
      </c>
      <c r="O84" s="27" t="str">
        <f aca="false">IF(A84="","",IF(COUNTIFS($D$5:$D$400,D84,$F$5:$F$400,F84,$B$5:$B$400,"&gt;="&amp;(B84-RepeatWin),$B$5:$B$400,"&lt;"&amp;B84)&gt;0,"Yes","No"))</f>
        <v>No</v>
      </c>
      <c r="P84" s="35" t="str">
        <f aca="false">IF(OR(I84="",H84=""),"",H84+CapaDue)</f>
        <v/>
      </c>
      <c r="Q84" s="27" t="str">
        <f aca="false">IF(A84="","",IF(I84="","Not required",IF(J84&lt;&gt;"","Closed",IF(H84="","Awaiting dev. close",IF(AsOf&gt;P84,"Overdue","Open")))))</f>
        <v>Not required</v>
      </c>
      <c r="R84" s="27" t="str">
        <f aca="false">IF(J84="","",IF(COUNTIFS($D$5:$D$400,D84,$F$5:$F$400,F84,$B$5:$B$400,"&gt;"&amp;J84,$B$5:$B$400,"&lt;="&amp;(J84+EffWin))&gt;0,"Ineffective",IF(AsOf-J84&gt;=EffWin,"Effective","Check pending")))</f>
        <v/>
      </c>
      <c r="S84" s="36" t="n">
        <f aca="false">IF(A84="","",DATE(YEAR(B84),MONTH(B84),1))</f>
        <v>45992</v>
      </c>
      <c r="T84" s="36" t="n">
        <f aca="false">IF(H84="","",DATE(YEAR(H84),MONTH(H84),1))</f>
        <v>46023</v>
      </c>
      <c r="U84" s="27" t="str">
        <f aca="false">IF(H84="","",IF(AsOf-H84&lt;=90,L84,""))</f>
        <v/>
      </c>
      <c r="V84" s="27" t="str">
        <f aca="false">IF(H84="","",IF(AND(AsOf-H84&gt;90,AsOf-H84&lt;=270),L84,""))</f>
        <v/>
      </c>
    </row>
    <row r="85" customFormat="false" ht="15" hidden="false" customHeight="false" outlineLevel="0" collapsed="false">
      <c r="A85" s="32" t="s">
        <v>280</v>
      </c>
      <c r="B85" s="34" t="n">
        <v>46019</v>
      </c>
      <c r="C85" s="32" t="s">
        <v>75</v>
      </c>
      <c r="D85" s="32" t="s">
        <v>188</v>
      </c>
      <c r="E85" s="32" t="s">
        <v>61</v>
      </c>
      <c r="F85" s="32" t="s">
        <v>95</v>
      </c>
      <c r="G85" s="32" t="s">
        <v>128</v>
      </c>
      <c r="H85" s="34" t="n">
        <v>46034</v>
      </c>
      <c r="I85" s="32"/>
      <c r="J85" s="34"/>
      <c r="K85" s="27" t="str">
        <f aca="false">IF(A85="","",IF(H85="","Open","Closed"))</f>
        <v>Closed</v>
      </c>
      <c r="L85" s="27" t="n">
        <f aca="false">IF(A85="","",IF(H85="",AsOf-B85,H85-B85))</f>
        <v>15</v>
      </c>
      <c r="M85" s="27" t="str">
        <f aca="false">IF(A85="","",IF(AND(K85="Open",L85&gt;Target),"Yes","No"))</f>
        <v>No</v>
      </c>
      <c r="N85" s="27" t="str">
        <f aca="false">IF(K85&lt;&gt;"Open","",IF(L85&lt;=30,"0-30",IF(L85&lt;=60,"31-60",IF(L85&lt;=90,"61-90","90+"))))</f>
        <v/>
      </c>
      <c r="O85" s="27" t="str">
        <f aca="false">IF(A85="","",IF(COUNTIFS($D$5:$D$400,D85,$F$5:$F$400,F85,$B$5:$B$400,"&gt;="&amp;(B85-RepeatWin),$B$5:$B$400,"&lt;"&amp;B85)&gt;0,"Yes","No"))</f>
        <v>No</v>
      </c>
      <c r="P85" s="35" t="str">
        <f aca="false">IF(OR(I85="",H85=""),"",H85+CapaDue)</f>
        <v/>
      </c>
      <c r="Q85" s="27" t="str">
        <f aca="false">IF(A85="","",IF(I85="","Not required",IF(J85&lt;&gt;"","Closed",IF(H85="","Awaiting dev. close",IF(AsOf&gt;P85,"Overdue","Open")))))</f>
        <v>Not required</v>
      </c>
      <c r="R85" s="27" t="str">
        <f aca="false">IF(J85="","",IF(COUNTIFS($D$5:$D$400,D85,$F$5:$F$400,F85,$B$5:$B$400,"&gt;"&amp;J85,$B$5:$B$400,"&lt;="&amp;(J85+EffWin))&gt;0,"Ineffective",IF(AsOf-J85&gt;=EffWin,"Effective","Check pending")))</f>
        <v/>
      </c>
      <c r="S85" s="36" t="n">
        <f aca="false">IF(A85="","",DATE(YEAR(B85),MONTH(B85),1))</f>
        <v>45992</v>
      </c>
      <c r="T85" s="36" t="n">
        <f aca="false">IF(H85="","",DATE(YEAR(H85),MONTH(H85),1))</f>
        <v>46023</v>
      </c>
      <c r="U85" s="27" t="str">
        <f aca="false">IF(H85="","",IF(AsOf-H85&lt;=90,L85,""))</f>
        <v/>
      </c>
      <c r="V85" s="27" t="n">
        <f aca="false">IF(H85="","",IF(AND(AsOf-H85&gt;90,AsOf-H85&lt;=270),L85,""))</f>
        <v>15</v>
      </c>
    </row>
    <row r="86" customFormat="false" ht="15" hidden="false" customHeight="false" outlineLevel="0" collapsed="false">
      <c r="A86" s="32" t="s">
        <v>281</v>
      </c>
      <c r="B86" s="34" t="n">
        <v>46026</v>
      </c>
      <c r="C86" s="32" t="s">
        <v>79</v>
      </c>
      <c r="D86" s="32" t="s">
        <v>282</v>
      </c>
      <c r="E86" s="32" t="s">
        <v>61</v>
      </c>
      <c r="F86" s="32" t="s">
        <v>97</v>
      </c>
      <c r="G86" s="32" t="s">
        <v>129</v>
      </c>
      <c r="H86" s="34" t="n">
        <v>46041</v>
      </c>
      <c r="I86" s="32"/>
      <c r="J86" s="34"/>
      <c r="K86" s="27" t="str">
        <f aca="false">IF(A86="","",IF(H86="","Open","Closed"))</f>
        <v>Closed</v>
      </c>
      <c r="L86" s="27" t="n">
        <f aca="false">IF(A86="","",IF(H86="",AsOf-B86,H86-B86))</f>
        <v>15</v>
      </c>
      <c r="M86" s="27" t="str">
        <f aca="false">IF(A86="","",IF(AND(K86="Open",L86&gt;Target),"Yes","No"))</f>
        <v>No</v>
      </c>
      <c r="N86" s="27" t="str">
        <f aca="false">IF(K86&lt;&gt;"Open","",IF(L86&lt;=30,"0-30",IF(L86&lt;=60,"31-60",IF(L86&lt;=90,"61-90","90+"))))</f>
        <v/>
      </c>
      <c r="O86" s="27" t="str">
        <f aca="false">IF(A86="","",IF(COUNTIFS($D$5:$D$400,D86,$F$5:$F$400,F86,$B$5:$B$400,"&gt;="&amp;(B86-RepeatWin),$B$5:$B$400,"&lt;"&amp;B86)&gt;0,"Yes","No"))</f>
        <v>No</v>
      </c>
      <c r="P86" s="35" t="str">
        <f aca="false">IF(OR(I86="",H86=""),"",H86+CapaDue)</f>
        <v/>
      </c>
      <c r="Q86" s="27" t="str">
        <f aca="false">IF(A86="","",IF(I86="","Not required",IF(J86&lt;&gt;"","Closed",IF(H86="","Awaiting dev. close",IF(AsOf&gt;P86,"Overdue","Open")))))</f>
        <v>Not required</v>
      </c>
      <c r="R86" s="27" t="str">
        <f aca="false">IF(J86="","",IF(COUNTIFS($D$5:$D$400,D86,$F$5:$F$400,F86,$B$5:$B$400,"&gt;"&amp;J86,$B$5:$B$400,"&lt;="&amp;(J86+EffWin))&gt;0,"Ineffective",IF(AsOf-J86&gt;=EffWin,"Effective","Check pending")))</f>
        <v/>
      </c>
      <c r="S86" s="36" t="n">
        <f aca="false">IF(A86="","",DATE(YEAR(B86),MONTH(B86),1))</f>
        <v>46023</v>
      </c>
      <c r="T86" s="36" t="n">
        <f aca="false">IF(H86="","",DATE(YEAR(H86),MONTH(H86),1))</f>
        <v>46023</v>
      </c>
      <c r="U86" s="27" t="str">
        <f aca="false">IF(H86="","",IF(AsOf-H86&lt;=90,L86,""))</f>
        <v/>
      </c>
      <c r="V86" s="27" t="n">
        <f aca="false">IF(H86="","",IF(AND(AsOf-H86&gt;90,AsOf-H86&lt;=270),L86,""))</f>
        <v>15</v>
      </c>
    </row>
    <row r="87" customFormat="false" ht="15" hidden="false" customHeight="false" outlineLevel="0" collapsed="false">
      <c r="A87" s="32" t="s">
        <v>283</v>
      </c>
      <c r="B87" s="34" t="n">
        <v>46027</v>
      </c>
      <c r="C87" s="32" t="s">
        <v>73</v>
      </c>
      <c r="D87" s="32" t="s">
        <v>223</v>
      </c>
      <c r="E87" s="32" t="s">
        <v>61</v>
      </c>
      <c r="F87" s="32" t="s">
        <v>97</v>
      </c>
      <c r="G87" s="32" t="s">
        <v>131</v>
      </c>
      <c r="H87" s="34" t="n">
        <v>46044</v>
      </c>
      <c r="I87" s="32"/>
      <c r="J87" s="34"/>
      <c r="K87" s="27" t="str">
        <f aca="false">IF(A87="","",IF(H87="","Open","Closed"))</f>
        <v>Closed</v>
      </c>
      <c r="L87" s="27" t="n">
        <f aca="false">IF(A87="","",IF(H87="",AsOf-B87,H87-B87))</f>
        <v>17</v>
      </c>
      <c r="M87" s="27" t="str">
        <f aca="false">IF(A87="","",IF(AND(K87="Open",L87&gt;Target),"Yes","No"))</f>
        <v>No</v>
      </c>
      <c r="N87" s="27" t="str">
        <f aca="false">IF(K87&lt;&gt;"Open","",IF(L87&lt;=30,"0-30",IF(L87&lt;=60,"31-60",IF(L87&lt;=90,"61-90","90+"))))</f>
        <v/>
      </c>
      <c r="O87" s="27" t="str">
        <f aca="false">IF(A87="","",IF(COUNTIFS($D$5:$D$400,D87,$F$5:$F$400,F87,$B$5:$B$400,"&gt;="&amp;(B87-RepeatWin),$B$5:$B$400,"&lt;"&amp;B87)&gt;0,"Yes","No"))</f>
        <v>No</v>
      </c>
      <c r="P87" s="35" t="str">
        <f aca="false">IF(OR(I87="",H87=""),"",H87+CapaDue)</f>
        <v/>
      </c>
      <c r="Q87" s="27" t="str">
        <f aca="false">IF(A87="","",IF(I87="","Not required",IF(J87&lt;&gt;"","Closed",IF(H87="","Awaiting dev. close",IF(AsOf&gt;P87,"Overdue","Open")))))</f>
        <v>Not required</v>
      </c>
      <c r="R87" s="27" t="str">
        <f aca="false">IF(J87="","",IF(COUNTIFS($D$5:$D$400,D87,$F$5:$F$400,F87,$B$5:$B$400,"&gt;"&amp;J87,$B$5:$B$400,"&lt;="&amp;(J87+EffWin))&gt;0,"Ineffective",IF(AsOf-J87&gt;=EffWin,"Effective","Check pending")))</f>
        <v/>
      </c>
      <c r="S87" s="36" t="n">
        <f aca="false">IF(A87="","",DATE(YEAR(B87),MONTH(B87),1))</f>
        <v>46023</v>
      </c>
      <c r="T87" s="36" t="n">
        <f aca="false">IF(H87="","",DATE(YEAR(H87),MONTH(H87),1))</f>
        <v>46023</v>
      </c>
      <c r="U87" s="27" t="str">
        <f aca="false">IF(H87="","",IF(AsOf-H87&lt;=90,L87,""))</f>
        <v/>
      </c>
      <c r="V87" s="27" t="n">
        <f aca="false">IF(H87="","",IF(AND(AsOf-H87&gt;90,AsOf-H87&lt;=270),L87,""))</f>
        <v>17</v>
      </c>
    </row>
    <row r="88" customFormat="false" ht="15" hidden="false" customHeight="false" outlineLevel="0" collapsed="false">
      <c r="A88" s="32" t="s">
        <v>284</v>
      </c>
      <c r="B88" s="34" t="n">
        <v>46029</v>
      </c>
      <c r="C88" s="32" t="s">
        <v>81</v>
      </c>
      <c r="D88" s="32" t="s">
        <v>240</v>
      </c>
      <c r="E88" s="32" t="s">
        <v>61</v>
      </c>
      <c r="F88" s="32" t="s">
        <v>95</v>
      </c>
      <c r="G88" s="32" t="s">
        <v>128</v>
      </c>
      <c r="H88" s="34" t="n">
        <v>46042</v>
      </c>
      <c r="I88" s="32"/>
      <c r="J88" s="34"/>
      <c r="K88" s="27" t="str">
        <f aca="false">IF(A88="","",IF(H88="","Open","Closed"))</f>
        <v>Closed</v>
      </c>
      <c r="L88" s="27" t="n">
        <f aca="false">IF(A88="","",IF(H88="",AsOf-B88,H88-B88))</f>
        <v>13</v>
      </c>
      <c r="M88" s="27" t="str">
        <f aca="false">IF(A88="","",IF(AND(K88="Open",L88&gt;Target),"Yes","No"))</f>
        <v>No</v>
      </c>
      <c r="N88" s="27" t="str">
        <f aca="false">IF(K88&lt;&gt;"Open","",IF(L88&lt;=30,"0-30",IF(L88&lt;=60,"31-60",IF(L88&lt;=90,"61-90","90+"))))</f>
        <v/>
      </c>
      <c r="O88" s="27" t="str">
        <f aca="false">IF(A88="","",IF(COUNTIFS($D$5:$D$400,D88,$F$5:$F$400,F88,$B$5:$B$400,"&gt;="&amp;(B88-RepeatWin),$B$5:$B$400,"&lt;"&amp;B88)&gt;0,"Yes","No"))</f>
        <v>No</v>
      </c>
      <c r="P88" s="35" t="str">
        <f aca="false">IF(OR(I88="",H88=""),"",H88+CapaDue)</f>
        <v/>
      </c>
      <c r="Q88" s="27" t="str">
        <f aca="false">IF(A88="","",IF(I88="","Not required",IF(J88&lt;&gt;"","Closed",IF(H88="","Awaiting dev. close",IF(AsOf&gt;P88,"Overdue","Open")))))</f>
        <v>Not required</v>
      </c>
      <c r="R88" s="27" t="str">
        <f aca="false">IF(J88="","",IF(COUNTIFS($D$5:$D$400,D88,$F$5:$F$400,F88,$B$5:$B$400,"&gt;"&amp;J88,$B$5:$B$400,"&lt;="&amp;(J88+EffWin))&gt;0,"Ineffective",IF(AsOf-J88&gt;=EffWin,"Effective","Check pending")))</f>
        <v/>
      </c>
      <c r="S88" s="36" t="n">
        <f aca="false">IF(A88="","",DATE(YEAR(B88),MONTH(B88),1))</f>
        <v>46023</v>
      </c>
      <c r="T88" s="36" t="n">
        <f aca="false">IF(H88="","",DATE(YEAR(H88),MONTH(H88),1))</f>
        <v>46023</v>
      </c>
      <c r="U88" s="27" t="str">
        <f aca="false">IF(H88="","",IF(AsOf-H88&lt;=90,L88,""))</f>
        <v/>
      </c>
      <c r="V88" s="27" t="n">
        <f aca="false">IF(H88="","",IF(AND(AsOf-H88&gt;90,AsOf-H88&lt;=270),L88,""))</f>
        <v>13</v>
      </c>
    </row>
    <row r="89" customFormat="false" ht="15" hidden="false" customHeight="false" outlineLevel="0" collapsed="false">
      <c r="A89" s="32" t="s">
        <v>285</v>
      </c>
      <c r="B89" s="34" t="n">
        <v>46035</v>
      </c>
      <c r="C89" s="32" t="s">
        <v>79</v>
      </c>
      <c r="D89" s="32" t="s">
        <v>151</v>
      </c>
      <c r="E89" s="32" t="s">
        <v>61</v>
      </c>
      <c r="F89" s="32" t="s">
        <v>101</v>
      </c>
      <c r="G89" s="32" t="s">
        <v>132</v>
      </c>
      <c r="H89" s="34" t="n">
        <v>46051</v>
      </c>
      <c r="I89" s="32"/>
      <c r="J89" s="34"/>
      <c r="K89" s="27" t="str">
        <f aca="false">IF(A89="","",IF(H89="","Open","Closed"))</f>
        <v>Closed</v>
      </c>
      <c r="L89" s="27" t="n">
        <f aca="false">IF(A89="","",IF(H89="",AsOf-B89,H89-B89))</f>
        <v>16</v>
      </c>
      <c r="M89" s="27" t="str">
        <f aca="false">IF(A89="","",IF(AND(K89="Open",L89&gt;Target),"Yes","No"))</f>
        <v>No</v>
      </c>
      <c r="N89" s="27" t="str">
        <f aca="false">IF(K89&lt;&gt;"Open","",IF(L89&lt;=30,"0-30",IF(L89&lt;=60,"31-60",IF(L89&lt;=90,"61-90","90+"))))</f>
        <v/>
      </c>
      <c r="O89" s="27" t="str">
        <f aca="false">IF(A89="","",IF(COUNTIFS($D$5:$D$400,D89,$F$5:$F$400,F89,$B$5:$B$400,"&gt;="&amp;(B89-RepeatWin),$B$5:$B$400,"&lt;"&amp;B89)&gt;0,"Yes","No"))</f>
        <v>No</v>
      </c>
      <c r="P89" s="35" t="str">
        <f aca="false">IF(OR(I89="",H89=""),"",H89+CapaDue)</f>
        <v/>
      </c>
      <c r="Q89" s="27" t="str">
        <f aca="false">IF(A89="","",IF(I89="","Not required",IF(J89&lt;&gt;"","Closed",IF(H89="","Awaiting dev. close",IF(AsOf&gt;P89,"Overdue","Open")))))</f>
        <v>Not required</v>
      </c>
      <c r="R89" s="27" t="str">
        <f aca="false">IF(J89="","",IF(COUNTIFS($D$5:$D$400,D89,$F$5:$F$400,F89,$B$5:$B$400,"&gt;"&amp;J89,$B$5:$B$400,"&lt;="&amp;(J89+EffWin))&gt;0,"Ineffective",IF(AsOf-J89&gt;=EffWin,"Effective","Check pending")))</f>
        <v/>
      </c>
      <c r="S89" s="36" t="n">
        <f aca="false">IF(A89="","",DATE(YEAR(B89),MONTH(B89),1))</f>
        <v>46023</v>
      </c>
      <c r="T89" s="36" t="n">
        <f aca="false">IF(H89="","",DATE(YEAR(H89),MONTH(H89),1))</f>
        <v>46023</v>
      </c>
      <c r="U89" s="27" t="str">
        <f aca="false">IF(H89="","",IF(AsOf-H89&lt;=90,L89,""))</f>
        <v/>
      </c>
      <c r="V89" s="27" t="n">
        <f aca="false">IF(H89="","",IF(AND(AsOf-H89&gt;90,AsOf-H89&lt;=270),L89,""))</f>
        <v>16</v>
      </c>
    </row>
    <row r="90" customFormat="false" ht="15" hidden="false" customHeight="false" outlineLevel="0" collapsed="false">
      <c r="A90" s="32" t="s">
        <v>286</v>
      </c>
      <c r="B90" s="34" t="n">
        <v>46041</v>
      </c>
      <c r="C90" s="32" t="s">
        <v>75</v>
      </c>
      <c r="D90" s="32" t="s">
        <v>274</v>
      </c>
      <c r="E90" s="32" t="s">
        <v>61</v>
      </c>
      <c r="F90" s="32" t="s">
        <v>95</v>
      </c>
      <c r="G90" s="32" t="s">
        <v>131</v>
      </c>
      <c r="H90" s="34" t="n">
        <v>46057</v>
      </c>
      <c r="I90" s="32"/>
      <c r="J90" s="34"/>
      <c r="K90" s="27" t="str">
        <f aca="false">IF(A90="","",IF(H90="","Open","Closed"))</f>
        <v>Closed</v>
      </c>
      <c r="L90" s="27" t="n">
        <f aca="false">IF(A90="","",IF(H90="",AsOf-B90,H90-B90))</f>
        <v>16</v>
      </c>
      <c r="M90" s="27" t="str">
        <f aca="false">IF(A90="","",IF(AND(K90="Open",L90&gt;Target),"Yes","No"))</f>
        <v>No</v>
      </c>
      <c r="N90" s="27" t="str">
        <f aca="false">IF(K90&lt;&gt;"Open","",IF(L90&lt;=30,"0-30",IF(L90&lt;=60,"31-60",IF(L90&lt;=90,"61-90","90+"))))</f>
        <v/>
      </c>
      <c r="O90" s="27" t="str">
        <f aca="false">IF(A90="","",IF(COUNTIFS($D$5:$D$400,D90,$F$5:$F$400,F90,$B$5:$B$400,"&gt;="&amp;(B90-RepeatWin),$B$5:$B$400,"&lt;"&amp;B90)&gt;0,"Yes","No"))</f>
        <v>No</v>
      </c>
      <c r="P90" s="35" t="str">
        <f aca="false">IF(OR(I90="",H90=""),"",H90+CapaDue)</f>
        <v/>
      </c>
      <c r="Q90" s="27" t="str">
        <f aca="false">IF(A90="","",IF(I90="","Not required",IF(J90&lt;&gt;"","Closed",IF(H90="","Awaiting dev. close",IF(AsOf&gt;P90,"Overdue","Open")))))</f>
        <v>Not required</v>
      </c>
      <c r="R90" s="27" t="str">
        <f aca="false">IF(J90="","",IF(COUNTIFS($D$5:$D$400,D90,$F$5:$F$400,F90,$B$5:$B$400,"&gt;"&amp;J90,$B$5:$B$400,"&lt;="&amp;(J90+EffWin))&gt;0,"Ineffective",IF(AsOf-J90&gt;=EffWin,"Effective","Check pending")))</f>
        <v/>
      </c>
      <c r="S90" s="36" t="n">
        <f aca="false">IF(A90="","",DATE(YEAR(B90),MONTH(B90),1))</f>
        <v>46023</v>
      </c>
      <c r="T90" s="36" t="n">
        <f aca="false">IF(H90="","",DATE(YEAR(H90),MONTH(H90),1))</f>
        <v>46054</v>
      </c>
      <c r="U90" s="27" t="str">
        <f aca="false">IF(H90="","",IF(AsOf-H90&lt;=90,L90,""))</f>
        <v/>
      </c>
      <c r="V90" s="27" t="n">
        <f aca="false">IF(H90="","",IF(AND(AsOf-H90&gt;90,AsOf-H90&lt;=270),L90,""))</f>
        <v>16</v>
      </c>
    </row>
    <row r="91" customFormat="false" ht="15" hidden="false" customHeight="false" outlineLevel="0" collapsed="false">
      <c r="A91" s="32" t="s">
        <v>287</v>
      </c>
      <c r="B91" s="34" t="n">
        <v>46042</v>
      </c>
      <c r="C91" s="32" t="s">
        <v>75</v>
      </c>
      <c r="D91" s="32" t="s">
        <v>188</v>
      </c>
      <c r="E91" s="32" t="s">
        <v>59</v>
      </c>
      <c r="F91" s="32" t="s">
        <v>102</v>
      </c>
      <c r="G91" s="32" t="s">
        <v>126</v>
      </c>
      <c r="H91" s="34" t="n">
        <v>46066</v>
      </c>
      <c r="I91" s="32" t="s">
        <v>288</v>
      </c>
      <c r="J91" s="34" t="n">
        <v>46111</v>
      </c>
      <c r="K91" s="27" t="str">
        <f aca="false">IF(A91="","",IF(H91="","Open","Closed"))</f>
        <v>Closed</v>
      </c>
      <c r="L91" s="27" t="n">
        <f aca="false">IF(A91="","",IF(H91="",AsOf-B91,H91-B91))</f>
        <v>24</v>
      </c>
      <c r="M91" s="27" t="str">
        <f aca="false">IF(A91="","",IF(AND(K91="Open",L91&gt;Target),"Yes","No"))</f>
        <v>No</v>
      </c>
      <c r="N91" s="27" t="str">
        <f aca="false">IF(K91&lt;&gt;"Open","",IF(L91&lt;=30,"0-30",IF(L91&lt;=60,"31-60",IF(L91&lt;=90,"61-90","90+"))))</f>
        <v/>
      </c>
      <c r="O91" s="27" t="str">
        <f aca="false">IF(A91="","",IF(COUNTIFS($D$5:$D$400,D91,$F$5:$F$400,F91,$B$5:$B$400,"&gt;="&amp;(B91-RepeatWin),$B$5:$B$400,"&lt;"&amp;B91)&gt;0,"Yes","No"))</f>
        <v>Yes</v>
      </c>
      <c r="P91" s="35" t="n">
        <f aca="false">IF(OR(I91="",H91=""),"",H91+CapaDue)</f>
        <v>46156</v>
      </c>
      <c r="Q91" s="27" t="str">
        <f aca="false">IF(A91="","",IF(I91="","Not required",IF(J91&lt;&gt;"","Closed",IF(H91="","Awaiting dev. close",IF(AsOf&gt;P91,"Overdue","Open")))))</f>
        <v>Closed</v>
      </c>
      <c r="R91" s="27" t="str">
        <f aca="false">IF(J91="","",IF(COUNTIFS($D$5:$D$400,D91,$F$5:$F$400,F91,$B$5:$B$400,"&gt;"&amp;J91,$B$5:$B$400,"&lt;="&amp;(J91+EffWin))&gt;0,"Ineffective",IF(AsOf-J91&gt;=EffWin,"Effective","Check pending")))</f>
        <v>Ineffective</v>
      </c>
      <c r="S91" s="36" t="n">
        <f aca="false">IF(A91="","",DATE(YEAR(B91),MONTH(B91),1))</f>
        <v>46023</v>
      </c>
      <c r="T91" s="36" t="n">
        <f aca="false">IF(H91="","",DATE(YEAR(H91),MONTH(H91),1))</f>
        <v>46054</v>
      </c>
      <c r="U91" s="27" t="str">
        <f aca="false">IF(H91="","",IF(AsOf-H91&lt;=90,L91,""))</f>
        <v/>
      </c>
      <c r="V91" s="27" t="n">
        <f aca="false">IF(H91="","",IF(AND(AsOf-H91&gt;90,AsOf-H91&lt;=270),L91,""))</f>
        <v>24</v>
      </c>
    </row>
    <row r="92" customFormat="false" ht="15" hidden="false" customHeight="false" outlineLevel="0" collapsed="false">
      <c r="A92" s="32" t="s">
        <v>289</v>
      </c>
      <c r="B92" s="34" t="n">
        <v>46044</v>
      </c>
      <c r="C92" s="32" t="s">
        <v>79</v>
      </c>
      <c r="D92" s="32" t="s">
        <v>166</v>
      </c>
      <c r="E92" s="32" t="s">
        <v>59</v>
      </c>
      <c r="F92" s="32" t="s">
        <v>96</v>
      </c>
      <c r="G92" s="32" t="s">
        <v>131</v>
      </c>
      <c r="H92" s="34" t="n">
        <v>46067</v>
      </c>
      <c r="I92" s="32" t="s">
        <v>290</v>
      </c>
      <c r="J92" s="34" t="n">
        <v>46126</v>
      </c>
      <c r="K92" s="27" t="str">
        <f aca="false">IF(A92="","",IF(H92="","Open","Closed"))</f>
        <v>Closed</v>
      </c>
      <c r="L92" s="27" t="n">
        <f aca="false">IF(A92="","",IF(H92="",AsOf-B92,H92-B92))</f>
        <v>23</v>
      </c>
      <c r="M92" s="27" t="str">
        <f aca="false">IF(A92="","",IF(AND(K92="Open",L92&gt;Target),"Yes","No"))</f>
        <v>No</v>
      </c>
      <c r="N92" s="27" t="str">
        <f aca="false">IF(K92&lt;&gt;"Open","",IF(L92&lt;=30,"0-30",IF(L92&lt;=60,"31-60",IF(L92&lt;=90,"61-90","90+"))))</f>
        <v/>
      </c>
      <c r="O92" s="27" t="str">
        <f aca="false">IF(A92="","",IF(COUNTIFS($D$5:$D$400,D92,$F$5:$F$400,F92,$B$5:$B$400,"&gt;="&amp;(B92-RepeatWin),$B$5:$B$400,"&lt;"&amp;B92)&gt;0,"Yes","No"))</f>
        <v>No</v>
      </c>
      <c r="P92" s="35" t="n">
        <f aca="false">IF(OR(I92="",H92=""),"",H92+CapaDue)</f>
        <v>46157</v>
      </c>
      <c r="Q92" s="27" t="str">
        <f aca="false">IF(A92="","",IF(I92="","Not required",IF(J92&lt;&gt;"","Closed",IF(H92="","Awaiting dev. close",IF(AsOf&gt;P92,"Overdue","Open")))))</f>
        <v>Closed</v>
      </c>
      <c r="R92" s="27" t="str">
        <f aca="false">IF(J92="","",IF(COUNTIFS($D$5:$D$400,D92,$F$5:$F$400,F92,$B$5:$B$400,"&gt;"&amp;J92,$B$5:$B$400,"&lt;="&amp;(J92+EffWin))&gt;0,"Ineffective",IF(AsOf-J92&gt;=EffWin,"Effective","Check pending")))</f>
        <v>Check pending</v>
      </c>
      <c r="S92" s="36" t="n">
        <f aca="false">IF(A92="","",DATE(YEAR(B92),MONTH(B92),1))</f>
        <v>46023</v>
      </c>
      <c r="T92" s="36" t="n">
        <f aca="false">IF(H92="","",DATE(YEAR(H92),MONTH(H92),1))</f>
        <v>46054</v>
      </c>
      <c r="U92" s="27" t="str">
        <f aca="false">IF(H92="","",IF(AsOf-H92&lt;=90,L92,""))</f>
        <v/>
      </c>
      <c r="V92" s="27" t="n">
        <f aca="false">IF(H92="","",IF(AND(AsOf-H92&gt;90,AsOf-H92&lt;=270),L92,""))</f>
        <v>23</v>
      </c>
    </row>
    <row r="93" customFormat="false" ht="15" hidden="false" customHeight="false" outlineLevel="0" collapsed="false">
      <c r="A93" s="32" t="s">
        <v>291</v>
      </c>
      <c r="B93" s="34" t="n">
        <v>46044</v>
      </c>
      <c r="C93" s="32" t="s">
        <v>80</v>
      </c>
      <c r="D93" s="32" t="s">
        <v>190</v>
      </c>
      <c r="E93" s="32" t="s">
        <v>61</v>
      </c>
      <c r="F93" s="32" t="s">
        <v>98</v>
      </c>
      <c r="G93" s="32" t="s">
        <v>131</v>
      </c>
      <c r="H93" s="34" t="n">
        <v>46058</v>
      </c>
      <c r="I93" s="32"/>
      <c r="J93" s="34"/>
      <c r="K93" s="27" t="str">
        <f aca="false">IF(A93="","",IF(H93="","Open","Closed"))</f>
        <v>Closed</v>
      </c>
      <c r="L93" s="27" t="n">
        <f aca="false">IF(A93="","",IF(H93="",AsOf-B93,H93-B93))</f>
        <v>14</v>
      </c>
      <c r="M93" s="27" t="str">
        <f aca="false">IF(A93="","",IF(AND(K93="Open",L93&gt;Target),"Yes","No"))</f>
        <v>No</v>
      </c>
      <c r="N93" s="27" t="str">
        <f aca="false">IF(K93&lt;&gt;"Open","",IF(L93&lt;=30,"0-30",IF(L93&lt;=60,"31-60",IF(L93&lt;=90,"61-90","90+"))))</f>
        <v/>
      </c>
      <c r="O93" s="27" t="str">
        <f aca="false">IF(A93="","",IF(COUNTIFS($D$5:$D$400,D93,$F$5:$F$400,F93,$B$5:$B$400,"&gt;="&amp;(B93-RepeatWin),$B$5:$B$400,"&lt;"&amp;B93)&gt;0,"Yes","No"))</f>
        <v>No</v>
      </c>
      <c r="P93" s="35" t="str">
        <f aca="false">IF(OR(I93="",H93=""),"",H93+CapaDue)</f>
        <v/>
      </c>
      <c r="Q93" s="27" t="str">
        <f aca="false">IF(A93="","",IF(I93="","Not required",IF(J93&lt;&gt;"","Closed",IF(H93="","Awaiting dev. close",IF(AsOf&gt;P93,"Overdue","Open")))))</f>
        <v>Not required</v>
      </c>
      <c r="R93" s="27" t="str">
        <f aca="false">IF(J93="","",IF(COUNTIFS($D$5:$D$400,D93,$F$5:$F$400,F93,$B$5:$B$400,"&gt;"&amp;J93,$B$5:$B$400,"&lt;="&amp;(J93+EffWin))&gt;0,"Ineffective",IF(AsOf-J93&gt;=EffWin,"Effective","Check pending")))</f>
        <v/>
      </c>
      <c r="S93" s="36" t="n">
        <f aca="false">IF(A93="","",DATE(YEAR(B93),MONTH(B93),1))</f>
        <v>46023</v>
      </c>
      <c r="T93" s="36" t="n">
        <f aca="false">IF(H93="","",DATE(YEAR(H93),MONTH(H93),1))</f>
        <v>46054</v>
      </c>
      <c r="U93" s="27" t="str">
        <f aca="false">IF(H93="","",IF(AsOf-H93&lt;=90,L93,""))</f>
        <v/>
      </c>
      <c r="V93" s="27" t="n">
        <f aca="false">IF(H93="","",IF(AND(AsOf-H93&gt;90,AsOf-H93&lt;=270),L93,""))</f>
        <v>14</v>
      </c>
    </row>
    <row r="94" customFormat="false" ht="15" hidden="false" customHeight="false" outlineLevel="0" collapsed="false">
      <c r="A94" s="32" t="s">
        <v>292</v>
      </c>
      <c r="B94" s="34" t="n">
        <v>46052</v>
      </c>
      <c r="C94" s="32" t="s">
        <v>77</v>
      </c>
      <c r="D94" s="32" t="s">
        <v>266</v>
      </c>
      <c r="E94" s="32" t="s">
        <v>59</v>
      </c>
      <c r="F94" s="32" t="s">
        <v>99</v>
      </c>
      <c r="G94" s="32" t="s">
        <v>128</v>
      </c>
      <c r="H94" s="34" t="n">
        <v>46069</v>
      </c>
      <c r="I94" s="32" t="s">
        <v>293</v>
      </c>
      <c r="J94" s="34" t="n">
        <v>46124</v>
      </c>
      <c r="K94" s="27" t="str">
        <f aca="false">IF(A94="","",IF(H94="","Open","Closed"))</f>
        <v>Closed</v>
      </c>
      <c r="L94" s="27" t="n">
        <f aca="false">IF(A94="","",IF(H94="",AsOf-B94,H94-B94))</f>
        <v>17</v>
      </c>
      <c r="M94" s="27" t="str">
        <f aca="false">IF(A94="","",IF(AND(K94="Open",L94&gt;Target),"Yes","No"))</f>
        <v>No</v>
      </c>
      <c r="N94" s="27" t="str">
        <f aca="false">IF(K94&lt;&gt;"Open","",IF(L94&lt;=30,"0-30",IF(L94&lt;=60,"31-60",IF(L94&lt;=90,"61-90","90+"))))</f>
        <v/>
      </c>
      <c r="O94" s="27" t="str">
        <f aca="false">IF(A94="","",IF(COUNTIFS($D$5:$D$400,D94,$F$5:$F$400,F94,$B$5:$B$400,"&gt;="&amp;(B94-RepeatWin),$B$5:$B$400,"&lt;"&amp;B94)&gt;0,"Yes","No"))</f>
        <v>No</v>
      </c>
      <c r="P94" s="35" t="n">
        <f aca="false">IF(OR(I94="",H94=""),"",H94+CapaDue)</f>
        <v>46159</v>
      </c>
      <c r="Q94" s="27" t="str">
        <f aca="false">IF(A94="","",IF(I94="","Not required",IF(J94&lt;&gt;"","Closed",IF(H94="","Awaiting dev. close",IF(AsOf&gt;P94,"Overdue","Open")))))</f>
        <v>Closed</v>
      </c>
      <c r="R94" s="27" t="str">
        <f aca="false">IF(J94="","",IF(COUNTIFS($D$5:$D$400,D94,$F$5:$F$400,F94,$B$5:$B$400,"&gt;"&amp;J94,$B$5:$B$400,"&lt;="&amp;(J94+EffWin))&gt;0,"Ineffective",IF(AsOf-J94&gt;=EffWin,"Effective","Check pending")))</f>
        <v>Check pending</v>
      </c>
      <c r="S94" s="36" t="n">
        <f aca="false">IF(A94="","",DATE(YEAR(B94),MONTH(B94),1))</f>
        <v>46023</v>
      </c>
      <c r="T94" s="36" t="n">
        <f aca="false">IF(H94="","",DATE(YEAR(H94),MONTH(H94),1))</f>
        <v>46054</v>
      </c>
      <c r="U94" s="27" t="str">
        <f aca="false">IF(H94="","",IF(AsOf-H94&lt;=90,L94,""))</f>
        <v/>
      </c>
      <c r="V94" s="27" t="n">
        <f aca="false">IF(H94="","",IF(AND(AsOf-H94&gt;90,AsOf-H94&lt;=270),L94,""))</f>
        <v>17</v>
      </c>
    </row>
    <row r="95" customFormat="false" ht="15" hidden="false" customHeight="false" outlineLevel="0" collapsed="false">
      <c r="A95" s="32" t="s">
        <v>294</v>
      </c>
      <c r="B95" s="34" t="n">
        <v>46052</v>
      </c>
      <c r="C95" s="32" t="s">
        <v>75</v>
      </c>
      <c r="D95" s="32" t="s">
        <v>192</v>
      </c>
      <c r="E95" s="32" t="s">
        <v>61</v>
      </c>
      <c r="F95" s="32" t="s">
        <v>103</v>
      </c>
      <c r="G95" s="32" t="s">
        <v>126</v>
      </c>
      <c r="H95" s="34" t="n">
        <v>46068</v>
      </c>
      <c r="I95" s="32"/>
      <c r="J95" s="34"/>
      <c r="K95" s="27" t="str">
        <f aca="false">IF(A95="","",IF(H95="","Open","Closed"))</f>
        <v>Closed</v>
      </c>
      <c r="L95" s="27" t="n">
        <f aca="false">IF(A95="","",IF(H95="",AsOf-B95,H95-B95))</f>
        <v>16</v>
      </c>
      <c r="M95" s="27" t="str">
        <f aca="false">IF(A95="","",IF(AND(K95="Open",L95&gt;Target),"Yes","No"))</f>
        <v>No</v>
      </c>
      <c r="N95" s="27" t="str">
        <f aca="false">IF(K95&lt;&gt;"Open","",IF(L95&lt;=30,"0-30",IF(L95&lt;=60,"31-60",IF(L95&lt;=90,"61-90","90+"))))</f>
        <v/>
      </c>
      <c r="O95" s="27" t="str">
        <f aca="false">IF(A95="","",IF(COUNTIFS($D$5:$D$400,D95,$F$5:$F$400,F95,$B$5:$B$400,"&gt;="&amp;(B95-RepeatWin),$B$5:$B$400,"&lt;"&amp;B95)&gt;0,"Yes","No"))</f>
        <v>No</v>
      </c>
      <c r="P95" s="35" t="str">
        <f aca="false">IF(OR(I95="",H95=""),"",H95+CapaDue)</f>
        <v/>
      </c>
      <c r="Q95" s="27" t="str">
        <f aca="false">IF(A95="","",IF(I95="","Not required",IF(J95&lt;&gt;"","Closed",IF(H95="","Awaiting dev. close",IF(AsOf&gt;P95,"Overdue","Open")))))</f>
        <v>Not required</v>
      </c>
      <c r="R95" s="27" t="str">
        <f aca="false">IF(J95="","",IF(COUNTIFS($D$5:$D$400,D95,$F$5:$F$400,F95,$B$5:$B$400,"&gt;"&amp;J95,$B$5:$B$400,"&lt;="&amp;(J95+EffWin))&gt;0,"Ineffective",IF(AsOf-J95&gt;=EffWin,"Effective","Check pending")))</f>
        <v/>
      </c>
      <c r="S95" s="36" t="n">
        <f aca="false">IF(A95="","",DATE(YEAR(B95),MONTH(B95),1))</f>
        <v>46023</v>
      </c>
      <c r="T95" s="36" t="n">
        <f aca="false">IF(H95="","",DATE(YEAR(H95),MONTH(H95),1))</f>
        <v>46054</v>
      </c>
      <c r="U95" s="27" t="str">
        <f aca="false">IF(H95="","",IF(AsOf-H95&lt;=90,L95,""))</f>
        <v/>
      </c>
      <c r="V95" s="27" t="n">
        <f aca="false">IF(H95="","",IF(AND(AsOf-H95&gt;90,AsOf-H95&lt;=270),L95,""))</f>
        <v>16</v>
      </c>
    </row>
    <row r="96" customFormat="false" ht="15" hidden="false" customHeight="false" outlineLevel="0" collapsed="false">
      <c r="A96" s="32" t="s">
        <v>295</v>
      </c>
      <c r="B96" s="34" t="n">
        <v>46053</v>
      </c>
      <c r="C96" s="32" t="s">
        <v>75</v>
      </c>
      <c r="D96" s="32" t="s">
        <v>161</v>
      </c>
      <c r="E96" s="32" t="s">
        <v>61</v>
      </c>
      <c r="F96" s="32" t="s">
        <v>102</v>
      </c>
      <c r="G96" s="32" t="s">
        <v>132</v>
      </c>
      <c r="H96" s="34" t="n">
        <v>46067</v>
      </c>
      <c r="I96" s="32"/>
      <c r="J96" s="34"/>
      <c r="K96" s="27" t="str">
        <f aca="false">IF(A96="","",IF(H96="","Open","Closed"))</f>
        <v>Closed</v>
      </c>
      <c r="L96" s="27" t="n">
        <f aca="false">IF(A96="","",IF(H96="",AsOf-B96,H96-B96))</f>
        <v>14</v>
      </c>
      <c r="M96" s="27" t="str">
        <f aca="false">IF(A96="","",IF(AND(K96="Open",L96&gt;Target),"Yes","No"))</f>
        <v>No</v>
      </c>
      <c r="N96" s="27" t="str">
        <f aca="false">IF(K96&lt;&gt;"Open","",IF(L96&lt;=30,"0-30",IF(L96&lt;=60,"31-60",IF(L96&lt;=90,"61-90","90+"))))</f>
        <v/>
      </c>
      <c r="O96" s="27" t="str">
        <f aca="false">IF(A96="","",IF(COUNTIFS($D$5:$D$400,D96,$F$5:$F$400,F96,$B$5:$B$400,"&gt;="&amp;(B96-RepeatWin),$B$5:$B$400,"&lt;"&amp;B96)&gt;0,"Yes","No"))</f>
        <v>No</v>
      </c>
      <c r="P96" s="35" t="str">
        <f aca="false">IF(OR(I96="",H96=""),"",H96+CapaDue)</f>
        <v/>
      </c>
      <c r="Q96" s="27" t="str">
        <f aca="false">IF(A96="","",IF(I96="","Not required",IF(J96&lt;&gt;"","Closed",IF(H96="","Awaiting dev. close",IF(AsOf&gt;P96,"Overdue","Open")))))</f>
        <v>Not required</v>
      </c>
      <c r="R96" s="27" t="str">
        <f aca="false">IF(J96="","",IF(COUNTIFS($D$5:$D$400,D96,$F$5:$F$400,F96,$B$5:$B$400,"&gt;"&amp;J96,$B$5:$B$400,"&lt;="&amp;(J96+EffWin))&gt;0,"Ineffective",IF(AsOf-J96&gt;=EffWin,"Effective","Check pending")))</f>
        <v/>
      </c>
      <c r="S96" s="36" t="n">
        <f aca="false">IF(A96="","",DATE(YEAR(B96),MONTH(B96),1))</f>
        <v>46023</v>
      </c>
      <c r="T96" s="36" t="n">
        <f aca="false">IF(H96="","",DATE(YEAR(H96),MONTH(H96),1))</f>
        <v>46054</v>
      </c>
      <c r="U96" s="27" t="str">
        <f aca="false">IF(H96="","",IF(AsOf-H96&lt;=90,L96,""))</f>
        <v/>
      </c>
      <c r="V96" s="27" t="n">
        <f aca="false">IF(H96="","",IF(AND(AsOf-H96&gt;90,AsOf-H96&lt;=270),L96,""))</f>
        <v>14</v>
      </c>
    </row>
    <row r="97" customFormat="false" ht="15" hidden="false" customHeight="false" outlineLevel="0" collapsed="false">
      <c r="A97" s="32" t="s">
        <v>296</v>
      </c>
      <c r="B97" s="34" t="n">
        <v>46054</v>
      </c>
      <c r="C97" s="32" t="s">
        <v>73</v>
      </c>
      <c r="D97" s="32" t="s">
        <v>149</v>
      </c>
      <c r="E97" s="32" t="s">
        <v>59</v>
      </c>
      <c r="F97" s="32" t="s">
        <v>97</v>
      </c>
      <c r="G97" s="32" t="s">
        <v>126</v>
      </c>
      <c r="H97" s="34" t="n">
        <v>46082</v>
      </c>
      <c r="I97" s="32" t="s">
        <v>297</v>
      </c>
      <c r="J97" s="34" t="n">
        <v>46152</v>
      </c>
      <c r="K97" s="27" t="str">
        <f aca="false">IF(A97="","",IF(H97="","Open","Closed"))</f>
        <v>Closed</v>
      </c>
      <c r="L97" s="27" t="n">
        <f aca="false">IF(A97="","",IF(H97="",AsOf-B97,H97-B97))</f>
        <v>28</v>
      </c>
      <c r="M97" s="27" t="str">
        <f aca="false">IF(A97="","",IF(AND(K97="Open",L97&gt;Target),"Yes","No"))</f>
        <v>No</v>
      </c>
      <c r="N97" s="27" t="str">
        <f aca="false">IF(K97&lt;&gt;"Open","",IF(L97&lt;=30,"0-30",IF(L97&lt;=60,"31-60",IF(L97&lt;=90,"61-90","90+"))))</f>
        <v/>
      </c>
      <c r="O97" s="27" t="str">
        <f aca="false">IF(A97="","",IF(COUNTIFS($D$5:$D$400,D97,$F$5:$F$400,F97,$B$5:$B$400,"&gt;="&amp;(B97-RepeatWin),$B$5:$B$400,"&lt;"&amp;B97)&gt;0,"Yes","No"))</f>
        <v>No</v>
      </c>
      <c r="P97" s="35" t="n">
        <f aca="false">IF(OR(I97="",H97=""),"",H97+CapaDue)</f>
        <v>46172</v>
      </c>
      <c r="Q97" s="27" t="str">
        <f aca="false">IF(A97="","",IF(I97="","Not required",IF(J97&lt;&gt;"","Closed",IF(H97="","Awaiting dev. close",IF(AsOf&gt;P97,"Overdue","Open")))))</f>
        <v>Closed</v>
      </c>
      <c r="R97" s="27" t="str">
        <f aca="false">IF(J97="","",IF(COUNTIFS($D$5:$D$400,D97,$F$5:$F$400,F97,$B$5:$B$400,"&gt;"&amp;J97,$B$5:$B$400,"&lt;="&amp;(J97+EffWin))&gt;0,"Ineffective",IF(AsOf-J97&gt;=EffWin,"Effective","Check pending")))</f>
        <v>Check pending</v>
      </c>
      <c r="S97" s="36" t="n">
        <f aca="false">IF(A97="","",DATE(YEAR(B97),MONTH(B97),1))</f>
        <v>46054</v>
      </c>
      <c r="T97" s="36" t="n">
        <f aca="false">IF(H97="","",DATE(YEAR(H97),MONTH(H97),1))</f>
        <v>46082</v>
      </c>
      <c r="U97" s="27" t="str">
        <f aca="false">IF(H97="","",IF(AsOf-H97&lt;=90,L97,""))</f>
        <v/>
      </c>
      <c r="V97" s="27" t="n">
        <f aca="false">IF(H97="","",IF(AND(AsOf-H97&gt;90,AsOf-H97&lt;=270),L97,""))</f>
        <v>28</v>
      </c>
    </row>
    <row r="98" customFormat="false" ht="15" hidden="false" customHeight="false" outlineLevel="0" collapsed="false">
      <c r="A98" s="32" t="s">
        <v>298</v>
      </c>
      <c r="B98" s="34" t="n">
        <v>46056</v>
      </c>
      <c r="C98" s="32" t="s">
        <v>79</v>
      </c>
      <c r="D98" s="32" t="s">
        <v>299</v>
      </c>
      <c r="E98" s="32" t="s">
        <v>61</v>
      </c>
      <c r="F98" s="32" t="s">
        <v>99</v>
      </c>
      <c r="G98" s="32" t="s">
        <v>128</v>
      </c>
      <c r="H98" s="34" t="n">
        <v>46068</v>
      </c>
      <c r="I98" s="32"/>
      <c r="J98" s="34"/>
      <c r="K98" s="27" t="str">
        <f aca="false">IF(A98="","",IF(H98="","Open","Closed"))</f>
        <v>Closed</v>
      </c>
      <c r="L98" s="27" t="n">
        <f aca="false">IF(A98="","",IF(H98="",AsOf-B98,H98-B98))</f>
        <v>12</v>
      </c>
      <c r="M98" s="27" t="str">
        <f aca="false">IF(A98="","",IF(AND(K98="Open",L98&gt;Target),"Yes","No"))</f>
        <v>No</v>
      </c>
      <c r="N98" s="27" t="str">
        <f aca="false">IF(K98&lt;&gt;"Open","",IF(L98&lt;=30,"0-30",IF(L98&lt;=60,"31-60",IF(L98&lt;=90,"61-90","90+"))))</f>
        <v/>
      </c>
      <c r="O98" s="27" t="str">
        <f aca="false">IF(A98="","",IF(COUNTIFS($D$5:$D$400,D98,$F$5:$F$400,F98,$B$5:$B$400,"&gt;="&amp;(B98-RepeatWin),$B$5:$B$400,"&lt;"&amp;B98)&gt;0,"Yes","No"))</f>
        <v>No</v>
      </c>
      <c r="P98" s="35" t="str">
        <f aca="false">IF(OR(I98="",H98=""),"",H98+CapaDue)</f>
        <v/>
      </c>
      <c r="Q98" s="27" t="str">
        <f aca="false">IF(A98="","",IF(I98="","Not required",IF(J98&lt;&gt;"","Closed",IF(H98="","Awaiting dev. close",IF(AsOf&gt;P98,"Overdue","Open")))))</f>
        <v>Not required</v>
      </c>
      <c r="R98" s="27" t="str">
        <f aca="false">IF(J98="","",IF(COUNTIFS($D$5:$D$400,D98,$F$5:$F$400,F98,$B$5:$B$400,"&gt;"&amp;J98,$B$5:$B$400,"&lt;="&amp;(J98+EffWin))&gt;0,"Ineffective",IF(AsOf-J98&gt;=EffWin,"Effective","Check pending")))</f>
        <v/>
      </c>
      <c r="S98" s="36" t="n">
        <f aca="false">IF(A98="","",DATE(YEAR(B98),MONTH(B98),1))</f>
        <v>46054</v>
      </c>
      <c r="T98" s="36" t="n">
        <f aca="false">IF(H98="","",DATE(YEAR(H98),MONTH(H98),1))</f>
        <v>46054</v>
      </c>
      <c r="U98" s="27" t="str">
        <f aca="false">IF(H98="","",IF(AsOf-H98&lt;=90,L98,""))</f>
        <v/>
      </c>
      <c r="V98" s="27" t="n">
        <f aca="false">IF(H98="","",IF(AND(AsOf-H98&gt;90,AsOf-H98&lt;=270),L98,""))</f>
        <v>12</v>
      </c>
    </row>
    <row r="99" customFormat="false" ht="15" hidden="false" customHeight="false" outlineLevel="0" collapsed="false">
      <c r="A99" s="32" t="s">
        <v>300</v>
      </c>
      <c r="B99" s="34" t="n">
        <v>46069</v>
      </c>
      <c r="C99" s="32" t="s">
        <v>81</v>
      </c>
      <c r="D99" s="32" t="s">
        <v>176</v>
      </c>
      <c r="E99" s="32" t="s">
        <v>61</v>
      </c>
      <c r="F99" s="32" t="s">
        <v>95</v>
      </c>
      <c r="G99" s="32" t="s">
        <v>129</v>
      </c>
      <c r="H99" s="34" t="n">
        <v>46087</v>
      </c>
      <c r="I99" s="32"/>
      <c r="J99" s="34"/>
      <c r="K99" s="27" t="str">
        <f aca="false">IF(A99="","",IF(H99="","Open","Closed"))</f>
        <v>Closed</v>
      </c>
      <c r="L99" s="27" t="n">
        <f aca="false">IF(A99="","",IF(H99="",AsOf-B99,H99-B99))</f>
        <v>18</v>
      </c>
      <c r="M99" s="27" t="str">
        <f aca="false">IF(A99="","",IF(AND(K99="Open",L99&gt;Target),"Yes","No"))</f>
        <v>No</v>
      </c>
      <c r="N99" s="27" t="str">
        <f aca="false">IF(K99&lt;&gt;"Open","",IF(L99&lt;=30,"0-30",IF(L99&lt;=60,"31-60",IF(L99&lt;=90,"61-90","90+"))))</f>
        <v/>
      </c>
      <c r="O99" s="27" t="str">
        <f aca="false">IF(A99="","",IF(COUNTIFS($D$5:$D$400,D99,$F$5:$F$400,F99,$B$5:$B$400,"&gt;="&amp;(B99-RepeatWin),$B$5:$B$400,"&lt;"&amp;B99)&gt;0,"Yes","No"))</f>
        <v>No</v>
      </c>
      <c r="P99" s="35" t="str">
        <f aca="false">IF(OR(I99="",H99=""),"",H99+CapaDue)</f>
        <v/>
      </c>
      <c r="Q99" s="27" t="str">
        <f aca="false">IF(A99="","",IF(I99="","Not required",IF(J99&lt;&gt;"","Closed",IF(H99="","Awaiting dev. close",IF(AsOf&gt;P99,"Overdue","Open")))))</f>
        <v>Not required</v>
      </c>
      <c r="R99" s="27" t="str">
        <f aca="false">IF(J99="","",IF(COUNTIFS($D$5:$D$400,D99,$F$5:$F$400,F99,$B$5:$B$400,"&gt;"&amp;J99,$B$5:$B$400,"&lt;="&amp;(J99+EffWin))&gt;0,"Ineffective",IF(AsOf-J99&gt;=EffWin,"Effective","Check pending")))</f>
        <v/>
      </c>
      <c r="S99" s="36" t="n">
        <f aca="false">IF(A99="","",DATE(YEAR(B99),MONTH(B99),1))</f>
        <v>46054</v>
      </c>
      <c r="T99" s="36" t="n">
        <f aca="false">IF(H99="","",DATE(YEAR(H99),MONTH(H99),1))</f>
        <v>46082</v>
      </c>
      <c r="U99" s="27" t="str">
        <f aca="false">IF(H99="","",IF(AsOf-H99&lt;=90,L99,""))</f>
        <v/>
      </c>
      <c r="V99" s="27" t="n">
        <f aca="false">IF(H99="","",IF(AND(AsOf-H99&gt;90,AsOf-H99&lt;=270),L99,""))</f>
        <v>18</v>
      </c>
    </row>
    <row r="100" customFormat="false" ht="15" hidden="false" customHeight="false" outlineLevel="0" collapsed="false">
      <c r="A100" s="32" t="s">
        <v>301</v>
      </c>
      <c r="B100" s="34" t="n">
        <v>46071</v>
      </c>
      <c r="C100" s="32" t="s">
        <v>73</v>
      </c>
      <c r="D100" s="32" t="s">
        <v>226</v>
      </c>
      <c r="E100" s="32" t="s">
        <v>61</v>
      </c>
      <c r="F100" s="32" t="s">
        <v>98</v>
      </c>
      <c r="G100" s="32" t="s">
        <v>126</v>
      </c>
      <c r="H100" s="34" t="n">
        <v>46084</v>
      </c>
      <c r="I100" s="32"/>
      <c r="J100" s="34"/>
      <c r="K100" s="27" t="str">
        <f aca="false">IF(A100="","",IF(H100="","Open","Closed"))</f>
        <v>Closed</v>
      </c>
      <c r="L100" s="27" t="n">
        <f aca="false">IF(A100="","",IF(H100="",AsOf-B100,H100-B100))</f>
        <v>13</v>
      </c>
      <c r="M100" s="27" t="str">
        <f aca="false">IF(A100="","",IF(AND(K100="Open",L100&gt;Target),"Yes","No"))</f>
        <v>No</v>
      </c>
      <c r="N100" s="27" t="str">
        <f aca="false">IF(K100&lt;&gt;"Open","",IF(L100&lt;=30,"0-30",IF(L100&lt;=60,"31-60",IF(L100&lt;=90,"61-90","90+"))))</f>
        <v/>
      </c>
      <c r="O100" s="27" t="str">
        <f aca="false">IF(A100="","",IF(COUNTIFS($D$5:$D$400,D100,$F$5:$F$400,F100,$B$5:$B$400,"&gt;="&amp;(B100-RepeatWin),$B$5:$B$400,"&lt;"&amp;B100)&gt;0,"Yes","No"))</f>
        <v>No</v>
      </c>
      <c r="P100" s="35" t="str">
        <f aca="false">IF(OR(I100="",H100=""),"",H100+CapaDue)</f>
        <v/>
      </c>
      <c r="Q100" s="27" t="str">
        <f aca="false">IF(A100="","",IF(I100="","Not required",IF(J100&lt;&gt;"","Closed",IF(H100="","Awaiting dev. close",IF(AsOf&gt;P100,"Overdue","Open")))))</f>
        <v>Not required</v>
      </c>
      <c r="R100" s="27" t="str">
        <f aca="false">IF(J100="","",IF(COUNTIFS($D$5:$D$400,D100,$F$5:$F$400,F100,$B$5:$B$400,"&gt;"&amp;J100,$B$5:$B$400,"&lt;="&amp;(J100+EffWin))&gt;0,"Ineffective",IF(AsOf-J100&gt;=EffWin,"Effective","Check pending")))</f>
        <v/>
      </c>
      <c r="S100" s="36" t="n">
        <f aca="false">IF(A100="","",DATE(YEAR(B100),MONTH(B100),1))</f>
        <v>46054</v>
      </c>
      <c r="T100" s="36" t="n">
        <f aca="false">IF(H100="","",DATE(YEAR(H100),MONTH(H100),1))</f>
        <v>46082</v>
      </c>
      <c r="U100" s="27" t="str">
        <f aca="false">IF(H100="","",IF(AsOf-H100&lt;=90,L100,""))</f>
        <v/>
      </c>
      <c r="V100" s="27" t="n">
        <f aca="false">IF(H100="","",IF(AND(AsOf-H100&gt;90,AsOf-H100&lt;=270),L100,""))</f>
        <v>13</v>
      </c>
    </row>
    <row r="101" customFormat="false" ht="15" hidden="false" customHeight="false" outlineLevel="0" collapsed="false">
      <c r="A101" s="32" t="s">
        <v>302</v>
      </c>
      <c r="B101" s="34" t="n">
        <v>46071</v>
      </c>
      <c r="C101" s="32" t="s">
        <v>81</v>
      </c>
      <c r="D101" s="32" t="s">
        <v>211</v>
      </c>
      <c r="E101" s="32" t="s">
        <v>61</v>
      </c>
      <c r="F101" s="32" t="s">
        <v>95</v>
      </c>
      <c r="G101" s="32" t="s">
        <v>132</v>
      </c>
      <c r="H101" s="34" t="n">
        <v>46091</v>
      </c>
      <c r="I101" s="32"/>
      <c r="J101" s="34"/>
      <c r="K101" s="27" t="str">
        <f aca="false">IF(A101="","",IF(H101="","Open","Closed"))</f>
        <v>Closed</v>
      </c>
      <c r="L101" s="27" t="n">
        <f aca="false">IF(A101="","",IF(H101="",AsOf-B101,H101-B101))</f>
        <v>20</v>
      </c>
      <c r="M101" s="27" t="str">
        <f aca="false">IF(A101="","",IF(AND(K101="Open",L101&gt;Target),"Yes","No"))</f>
        <v>No</v>
      </c>
      <c r="N101" s="27" t="str">
        <f aca="false">IF(K101&lt;&gt;"Open","",IF(L101&lt;=30,"0-30",IF(L101&lt;=60,"31-60",IF(L101&lt;=90,"61-90","90+"))))</f>
        <v/>
      </c>
      <c r="O101" s="27" t="str">
        <f aca="false">IF(A101="","",IF(COUNTIFS($D$5:$D$400,D101,$F$5:$F$400,F101,$B$5:$B$400,"&gt;="&amp;(B101-RepeatWin),$B$5:$B$400,"&lt;"&amp;B101)&gt;0,"Yes","No"))</f>
        <v>No</v>
      </c>
      <c r="P101" s="35" t="str">
        <f aca="false">IF(OR(I101="",H101=""),"",H101+CapaDue)</f>
        <v/>
      </c>
      <c r="Q101" s="27" t="str">
        <f aca="false">IF(A101="","",IF(I101="","Not required",IF(J101&lt;&gt;"","Closed",IF(H101="","Awaiting dev. close",IF(AsOf&gt;P101,"Overdue","Open")))))</f>
        <v>Not required</v>
      </c>
      <c r="R101" s="27" t="str">
        <f aca="false">IF(J101="","",IF(COUNTIFS($D$5:$D$400,D101,$F$5:$F$400,F101,$B$5:$B$400,"&gt;"&amp;J101,$B$5:$B$400,"&lt;="&amp;(J101+EffWin))&gt;0,"Ineffective",IF(AsOf-J101&gt;=EffWin,"Effective","Check pending")))</f>
        <v/>
      </c>
      <c r="S101" s="36" t="n">
        <f aca="false">IF(A101="","",DATE(YEAR(B101),MONTH(B101),1))</f>
        <v>46054</v>
      </c>
      <c r="T101" s="36" t="n">
        <f aca="false">IF(H101="","",DATE(YEAR(H101),MONTH(H101),1))</f>
        <v>46082</v>
      </c>
      <c r="U101" s="27" t="str">
        <f aca="false">IF(H101="","",IF(AsOf-H101&lt;=90,L101,""))</f>
        <v/>
      </c>
      <c r="V101" s="27" t="n">
        <f aca="false">IF(H101="","",IF(AND(AsOf-H101&gt;90,AsOf-H101&lt;=270),L101,""))</f>
        <v>20</v>
      </c>
    </row>
    <row r="102" customFormat="false" ht="15" hidden="false" customHeight="false" outlineLevel="0" collapsed="false">
      <c r="A102" s="32" t="s">
        <v>303</v>
      </c>
      <c r="B102" s="34" t="n">
        <v>46077</v>
      </c>
      <c r="C102" s="32" t="s">
        <v>81</v>
      </c>
      <c r="D102" s="32" t="s">
        <v>240</v>
      </c>
      <c r="E102" s="32" t="s">
        <v>61</v>
      </c>
      <c r="F102" s="32" t="s">
        <v>104</v>
      </c>
      <c r="G102" s="32" t="s">
        <v>132</v>
      </c>
      <c r="H102" s="34" t="n">
        <v>46089</v>
      </c>
      <c r="I102" s="32"/>
      <c r="J102" s="34"/>
      <c r="K102" s="27" t="str">
        <f aca="false">IF(A102="","",IF(H102="","Open","Closed"))</f>
        <v>Closed</v>
      </c>
      <c r="L102" s="27" t="n">
        <f aca="false">IF(A102="","",IF(H102="",AsOf-B102,H102-B102))</f>
        <v>12</v>
      </c>
      <c r="M102" s="27" t="str">
        <f aca="false">IF(A102="","",IF(AND(K102="Open",L102&gt;Target),"Yes","No"))</f>
        <v>No</v>
      </c>
      <c r="N102" s="27" t="str">
        <f aca="false">IF(K102&lt;&gt;"Open","",IF(L102&lt;=30,"0-30",IF(L102&lt;=60,"31-60",IF(L102&lt;=90,"61-90","90+"))))</f>
        <v/>
      </c>
      <c r="O102" s="27" t="str">
        <f aca="false">IF(A102="","",IF(COUNTIFS($D$5:$D$400,D102,$F$5:$F$400,F102,$B$5:$B$400,"&gt;="&amp;(B102-RepeatWin),$B$5:$B$400,"&lt;"&amp;B102)&gt;0,"Yes","No"))</f>
        <v>No</v>
      </c>
      <c r="P102" s="35" t="str">
        <f aca="false">IF(OR(I102="",H102=""),"",H102+CapaDue)</f>
        <v/>
      </c>
      <c r="Q102" s="27" t="str">
        <f aca="false">IF(A102="","",IF(I102="","Not required",IF(J102&lt;&gt;"","Closed",IF(H102="","Awaiting dev. close",IF(AsOf&gt;P102,"Overdue","Open")))))</f>
        <v>Not required</v>
      </c>
      <c r="R102" s="27" t="str">
        <f aca="false">IF(J102="","",IF(COUNTIFS($D$5:$D$400,D102,$F$5:$F$400,F102,$B$5:$B$400,"&gt;"&amp;J102,$B$5:$B$400,"&lt;="&amp;(J102+EffWin))&gt;0,"Ineffective",IF(AsOf-J102&gt;=EffWin,"Effective","Check pending")))</f>
        <v/>
      </c>
      <c r="S102" s="36" t="n">
        <f aca="false">IF(A102="","",DATE(YEAR(B102),MONTH(B102),1))</f>
        <v>46054</v>
      </c>
      <c r="T102" s="36" t="n">
        <f aca="false">IF(H102="","",DATE(YEAR(H102),MONTH(H102),1))</f>
        <v>46082</v>
      </c>
      <c r="U102" s="27" t="str">
        <f aca="false">IF(H102="","",IF(AsOf-H102&lt;=90,L102,""))</f>
        <v/>
      </c>
      <c r="V102" s="27" t="n">
        <f aca="false">IF(H102="","",IF(AND(AsOf-H102&gt;90,AsOf-H102&lt;=270),L102,""))</f>
        <v>12</v>
      </c>
    </row>
    <row r="103" customFormat="false" ht="15" hidden="false" customHeight="false" outlineLevel="0" collapsed="false">
      <c r="A103" s="32" t="s">
        <v>304</v>
      </c>
      <c r="B103" s="34" t="n">
        <v>46077</v>
      </c>
      <c r="C103" s="32" t="s">
        <v>73</v>
      </c>
      <c r="D103" s="32" t="s">
        <v>278</v>
      </c>
      <c r="E103" s="32" t="s">
        <v>61</v>
      </c>
      <c r="F103" s="32" t="s">
        <v>96</v>
      </c>
      <c r="G103" s="32" t="s">
        <v>130</v>
      </c>
      <c r="H103" s="34" t="n">
        <v>46089</v>
      </c>
      <c r="I103" s="32"/>
      <c r="J103" s="34"/>
      <c r="K103" s="27" t="str">
        <f aca="false">IF(A103="","",IF(H103="","Open","Closed"))</f>
        <v>Closed</v>
      </c>
      <c r="L103" s="27" t="n">
        <f aca="false">IF(A103="","",IF(H103="",AsOf-B103,H103-B103))</f>
        <v>12</v>
      </c>
      <c r="M103" s="27" t="str">
        <f aca="false">IF(A103="","",IF(AND(K103="Open",L103&gt;Target),"Yes","No"))</f>
        <v>No</v>
      </c>
      <c r="N103" s="27" t="str">
        <f aca="false">IF(K103&lt;&gt;"Open","",IF(L103&lt;=30,"0-30",IF(L103&lt;=60,"31-60",IF(L103&lt;=90,"61-90","90+"))))</f>
        <v/>
      </c>
      <c r="O103" s="27" t="str">
        <f aca="false">IF(A103="","",IF(COUNTIFS($D$5:$D$400,D103,$F$5:$F$400,F103,$B$5:$B$400,"&gt;="&amp;(B103-RepeatWin),$B$5:$B$400,"&lt;"&amp;B103)&gt;0,"Yes","No"))</f>
        <v>No</v>
      </c>
      <c r="P103" s="35" t="str">
        <f aca="false">IF(OR(I103="",H103=""),"",H103+CapaDue)</f>
        <v/>
      </c>
      <c r="Q103" s="27" t="str">
        <f aca="false">IF(A103="","",IF(I103="","Not required",IF(J103&lt;&gt;"","Closed",IF(H103="","Awaiting dev. close",IF(AsOf&gt;P103,"Overdue","Open")))))</f>
        <v>Not required</v>
      </c>
      <c r="R103" s="27" t="str">
        <f aca="false">IF(J103="","",IF(COUNTIFS($D$5:$D$400,D103,$F$5:$F$400,F103,$B$5:$B$400,"&gt;"&amp;J103,$B$5:$B$400,"&lt;="&amp;(J103+EffWin))&gt;0,"Ineffective",IF(AsOf-J103&gt;=EffWin,"Effective","Check pending")))</f>
        <v/>
      </c>
      <c r="S103" s="36" t="n">
        <f aca="false">IF(A103="","",DATE(YEAR(B103),MONTH(B103),1))</f>
        <v>46054</v>
      </c>
      <c r="T103" s="36" t="n">
        <f aca="false">IF(H103="","",DATE(YEAR(H103),MONTH(H103),1))</f>
        <v>46082</v>
      </c>
      <c r="U103" s="27" t="str">
        <f aca="false">IF(H103="","",IF(AsOf-H103&lt;=90,L103,""))</f>
        <v/>
      </c>
      <c r="V103" s="27" t="n">
        <f aca="false">IF(H103="","",IF(AND(AsOf-H103&gt;90,AsOf-H103&lt;=270),L103,""))</f>
        <v>12</v>
      </c>
    </row>
    <row r="104" customFormat="false" ht="15" hidden="false" customHeight="false" outlineLevel="0" collapsed="false">
      <c r="A104" s="32" t="s">
        <v>305</v>
      </c>
      <c r="B104" s="34" t="n">
        <v>46080</v>
      </c>
      <c r="C104" s="32" t="s">
        <v>75</v>
      </c>
      <c r="D104" s="32" t="s">
        <v>208</v>
      </c>
      <c r="E104" s="32" t="s">
        <v>61</v>
      </c>
      <c r="F104" s="32" t="s">
        <v>94</v>
      </c>
      <c r="G104" s="32" t="s">
        <v>132</v>
      </c>
      <c r="H104" s="34" t="n">
        <v>46096</v>
      </c>
      <c r="I104" s="32"/>
      <c r="J104" s="34"/>
      <c r="K104" s="27" t="str">
        <f aca="false">IF(A104="","",IF(H104="","Open","Closed"))</f>
        <v>Closed</v>
      </c>
      <c r="L104" s="27" t="n">
        <f aca="false">IF(A104="","",IF(H104="",AsOf-B104,H104-B104))</f>
        <v>16</v>
      </c>
      <c r="M104" s="27" t="str">
        <f aca="false">IF(A104="","",IF(AND(K104="Open",L104&gt;Target),"Yes","No"))</f>
        <v>No</v>
      </c>
      <c r="N104" s="27" t="str">
        <f aca="false">IF(K104&lt;&gt;"Open","",IF(L104&lt;=30,"0-30",IF(L104&lt;=60,"31-60",IF(L104&lt;=90,"61-90","90+"))))</f>
        <v/>
      </c>
      <c r="O104" s="27" t="str">
        <f aca="false">IF(A104="","",IF(COUNTIFS($D$5:$D$400,D104,$F$5:$F$400,F104,$B$5:$B$400,"&gt;="&amp;(B104-RepeatWin),$B$5:$B$400,"&lt;"&amp;B104)&gt;0,"Yes","No"))</f>
        <v>No</v>
      </c>
      <c r="P104" s="35" t="str">
        <f aca="false">IF(OR(I104="",H104=""),"",H104+CapaDue)</f>
        <v/>
      </c>
      <c r="Q104" s="27" t="str">
        <f aca="false">IF(A104="","",IF(I104="","Not required",IF(J104&lt;&gt;"","Closed",IF(H104="","Awaiting dev. close",IF(AsOf&gt;P104,"Overdue","Open")))))</f>
        <v>Not required</v>
      </c>
      <c r="R104" s="27" t="str">
        <f aca="false">IF(J104="","",IF(COUNTIFS($D$5:$D$400,D104,$F$5:$F$400,F104,$B$5:$B$400,"&gt;"&amp;J104,$B$5:$B$400,"&lt;="&amp;(J104+EffWin))&gt;0,"Ineffective",IF(AsOf-J104&gt;=EffWin,"Effective","Check pending")))</f>
        <v/>
      </c>
      <c r="S104" s="36" t="n">
        <f aca="false">IF(A104="","",DATE(YEAR(B104),MONTH(B104),1))</f>
        <v>46054</v>
      </c>
      <c r="T104" s="36" t="n">
        <f aca="false">IF(H104="","",DATE(YEAR(H104),MONTH(H104),1))</f>
        <v>46082</v>
      </c>
      <c r="U104" s="27" t="str">
        <f aca="false">IF(H104="","",IF(AsOf-H104&lt;=90,L104,""))</f>
        <v/>
      </c>
      <c r="V104" s="27" t="n">
        <f aca="false">IF(H104="","",IF(AND(AsOf-H104&gt;90,AsOf-H104&lt;=270),L104,""))</f>
        <v>16</v>
      </c>
    </row>
    <row r="105" customFormat="false" ht="15" hidden="false" customHeight="false" outlineLevel="0" collapsed="false">
      <c r="A105" s="32" t="s">
        <v>306</v>
      </c>
      <c r="B105" s="34" t="n">
        <v>46080</v>
      </c>
      <c r="C105" s="32" t="s">
        <v>75</v>
      </c>
      <c r="D105" s="32" t="s">
        <v>161</v>
      </c>
      <c r="E105" s="32" t="s">
        <v>61</v>
      </c>
      <c r="F105" s="32" t="s">
        <v>103</v>
      </c>
      <c r="G105" s="32" t="s">
        <v>128</v>
      </c>
      <c r="H105" s="34" t="n">
        <v>46095</v>
      </c>
      <c r="I105" s="32"/>
      <c r="J105" s="34"/>
      <c r="K105" s="27" t="str">
        <f aca="false">IF(A105="","",IF(H105="","Open","Closed"))</f>
        <v>Closed</v>
      </c>
      <c r="L105" s="27" t="n">
        <f aca="false">IF(A105="","",IF(H105="",AsOf-B105,H105-B105))</f>
        <v>15</v>
      </c>
      <c r="M105" s="27" t="str">
        <f aca="false">IF(A105="","",IF(AND(K105="Open",L105&gt;Target),"Yes","No"))</f>
        <v>No</v>
      </c>
      <c r="N105" s="27" t="str">
        <f aca="false">IF(K105&lt;&gt;"Open","",IF(L105&lt;=30,"0-30",IF(L105&lt;=60,"31-60",IF(L105&lt;=90,"61-90","90+"))))</f>
        <v/>
      </c>
      <c r="O105" s="27" t="str">
        <f aca="false">IF(A105="","",IF(COUNTIFS($D$5:$D$400,D105,$F$5:$F$400,F105,$B$5:$B$400,"&gt;="&amp;(B105-RepeatWin),$B$5:$B$400,"&lt;"&amp;B105)&gt;0,"Yes","No"))</f>
        <v>No</v>
      </c>
      <c r="P105" s="35" t="str">
        <f aca="false">IF(OR(I105="",H105=""),"",H105+CapaDue)</f>
        <v/>
      </c>
      <c r="Q105" s="27" t="str">
        <f aca="false">IF(A105="","",IF(I105="","Not required",IF(J105&lt;&gt;"","Closed",IF(H105="","Awaiting dev. close",IF(AsOf&gt;P105,"Overdue","Open")))))</f>
        <v>Not required</v>
      </c>
      <c r="R105" s="27" t="str">
        <f aca="false">IF(J105="","",IF(COUNTIFS($D$5:$D$400,D105,$F$5:$F$400,F105,$B$5:$B$400,"&gt;"&amp;J105,$B$5:$B$400,"&lt;="&amp;(J105+EffWin))&gt;0,"Ineffective",IF(AsOf-J105&gt;=EffWin,"Effective","Check pending")))</f>
        <v/>
      </c>
      <c r="S105" s="36" t="n">
        <f aca="false">IF(A105="","",DATE(YEAR(B105),MONTH(B105),1))</f>
        <v>46054</v>
      </c>
      <c r="T105" s="36" t="n">
        <f aca="false">IF(H105="","",DATE(YEAR(H105),MONTH(H105),1))</f>
        <v>46082</v>
      </c>
      <c r="U105" s="27" t="str">
        <f aca="false">IF(H105="","",IF(AsOf-H105&lt;=90,L105,""))</f>
        <v/>
      </c>
      <c r="V105" s="27" t="n">
        <f aca="false">IF(H105="","",IF(AND(AsOf-H105&gt;90,AsOf-H105&lt;=270),L105,""))</f>
        <v>15</v>
      </c>
    </row>
    <row r="106" customFormat="false" ht="15" hidden="false" customHeight="false" outlineLevel="0" collapsed="false">
      <c r="A106" s="32" t="s">
        <v>307</v>
      </c>
      <c r="B106" s="34" t="n">
        <v>46085</v>
      </c>
      <c r="C106" s="32" t="s">
        <v>75</v>
      </c>
      <c r="D106" s="32" t="s">
        <v>153</v>
      </c>
      <c r="E106" s="32" t="s">
        <v>61</v>
      </c>
      <c r="F106" s="32" t="s">
        <v>102</v>
      </c>
      <c r="G106" s="32" t="s">
        <v>132</v>
      </c>
      <c r="H106" s="34" t="n">
        <v>46103</v>
      </c>
      <c r="I106" s="32"/>
      <c r="J106" s="34"/>
      <c r="K106" s="27" t="str">
        <f aca="false">IF(A106="","",IF(H106="","Open","Closed"))</f>
        <v>Closed</v>
      </c>
      <c r="L106" s="27" t="n">
        <f aca="false">IF(A106="","",IF(H106="",AsOf-B106,H106-B106))</f>
        <v>18</v>
      </c>
      <c r="M106" s="27" t="str">
        <f aca="false">IF(A106="","",IF(AND(K106="Open",L106&gt;Target),"Yes","No"))</f>
        <v>No</v>
      </c>
      <c r="N106" s="27" t="str">
        <f aca="false">IF(K106&lt;&gt;"Open","",IF(L106&lt;=30,"0-30",IF(L106&lt;=60,"31-60",IF(L106&lt;=90,"61-90","90+"))))</f>
        <v/>
      </c>
      <c r="O106" s="27" t="str">
        <f aca="false">IF(A106="","",IF(COUNTIFS($D$5:$D$400,D106,$F$5:$F$400,F106,$B$5:$B$400,"&gt;="&amp;(B106-RepeatWin),$B$5:$B$400,"&lt;"&amp;B106)&gt;0,"Yes","No"))</f>
        <v>No</v>
      </c>
      <c r="P106" s="35" t="str">
        <f aca="false">IF(OR(I106="",H106=""),"",H106+CapaDue)</f>
        <v/>
      </c>
      <c r="Q106" s="27" t="str">
        <f aca="false">IF(A106="","",IF(I106="","Not required",IF(J106&lt;&gt;"","Closed",IF(H106="","Awaiting dev. close",IF(AsOf&gt;P106,"Overdue","Open")))))</f>
        <v>Not required</v>
      </c>
      <c r="R106" s="27" t="str">
        <f aca="false">IF(J106="","",IF(COUNTIFS($D$5:$D$400,D106,$F$5:$F$400,F106,$B$5:$B$400,"&gt;"&amp;J106,$B$5:$B$400,"&lt;="&amp;(J106+EffWin))&gt;0,"Ineffective",IF(AsOf-J106&gt;=EffWin,"Effective","Check pending")))</f>
        <v/>
      </c>
      <c r="S106" s="36" t="n">
        <f aca="false">IF(A106="","",DATE(YEAR(B106),MONTH(B106),1))</f>
        <v>46082</v>
      </c>
      <c r="T106" s="36" t="n">
        <f aca="false">IF(H106="","",DATE(YEAR(H106),MONTH(H106),1))</f>
        <v>46082</v>
      </c>
      <c r="U106" s="27" t="str">
        <f aca="false">IF(H106="","",IF(AsOf-H106&lt;=90,L106,""))</f>
        <v/>
      </c>
      <c r="V106" s="27" t="n">
        <f aca="false">IF(H106="","",IF(AND(AsOf-H106&gt;90,AsOf-H106&lt;=270),L106,""))</f>
        <v>18</v>
      </c>
    </row>
    <row r="107" customFormat="false" ht="15" hidden="false" customHeight="false" outlineLevel="0" collapsed="false">
      <c r="A107" s="32" t="s">
        <v>308</v>
      </c>
      <c r="B107" s="34" t="n">
        <v>46086</v>
      </c>
      <c r="C107" s="32" t="s">
        <v>75</v>
      </c>
      <c r="D107" s="32" t="s">
        <v>188</v>
      </c>
      <c r="E107" s="32" t="s">
        <v>61</v>
      </c>
      <c r="F107" s="32" t="s">
        <v>103</v>
      </c>
      <c r="G107" s="32" t="s">
        <v>129</v>
      </c>
      <c r="H107" s="34" t="n">
        <v>46099</v>
      </c>
      <c r="I107" s="32"/>
      <c r="J107" s="34"/>
      <c r="K107" s="27" t="str">
        <f aca="false">IF(A107="","",IF(H107="","Open","Closed"))</f>
        <v>Closed</v>
      </c>
      <c r="L107" s="27" t="n">
        <f aca="false">IF(A107="","",IF(H107="",AsOf-B107,H107-B107))</f>
        <v>13</v>
      </c>
      <c r="M107" s="27" t="str">
        <f aca="false">IF(A107="","",IF(AND(K107="Open",L107&gt;Target),"Yes","No"))</f>
        <v>No</v>
      </c>
      <c r="N107" s="27" t="str">
        <f aca="false">IF(K107&lt;&gt;"Open","",IF(L107&lt;=30,"0-30",IF(L107&lt;=60,"31-60",IF(L107&lt;=90,"61-90","90+"))))</f>
        <v/>
      </c>
      <c r="O107" s="27" t="str">
        <f aca="false">IF(A107="","",IF(COUNTIFS($D$5:$D$400,D107,$F$5:$F$400,F107,$B$5:$B$400,"&gt;="&amp;(B107-RepeatWin),$B$5:$B$400,"&lt;"&amp;B107)&gt;0,"Yes","No"))</f>
        <v>No</v>
      </c>
      <c r="P107" s="35" t="str">
        <f aca="false">IF(OR(I107="",H107=""),"",H107+CapaDue)</f>
        <v/>
      </c>
      <c r="Q107" s="27" t="str">
        <f aca="false">IF(A107="","",IF(I107="","Not required",IF(J107&lt;&gt;"","Closed",IF(H107="","Awaiting dev. close",IF(AsOf&gt;P107,"Overdue","Open")))))</f>
        <v>Not required</v>
      </c>
      <c r="R107" s="27" t="str">
        <f aca="false">IF(J107="","",IF(COUNTIFS($D$5:$D$400,D107,$F$5:$F$400,F107,$B$5:$B$400,"&gt;"&amp;J107,$B$5:$B$400,"&lt;="&amp;(J107+EffWin))&gt;0,"Ineffective",IF(AsOf-J107&gt;=EffWin,"Effective","Check pending")))</f>
        <v/>
      </c>
      <c r="S107" s="36" t="n">
        <f aca="false">IF(A107="","",DATE(YEAR(B107),MONTH(B107),1))</f>
        <v>46082</v>
      </c>
      <c r="T107" s="36" t="n">
        <f aca="false">IF(H107="","",DATE(YEAR(H107),MONTH(H107),1))</f>
        <v>46082</v>
      </c>
      <c r="U107" s="27" t="str">
        <f aca="false">IF(H107="","",IF(AsOf-H107&lt;=90,L107,""))</f>
        <v/>
      </c>
      <c r="V107" s="27" t="n">
        <f aca="false">IF(H107="","",IF(AND(AsOf-H107&gt;90,AsOf-H107&lt;=270),L107,""))</f>
        <v>13</v>
      </c>
    </row>
    <row r="108" customFormat="false" ht="15" hidden="false" customHeight="false" outlineLevel="0" collapsed="false">
      <c r="A108" s="32" t="s">
        <v>309</v>
      </c>
      <c r="B108" s="34" t="n">
        <v>46087</v>
      </c>
      <c r="C108" s="32" t="s">
        <v>73</v>
      </c>
      <c r="D108" s="32" t="s">
        <v>180</v>
      </c>
      <c r="E108" s="32" t="s">
        <v>59</v>
      </c>
      <c r="F108" s="32" t="s">
        <v>95</v>
      </c>
      <c r="G108" s="32" t="s">
        <v>131</v>
      </c>
      <c r="H108" s="34" t="n">
        <v>46117</v>
      </c>
      <c r="I108" s="32" t="s">
        <v>310</v>
      </c>
      <c r="J108" s="34" t="n">
        <v>46197</v>
      </c>
      <c r="K108" s="27" t="str">
        <f aca="false">IF(A108="","",IF(H108="","Open","Closed"))</f>
        <v>Closed</v>
      </c>
      <c r="L108" s="27" t="n">
        <f aca="false">IF(A108="","",IF(H108="",AsOf-B108,H108-B108))</f>
        <v>30</v>
      </c>
      <c r="M108" s="27" t="str">
        <f aca="false">IF(A108="","",IF(AND(K108="Open",L108&gt;Target),"Yes","No"))</f>
        <v>No</v>
      </c>
      <c r="N108" s="27" t="str">
        <f aca="false">IF(K108&lt;&gt;"Open","",IF(L108&lt;=30,"0-30",IF(L108&lt;=60,"31-60",IF(L108&lt;=90,"61-90","90+"))))</f>
        <v/>
      </c>
      <c r="O108" s="27" t="str">
        <f aca="false">IF(A108="","",IF(COUNTIFS($D$5:$D$400,D108,$F$5:$F$400,F108,$B$5:$B$400,"&gt;="&amp;(B108-RepeatWin),$B$5:$B$400,"&lt;"&amp;B108)&gt;0,"Yes","No"))</f>
        <v>No</v>
      </c>
      <c r="P108" s="35" t="n">
        <f aca="false">IF(OR(I108="",H108=""),"",H108+CapaDue)</f>
        <v>46207</v>
      </c>
      <c r="Q108" s="27" t="str">
        <f aca="false">IF(A108="","",IF(I108="","Not required",IF(J108&lt;&gt;"","Closed",IF(H108="","Awaiting dev. close",IF(AsOf&gt;P108,"Overdue","Open")))))</f>
        <v>Closed</v>
      </c>
      <c r="R108" s="27" t="str">
        <f aca="false">IF(J108="","",IF(COUNTIFS($D$5:$D$400,D108,$F$5:$F$400,F108,$B$5:$B$400,"&gt;"&amp;J108,$B$5:$B$400,"&lt;="&amp;(J108+EffWin))&gt;0,"Ineffective",IF(AsOf-J108&gt;=EffWin,"Effective","Check pending")))</f>
        <v>Check pending</v>
      </c>
      <c r="S108" s="36" t="n">
        <f aca="false">IF(A108="","",DATE(YEAR(B108),MONTH(B108),1))</f>
        <v>46082</v>
      </c>
      <c r="T108" s="36" t="n">
        <f aca="false">IF(H108="","",DATE(YEAR(H108),MONTH(H108),1))</f>
        <v>46113</v>
      </c>
      <c r="U108" s="27" t="str">
        <f aca="false">IF(H108="","",IF(AsOf-H108&lt;=90,L108,""))</f>
        <v/>
      </c>
      <c r="V108" s="27" t="n">
        <f aca="false">IF(H108="","",IF(AND(AsOf-H108&gt;90,AsOf-H108&lt;=270),L108,""))</f>
        <v>30</v>
      </c>
    </row>
    <row r="109" customFormat="false" ht="15" hidden="false" customHeight="false" outlineLevel="0" collapsed="false">
      <c r="A109" s="32" t="s">
        <v>311</v>
      </c>
      <c r="B109" s="34" t="n">
        <v>46090</v>
      </c>
      <c r="C109" s="32" t="s">
        <v>73</v>
      </c>
      <c r="D109" s="32" t="s">
        <v>278</v>
      </c>
      <c r="E109" s="32" t="s">
        <v>61</v>
      </c>
      <c r="F109" s="32" t="s">
        <v>97</v>
      </c>
      <c r="G109" s="32" t="s">
        <v>130</v>
      </c>
      <c r="H109" s="34" t="n">
        <v>46105</v>
      </c>
      <c r="I109" s="32"/>
      <c r="J109" s="34"/>
      <c r="K109" s="27" t="str">
        <f aca="false">IF(A109="","",IF(H109="","Open","Closed"))</f>
        <v>Closed</v>
      </c>
      <c r="L109" s="27" t="n">
        <f aca="false">IF(A109="","",IF(H109="",AsOf-B109,H109-B109))</f>
        <v>15</v>
      </c>
      <c r="M109" s="27" t="str">
        <f aca="false">IF(A109="","",IF(AND(K109="Open",L109&gt;Target),"Yes","No"))</f>
        <v>No</v>
      </c>
      <c r="N109" s="27" t="str">
        <f aca="false">IF(K109&lt;&gt;"Open","",IF(L109&lt;=30,"0-30",IF(L109&lt;=60,"31-60",IF(L109&lt;=90,"61-90","90+"))))</f>
        <v/>
      </c>
      <c r="O109" s="27" t="str">
        <f aca="false">IF(A109="","",IF(COUNTIFS($D$5:$D$400,D109,$F$5:$F$400,F109,$B$5:$B$400,"&gt;="&amp;(B109-RepeatWin),$B$5:$B$400,"&lt;"&amp;B109)&gt;0,"Yes","No"))</f>
        <v>No</v>
      </c>
      <c r="P109" s="35" t="str">
        <f aca="false">IF(OR(I109="",H109=""),"",H109+CapaDue)</f>
        <v/>
      </c>
      <c r="Q109" s="27" t="str">
        <f aca="false">IF(A109="","",IF(I109="","Not required",IF(J109&lt;&gt;"","Closed",IF(H109="","Awaiting dev. close",IF(AsOf&gt;P109,"Overdue","Open")))))</f>
        <v>Not required</v>
      </c>
      <c r="R109" s="27" t="str">
        <f aca="false">IF(J109="","",IF(COUNTIFS($D$5:$D$400,D109,$F$5:$F$400,F109,$B$5:$B$400,"&gt;"&amp;J109,$B$5:$B$400,"&lt;="&amp;(J109+EffWin))&gt;0,"Ineffective",IF(AsOf-J109&gt;=EffWin,"Effective","Check pending")))</f>
        <v/>
      </c>
      <c r="S109" s="36" t="n">
        <f aca="false">IF(A109="","",DATE(YEAR(B109),MONTH(B109),1))</f>
        <v>46082</v>
      </c>
      <c r="T109" s="36" t="n">
        <f aca="false">IF(H109="","",DATE(YEAR(H109),MONTH(H109),1))</f>
        <v>46082</v>
      </c>
      <c r="U109" s="27" t="str">
        <f aca="false">IF(H109="","",IF(AsOf-H109&lt;=90,L109,""))</f>
        <v/>
      </c>
      <c r="V109" s="27" t="n">
        <f aca="false">IF(H109="","",IF(AND(AsOf-H109&gt;90,AsOf-H109&lt;=270),L109,""))</f>
        <v>15</v>
      </c>
    </row>
    <row r="110" customFormat="false" ht="15" hidden="false" customHeight="false" outlineLevel="0" collapsed="false">
      <c r="A110" s="32" t="s">
        <v>312</v>
      </c>
      <c r="B110" s="34" t="n">
        <v>46090</v>
      </c>
      <c r="C110" s="32" t="s">
        <v>75</v>
      </c>
      <c r="D110" s="32" t="s">
        <v>274</v>
      </c>
      <c r="E110" s="32" t="s">
        <v>61</v>
      </c>
      <c r="F110" s="32" t="s">
        <v>94</v>
      </c>
      <c r="G110" s="32" t="s">
        <v>132</v>
      </c>
      <c r="H110" s="34" t="n">
        <v>46107</v>
      </c>
      <c r="I110" s="32"/>
      <c r="J110" s="34"/>
      <c r="K110" s="27" t="str">
        <f aca="false">IF(A110="","",IF(H110="","Open","Closed"))</f>
        <v>Closed</v>
      </c>
      <c r="L110" s="27" t="n">
        <f aca="false">IF(A110="","",IF(H110="",AsOf-B110,H110-B110))</f>
        <v>17</v>
      </c>
      <c r="M110" s="27" t="str">
        <f aca="false">IF(A110="","",IF(AND(K110="Open",L110&gt;Target),"Yes","No"))</f>
        <v>No</v>
      </c>
      <c r="N110" s="27" t="str">
        <f aca="false">IF(K110&lt;&gt;"Open","",IF(L110&lt;=30,"0-30",IF(L110&lt;=60,"31-60",IF(L110&lt;=90,"61-90","90+"))))</f>
        <v/>
      </c>
      <c r="O110" s="27" t="str">
        <f aca="false">IF(A110="","",IF(COUNTIFS($D$5:$D$400,D110,$F$5:$F$400,F110,$B$5:$B$400,"&gt;="&amp;(B110-RepeatWin),$B$5:$B$400,"&lt;"&amp;B110)&gt;0,"Yes","No"))</f>
        <v>No</v>
      </c>
      <c r="P110" s="35" t="str">
        <f aca="false">IF(OR(I110="",H110=""),"",H110+CapaDue)</f>
        <v/>
      </c>
      <c r="Q110" s="27" t="str">
        <f aca="false">IF(A110="","",IF(I110="","Not required",IF(J110&lt;&gt;"","Closed",IF(H110="","Awaiting dev. close",IF(AsOf&gt;P110,"Overdue","Open")))))</f>
        <v>Not required</v>
      </c>
      <c r="R110" s="27" t="str">
        <f aca="false">IF(J110="","",IF(COUNTIFS($D$5:$D$400,D110,$F$5:$F$400,F110,$B$5:$B$400,"&gt;"&amp;J110,$B$5:$B$400,"&lt;="&amp;(J110+EffWin))&gt;0,"Ineffective",IF(AsOf-J110&gt;=EffWin,"Effective","Check pending")))</f>
        <v/>
      </c>
      <c r="S110" s="36" t="n">
        <f aca="false">IF(A110="","",DATE(YEAR(B110),MONTH(B110),1))</f>
        <v>46082</v>
      </c>
      <c r="T110" s="36" t="n">
        <f aca="false">IF(H110="","",DATE(YEAR(H110),MONTH(H110),1))</f>
        <v>46082</v>
      </c>
      <c r="U110" s="27" t="str">
        <f aca="false">IF(H110="","",IF(AsOf-H110&lt;=90,L110,""))</f>
        <v/>
      </c>
      <c r="V110" s="27" t="n">
        <f aca="false">IF(H110="","",IF(AND(AsOf-H110&gt;90,AsOf-H110&lt;=270),L110,""))</f>
        <v>17</v>
      </c>
    </row>
    <row r="111" customFormat="false" ht="15" hidden="false" customHeight="false" outlineLevel="0" collapsed="false">
      <c r="A111" s="32" t="s">
        <v>313</v>
      </c>
      <c r="B111" s="34" t="n">
        <v>46092</v>
      </c>
      <c r="C111" s="32" t="s">
        <v>77</v>
      </c>
      <c r="D111" s="32" t="s">
        <v>314</v>
      </c>
      <c r="E111" s="32" t="s">
        <v>59</v>
      </c>
      <c r="F111" s="32" t="s">
        <v>94</v>
      </c>
      <c r="G111" s="32" t="s">
        <v>132</v>
      </c>
      <c r="H111" s="34" t="n">
        <v>46107</v>
      </c>
      <c r="I111" s="32" t="s">
        <v>315</v>
      </c>
      <c r="J111" s="34" t="n">
        <v>46183</v>
      </c>
      <c r="K111" s="27" t="str">
        <f aca="false">IF(A111="","",IF(H111="","Open","Closed"))</f>
        <v>Closed</v>
      </c>
      <c r="L111" s="27" t="n">
        <f aca="false">IF(A111="","",IF(H111="",AsOf-B111,H111-B111))</f>
        <v>15</v>
      </c>
      <c r="M111" s="27" t="str">
        <f aca="false">IF(A111="","",IF(AND(K111="Open",L111&gt;Target),"Yes","No"))</f>
        <v>No</v>
      </c>
      <c r="N111" s="27" t="str">
        <f aca="false">IF(K111&lt;&gt;"Open","",IF(L111&lt;=30,"0-30",IF(L111&lt;=60,"31-60",IF(L111&lt;=90,"61-90","90+"))))</f>
        <v/>
      </c>
      <c r="O111" s="27" t="str">
        <f aca="false">IF(A111="","",IF(COUNTIFS($D$5:$D$400,D111,$F$5:$F$400,F111,$B$5:$B$400,"&gt;="&amp;(B111-RepeatWin),$B$5:$B$400,"&lt;"&amp;B111)&gt;0,"Yes","No"))</f>
        <v>No</v>
      </c>
      <c r="P111" s="35" t="n">
        <f aca="false">IF(OR(I111="",H111=""),"",H111+CapaDue)</f>
        <v>46197</v>
      </c>
      <c r="Q111" s="27" t="str">
        <f aca="false">IF(A111="","",IF(I111="","Not required",IF(J111&lt;&gt;"","Closed",IF(H111="","Awaiting dev. close",IF(AsOf&gt;P111,"Overdue","Open")))))</f>
        <v>Closed</v>
      </c>
      <c r="R111" s="27" t="str">
        <f aca="false">IF(J111="","",IF(COUNTIFS($D$5:$D$400,D111,$F$5:$F$400,F111,$B$5:$B$400,"&gt;"&amp;J111,$B$5:$B$400,"&lt;="&amp;(J111+EffWin))&gt;0,"Ineffective",IF(AsOf-J111&gt;=EffWin,"Effective","Check pending")))</f>
        <v>Check pending</v>
      </c>
      <c r="S111" s="36" t="n">
        <f aca="false">IF(A111="","",DATE(YEAR(B111),MONTH(B111),1))</f>
        <v>46082</v>
      </c>
      <c r="T111" s="36" t="n">
        <f aca="false">IF(H111="","",DATE(YEAR(H111),MONTH(H111),1))</f>
        <v>46082</v>
      </c>
      <c r="U111" s="27" t="str">
        <f aca="false">IF(H111="","",IF(AsOf-H111&lt;=90,L111,""))</f>
        <v/>
      </c>
      <c r="V111" s="27" t="n">
        <f aca="false">IF(H111="","",IF(AND(AsOf-H111&gt;90,AsOf-H111&lt;=270),L111,""))</f>
        <v>15</v>
      </c>
    </row>
    <row r="112" customFormat="false" ht="15" hidden="false" customHeight="false" outlineLevel="0" collapsed="false">
      <c r="A112" s="32" t="s">
        <v>316</v>
      </c>
      <c r="B112" s="34" t="n">
        <v>46107</v>
      </c>
      <c r="C112" s="32" t="s">
        <v>79</v>
      </c>
      <c r="D112" s="32" t="s">
        <v>166</v>
      </c>
      <c r="E112" s="32" t="s">
        <v>59</v>
      </c>
      <c r="F112" s="32" t="s">
        <v>94</v>
      </c>
      <c r="G112" s="32" t="s">
        <v>129</v>
      </c>
      <c r="H112" s="34" t="n">
        <v>46130</v>
      </c>
      <c r="I112" s="32" t="s">
        <v>317</v>
      </c>
      <c r="J112" s="34" t="n">
        <v>46183</v>
      </c>
      <c r="K112" s="27" t="str">
        <f aca="false">IF(A112="","",IF(H112="","Open","Closed"))</f>
        <v>Closed</v>
      </c>
      <c r="L112" s="27" t="n">
        <f aca="false">IF(A112="","",IF(H112="",AsOf-B112,H112-B112))</f>
        <v>23</v>
      </c>
      <c r="M112" s="27" t="str">
        <f aca="false">IF(A112="","",IF(AND(K112="Open",L112&gt;Target),"Yes","No"))</f>
        <v>No</v>
      </c>
      <c r="N112" s="27" t="str">
        <f aca="false">IF(K112&lt;&gt;"Open","",IF(L112&lt;=30,"0-30",IF(L112&lt;=60,"31-60",IF(L112&lt;=90,"61-90","90+"))))</f>
        <v/>
      </c>
      <c r="O112" s="27" t="str">
        <f aca="false">IF(A112="","",IF(COUNTIFS($D$5:$D$400,D112,$F$5:$F$400,F112,$B$5:$B$400,"&gt;="&amp;(B112-RepeatWin),$B$5:$B$400,"&lt;"&amp;B112)&gt;0,"Yes","No"))</f>
        <v>No</v>
      </c>
      <c r="P112" s="35" t="n">
        <f aca="false">IF(OR(I112="",H112=""),"",H112+CapaDue)</f>
        <v>46220</v>
      </c>
      <c r="Q112" s="27" t="str">
        <f aca="false">IF(A112="","",IF(I112="","Not required",IF(J112&lt;&gt;"","Closed",IF(H112="","Awaiting dev. close",IF(AsOf&gt;P112,"Overdue","Open")))))</f>
        <v>Closed</v>
      </c>
      <c r="R112" s="27" t="str">
        <f aca="false">IF(J112="","",IF(COUNTIFS($D$5:$D$400,D112,$F$5:$F$400,F112,$B$5:$B$400,"&gt;"&amp;J112,$B$5:$B$400,"&lt;="&amp;(J112+EffWin))&gt;0,"Ineffective",IF(AsOf-J112&gt;=EffWin,"Effective","Check pending")))</f>
        <v>Check pending</v>
      </c>
      <c r="S112" s="36" t="n">
        <f aca="false">IF(A112="","",DATE(YEAR(B112),MONTH(B112),1))</f>
        <v>46082</v>
      </c>
      <c r="T112" s="36" t="n">
        <f aca="false">IF(H112="","",DATE(YEAR(H112),MONTH(H112),1))</f>
        <v>46113</v>
      </c>
      <c r="U112" s="27" t="str">
        <f aca="false">IF(H112="","",IF(AsOf-H112&lt;=90,L112,""))</f>
        <v/>
      </c>
      <c r="V112" s="27" t="n">
        <f aca="false">IF(H112="","",IF(AND(AsOf-H112&gt;90,AsOf-H112&lt;=270),L112,""))</f>
        <v>23</v>
      </c>
    </row>
    <row r="113" customFormat="false" ht="15" hidden="false" customHeight="false" outlineLevel="0" collapsed="false">
      <c r="A113" s="32" t="s">
        <v>318</v>
      </c>
      <c r="B113" s="34" t="n">
        <v>46110</v>
      </c>
      <c r="C113" s="32" t="s">
        <v>80</v>
      </c>
      <c r="D113" s="32" t="s">
        <v>201</v>
      </c>
      <c r="E113" s="32" t="s">
        <v>61</v>
      </c>
      <c r="F113" s="32" t="s">
        <v>105</v>
      </c>
      <c r="G113" s="32" t="s">
        <v>132</v>
      </c>
      <c r="H113" s="34" t="n">
        <v>46125</v>
      </c>
      <c r="I113" s="32"/>
      <c r="J113" s="34"/>
      <c r="K113" s="27" t="str">
        <f aca="false">IF(A113="","",IF(H113="","Open","Closed"))</f>
        <v>Closed</v>
      </c>
      <c r="L113" s="27" t="n">
        <f aca="false">IF(A113="","",IF(H113="",AsOf-B113,H113-B113))</f>
        <v>15</v>
      </c>
      <c r="M113" s="27" t="str">
        <f aca="false">IF(A113="","",IF(AND(K113="Open",L113&gt;Target),"Yes","No"))</f>
        <v>No</v>
      </c>
      <c r="N113" s="27" t="str">
        <f aca="false">IF(K113&lt;&gt;"Open","",IF(L113&lt;=30,"0-30",IF(L113&lt;=60,"31-60",IF(L113&lt;=90,"61-90","90+"))))</f>
        <v/>
      </c>
      <c r="O113" s="27" t="str">
        <f aca="false">IF(A113="","",IF(COUNTIFS($D$5:$D$400,D113,$F$5:$F$400,F113,$B$5:$B$400,"&gt;="&amp;(B113-RepeatWin),$B$5:$B$400,"&lt;"&amp;B113)&gt;0,"Yes","No"))</f>
        <v>No</v>
      </c>
      <c r="P113" s="35" t="str">
        <f aca="false">IF(OR(I113="",H113=""),"",H113+CapaDue)</f>
        <v/>
      </c>
      <c r="Q113" s="27" t="str">
        <f aca="false">IF(A113="","",IF(I113="","Not required",IF(J113&lt;&gt;"","Closed",IF(H113="","Awaiting dev. close",IF(AsOf&gt;P113,"Overdue","Open")))))</f>
        <v>Not required</v>
      </c>
      <c r="R113" s="27" t="str">
        <f aca="false">IF(J113="","",IF(COUNTIFS($D$5:$D$400,D113,$F$5:$F$400,F113,$B$5:$B$400,"&gt;"&amp;J113,$B$5:$B$400,"&lt;="&amp;(J113+EffWin))&gt;0,"Ineffective",IF(AsOf-J113&gt;=EffWin,"Effective","Check pending")))</f>
        <v/>
      </c>
      <c r="S113" s="36" t="n">
        <f aca="false">IF(A113="","",DATE(YEAR(B113),MONTH(B113),1))</f>
        <v>46082</v>
      </c>
      <c r="T113" s="36" t="n">
        <f aca="false">IF(H113="","",DATE(YEAR(H113),MONTH(H113),1))</f>
        <v>46113</v>
      </c>
      <c r="U113" s="27" t="str">
        <f aca="false">IF(H113="","",IF(AsOf-H113&lt;=90,L113,""))</f>
        <v/>
      </c>
      <c r="V113" s="27" t="n">
        <f aca="false">IF(H113="","",IF(AND(AsOf-H113&gt;90,AsOf-H113&lt;=270),L113,""))</f>
        <v>15</v>
      </c>
    </row>
    <row r="114" customFormat="false" ht="15" hidden="false" customHeight="false" outlineLevel="0" collapsed="false">
      <c r="A114" s="32" t="s">
        <v>319</v>
      </c>
      <c r="B114" s="34" t="n">
        <v>46112</v>
      </c>
      <c r="C114" s="32" t="s">
        <v>77</v>
      </c>
      <c r="D114" s="32" t="s">
        <v>320</v>
      </c>
      <c r="E114" s="32" t="s">
        <v>61</v>
      </c>
      <c r="F114" s="32" t="s">
        <v>96</v>
      </c>
      <c r="G114" s="32" t="s">
        <v>130</v>
      </c>
      <c r="H114" s="34" t="n">
        <v>46129</v>
      </c>
      <c r="I114" s="32"/>
      <c r="J114" s="34"/>
      <c r="K114" s="27" t="str">
        <f aca="false">IF(A114="","",IF(H114="","Open","Closed"))</f>
        <v>Closed</v>
      </c>
      <c r="L114" s="27" t="n">
        <f aca="false">IF(A114="","",IF(H114="",AsOf-B114,H114-B114))</f>
        <v>17</v>
      </c>
      <c r="M114" s="27" t="str">
        <f aca="false">IF(A114="","",IF(AND(K114="Open",L114&gt;Target),"Yes","No"))</f>
        <v>No</v>
      </c>
      <c r="N114" s="27" t="str">
        <f aca="false">IF(K114&lt;&gt;"Open","",IF(L114&lt;=30,"0-30",IF(L114&lt;=60,"31-60",IF(L114&lt;=90,"61-90","90+"))))</f>
        <v/>
      </c>
      <c r="O114" s="27" t="str">
        <f aca="false">IF(A114="","",IF(COUNTIFS($D$5:$D$400,D114,$F$5:$F$400,F114,$B$5:$B$400,"&gt;="&amp;(B114-RepeatWin),$B$5:$B$400,"&lt;"&amp;B114)&gt;0,"Yes","No"))</f>
        <v>No</v>
      </c>
      <c r="P114" s="35" t="str">
        <f aca="false">IF(OR(I114="",H114=""),"",H114+CapaDue)</f>
        <v/>
      </c>
      <c r="Q114" s="27" t="str">
        <f aca="false">IF(A114="","",IF(I114="","Not required",IF(J114&lt;&gt;"","Closed",IF(H114="","Awaiting dev. close",IF(AsOf&gt;P114,"Overdue","Open")))))</f>
        <v>Not required</v>
      </c>
      <c r="R114" s="27" t="str">
        <f aca="false">IF(J114="","",IF(COUNTIFS($D$5:$D$400,D114,$F$5:$F$400,F114,$B$5:$B$400,"&gt;"&amp;J114,$B$5:$B$400,"&lt;="&amp;(J114+EffWin))&gt;0,"Ineffective",IF(AsOf-J114&gt;=EffWin,"Effective","Check pending")))</f>
        <v/>
      </c>
      <c r="S114" s="36" t="n">
        <f aca="false">IF(A114="","",DATE(YEAR(B114),MONTH(B114),1))</f>
        <v>46082</v>
      </c>
      <c r="T114" s="36" t="n">
        <f aca="false">IF(H114="","",DATE(YEAR(H114),MONTH(H114),1))</f>
        <v>46113</v>
      </c>
      <c r="U114" s="27" t="str">
        <f aca="false">IF(H114="","",IF(AsOf-H114&lt;=90,L114,""))</f>
        <v/>
      </c>
      <c r="V114" s="27" t="n">
        <f aca="false">IF(H114="","",IF(AND(AsOf-H114&gt;90,AsOf-H114&lt;=270),L114,""))</f>
        <v>17</v>
      </c>
    </row>
    <row r="115" customFormat="false" ht="15" hidden="false" customHeight="false" outlineLevel="0" collapsed="false">
      <c r="A115" s="32" t="s">
        <v>321</v>
      </c>
      <c r="B115" s="34" t="n">
        <v>46117</v>
      </c>
      <c r="C115" s="32" t="s">
        <v>79</v>
      </c>
      <c r="D115" s="32" t="s">
        <v>299</v>
      </c>
      <c r="E115" s="32" t="s">
        <v>59</v>
      </c>
      <c r="F115" s="32" t="s">
        <v>101</v>
      </c>
      <c r="G115" s="32" t="s">
        <v>132</v>
      </c>
      <c r="H115" s="34" t="n">
        <v>46134</v>
      </c>
      <c r="I115" s="32" t="s">
        <v>322</v>
      </c>
      <c r="J115" s="34" t="n">
        <v>46175</v>
      </c>
      <c r="K115" s="27" t="str">
        <f aca="false">IF(A115="","",IF(H115="","Open","Closed"))</f>
        <v>Closed</v>
      </c>
      <c r="L115" s="27" t="n">
        <f aca="false">IF(A115="","",IF(H115="",AsOf-B115,H115-B115))</f>
        <v>17</v>
      </c>
      <c r="M115" s="27" t="str">
        <f aca="false">IF(A115="","",IF(AND(K115="Open",L115&gt;Target),"Yes","No"))</f>
        <v>No</v>
      </c>
      <c r="N115" s="27" t="str">
        <f aca="false">IF(K115&lt;&gt;"Open","",IF(L115&lt;=30,"0-30",IF(L115&lt;=60,"31-60",IF(L115&lt;=90,"61-90","90+"))))</f>
        <v/>
      </c>
      <c r="O115" s="27" t="str">
        <f aca="false">IF(A115="","",IF(COUNTIFS($D$5:$D$400,D115,$F$5:$F$400,F115,$B$5:$B$400,"&gt;="&amp;(B115-RepeatWin),$B$5:$B$400,"&lt;"&amp;B115)&gt;0,"Yes","No"))</f>
        <v>No</v>
      </c>
      <c r="P115" s="35" t="n">
        <f aca="false">IF(OR(I115="",H115=""),"",H115+CapaDue)</f>
        <v>46224</v>
      </c>
      <c r="Q115" s="27" t="str">
        <f aca="false">IF(A115="","",IF(I115="","Not required",IF(J115&lt;&gt;"","Closed",IF(H115="","Awaiting dev. close",IF(AsOf&gt;P115,"Overdue","Open")))))</f>
        <v>Closed</v>
      </c>
      <c r="R115" s="27" t="str">
        <f aca="false">IF(J115="","",IF(COUNTIFS($D$5:$D$400,D115,$F$5:$F$400,F115,$B$5:$B$400,"&gt;"&amp;J115,$B$5:$B$400,"&lt;="&amp;(J115+EffWin))&gt;0,"Ineffective",IF(AsOf-J115&gt;=EffWin,"Effective","Check pending")))</f>
        <v>Check pending</v>
      </c>
      <c r="S115" s="36" t="n">
        <f aca="false">IF(A115="","",DATE(YEAR(B115),MONTH(B115),1))</f>
        <v>46113</v>
      </c>
      <c r="T115" s="36" t="n">
        <f aca="false">IF(H115="","",DATE(YEAR(H115),MONTH(H115),1))</f>
        <v>46113</v>
      </c>
      <c r="U115" s="27" t="str">
        <f aca="false">IF(H115="","",IF(AsOf-H115&lt;=90,L115,""))</f>
        <v/>
      </c>
      <c r="V115" s="27" t="n">
        <f aca="false">IF(H115="","",IF(AND(AsOf-H115&gt;90,AsOf-H115&lt;=270),L115,""))</f>
        <v>17</v>
      </c>
    </row>
    <row r="116" customFormat="false" ht="15" hidden="false" customHeight="false" outlineLevel="0" collapsed="false">
      <c r="A116" s="32" t="s">
        <v>323</v>
      </c>
      <c r="B116" s="34" t="n">
        <v>46118</v>
      </c>
      <c r="C116" s="32" t="s">
        <v>73</v>
      </c>
      <c r="D116" s="32" t="s">
        <v>149</v>
      </c>
      <c r="E116" s="32" t="s">
        <v>61</v>
      </c>
      <c r="F116" s="32" t="s">
        <v>94</v>
      </c>
      <c r="G116" s="32" t="s">
        <v>130</v>
      </c>
      <c r="H116" s="34" t="n">
        <v>46128</v>
      </c>
      <c r="I116" s="32"/>
      <c r="J116" s="34"/>
      <c r="K116" s="27" t="str">
        <f aca="false">IF(A116="","",IF(H116="","Open","Closed"))</f>
        <v>Closed</v>
      </c>
      <c r="L116" s="27" t="n">
        <f aca="false">IF(A116="","",IF(H116="",AsOf-B116,H116-B116))</f>
        <v>10</v>
      </c>
      <c r="M116" s="27" t="str">
        <f aca="false">IF(A116="","",IF(AND(K116="Open",L116&gt;Target),"Yes","No"))</f>
        <v>No</v>
      </c>
      <c r="N116" s="27" t="str">
        <f aca="false">IF(K116&lt;&gt;"Open","",IF(L116&lt;=30,"0-30",IF(L116&lt;=60,"31-60",IF(L116&lt;=90,"61-90","90+"))))</f>
        <v/>
      </c>
      <c r="O116" s="27" t="str">
        <f aca="false">IF(A116="","",IF(COUNTIFS($D$5:$D$400,D116,$F$5:$F$400,F116,$B$5:$B$400,"&gt;="&amp;(B116-RepeatWin),$B$5:$B$400,"&lt;"&amp;B116)&gt;0,"Yes","No"))</f>
        <v>No</v>
      </c>
      <c r="P116" s="35" t="str">
        <f aca="false">IF(OR(I116="",H116=""),"",H116+CapaDue)</f>
        <v/>
      </c>
      <c r="Q116" s="27" t="str">
        <f aca="false">IF(A116="","",IF(I116="","Not required",IF(J116&lt;&gt;"","Closed",IF(H116="","Awaiting dev. close",IF(AsOf&gt;P116,"Overdue","Open")))))</f>
        <v>Not required</v>
      </c>
      <c r="R116" s="27" t="str">
        <f aca="false">IF(J116="","",IF(COUNTIFS($D$5:$D$400,D116,$F$5:$F$400,F116,$B$5:$B$400,"&gt;"&amp;J116,$B$5:$B$400,"&lt;="&amp;(J116+EffWin))&gt;0,"Ineffective",IF(AsOf-J116&gt;=EffWin,"Effective","Check pending")))</f>
        <v/>
      </c>
      <c r="S116" s="36" t="n">
        <f aca="false">IF(A116="","",DATE(YEAR(B116),MONTH(B116),1))</f>
        <v>46113</v>
      </c>
      <c r="T116" s="36" t="n">
        <f aca="false">IF(H116="","",DATE(YEAR(H116),MONTH(H116),1))</f>
        <v>46113</v>
      </c>
      <c r="U116" s="27" t="str">
        <f aca="false">IF(H116="","",IF(AsOf-H116&lt;=90,L116,""))</f>
        <v/>
      </c>
      <c r="V116" s="27" t="n">
        <f aca="false">IF(H116="","",IF(AND(AsOf-H116&gt;90,AsOf-H116&lt;=270),L116,""))</f>
        <v>10</v>
      </c>
    </row>
    <row r="117" customFormat="false" ht="15" hidden="false" customHeight="false" outlineLevel="0" collapsed="false">
      <c r="A117" s="32" t="s">
        <v>324</v>
      </c>
      <c r="B117" s="34" t="n">
        <v>46125</v>
      </c>
      <c r="C117" s="32" t="s">
        <v>77</v>
      </c>
      <c r="D117" s="32" t="s">
        <v>320</v>
      </c>
      <c r="E117" s="32" t="s">
        <v>61</v>
      </c>
      <c r="F117" s="32" t="s">
        <v>95</v>
      </c>
      <c r="G117" s="32" t="s">
        <v>130</v>
      </c>
      <c r="H117" s="34" t="n">
        <v>46148</v>
      </c>
      <c r="I117" s="32"/>
      <c r="J117" s="34"/>
      <c r="K117" s="27" t="str">
        <f aca="false">IF(A117="","",IF(H117="","Open","Closed"))</f>
        <v>Closed</v>
      </c>
      <c r="L117" s="27" t="n">
        <f aca="false">IF(A117="","",IF(H117="",AsOf-B117,H117-B117))</f>
        <v>23</v>
      </c>
      <c r="M117" s="27" t="str">
        <f aca="false">IF(A117="","",IF(AND(K117="Open",L117&gt;Target),"Yes","No"))</f>
        <v>No</v>
      </c>
      <c r="N117" s="27" t="str">
        <f aca="false">IF(K117&lt;&gt;"Open","",IF(L117&lt;=30,"0-30",IF(L117&lt;=60,"31-60",IF(L117&lt;=90,"61-90","90+"))))</f>
        <v/>
      </c>
      <c r="O117" s="27" t="str">
        <f aca="false">IF(A117="","",IF(COUNTIFS($D$5:$D$400,D117,$F$5:$F$400,F117,$B$5:$B$400,"&gt;="&amp;(B117-RepeatWin),$B$5:$B$400,"&lt;"&amp;B117)&gt;0,"Yes","No"))</f>
        <v>No</v>
      </c>
      <c r="P117" s="35" t="str">
        <f aca="false">IF(OR(I117="",H117=""),"",H117+CapaDue)</f>
        <v/>
      </c>
      <c r="Q117" s="27" t="str">
        <f aca="false">IF(A117="","",IF(I117="","Not required",IF(J117&lt;&gt;"","Closed",IF(H117="","Awaiting dev. close",IF(AsOf&gt;P117,"Overdue","Open")))))</f>
        <v>Not required</v>
      </c>
      <c r="R117" s="27" t="str">
        <f aca="false">IF(J117="","",IF(COUNTIFS($D$5:$D$400,D117,$F$5:$F$400,F117,$B$5:$B$400,"&gt;"&amp;J117,$B$5:$B$400,"&lt;="&amp;(J117+EffWin))&gt;0,"Ineffective",IF(AsOf-J117&gt;=EffWin,"Effective","Check pending")))</f>
        <v/>
      </c>
      <c r="S117" s="36" t="n">
        <f aca="false">IF(A117="","",DATE(YEAR(B117),MONTH(B117),1))</f>
        <v>46113</v>
      </c>
      <c r="T117" s="36" t="n">
        <f aca="false">IF(H117="","",DATE(YEAR(H117),MONTH(H117),1))</f>
        <v>46143</v>
      </c>
      <c r="U117" s="27" t="str">
        <f aca="false">IF(H117="","",IF(AsOf-H117&lt;=90,L117,""))</f>
        <v/>
      </c>
      <c r="V117" s="27" t="n">
        <f aca="false">IF(H117="","",IF(AND(AsOf-H117&gt;90,AsOf-H117&lt;=270),L117,""))</f>
        <v>23</v>
      </c>
    </row>
    <row r="118" customFormat="false" ht="15" hidden="false" customHeight="false" outlineLevel="0" collapsed="false">
      <c r="A118" s="32" t="s">
        <v>325</v>
      </c>
      <c r="B118" s="34" t="n">
        <v>46126</v>
      </c>
      <c r="C118" s="32" t="s">
        <v>79</v>
      </c>
      <c r="D118" s="32" t="s">
        <v>215</v>
      </c>
      <c r="E118" s="32" t="s">
        <v>61</v>
      </c>
      <c r="F118" s="32" t="s">
        <v>94</v>
      </c>
      <c r="G118" s="32" t="s">
        <v>128</v>
      </c>
      <c r="H118" s="34" t="n">
        <v>46142</v>
      </c>
      <c r="I118" s="32"/>
      <c r="J118" s="34"/>
      <c r="K118" s="27" t="str">
        <f aca="false">IF(A118="","",IF(H118="","Open","Closed"))</f>
        <v>Closed</v>
      </c>
      <c r="L118" s="27" t="n">
        <f aca="false">IF(A118="","",IF(H118="",AsOf-B118,H118-B118))</f>
        <v>16</v>
      </c>
      <c r="M118" s="27" t="str">
        <f aca="false">IF(A118="","",IF(AND(K118="Open",L118&gt;Target),"Yes","No"))</f>
        <v>No</v>
      </c>
      <c r="N118" s="27" t="str">
        <f aca="false">IF(K118&lt;&gt;"Open","",IF(L118&lt;=30,"0-30",IF(L118&lt;=60,"31-60",IF(L118&lt;=90,"61-90","90+"))))</f>
        <v/>
      </c>
      <c r="O118" s="27" t="str">
        <f aca="false">IF(A118="","",IF(COUNTIFS($D$5:$D$400,D118,$F$5:$F$400,F118,$B$5:$B$400,"&gt;="&amp;(B118-RepeatWin),$B$5:$B$400,"&lt;"&amp;B118)&gt;0,"Yes","No"))</f>
        <v>No</v>
      </c>
      <c r="P118" s="35" t="str">
        <f aca="false">IF(OR(I118="",H118=""),"",H118+CapaDue)</f>
        <v/>
      </c>
      <c r="Q118" s="27" t="str">
        <f aca="false">IF(A118="","",IF(I118="","Not required",IF(J118&lt;&gt;"","Closed",IF(H118="","Awaiting dev. close",IF(AsOf&gt;P118,"Overdue","Open")))))</f>
        <v>Not required</v>
      </c>
      <c r="R118" s="27" t="str">
        <f aca="false">IF(J118="","",IF(COUNTIFS($D$5:$D$400,D118,$F$5:$F$400,F118,$B$5:$B$400,"&gt;"&amp;J118,$B$5:$B$400,"&lt;="&amp;(J118+EffWin))&gt;0,"Ineffective",IF(AsOf-J118&gt;=EffWin,"Effective","Check pending")))</f>
        <v/>
      </c>
      <c r="S118" s="36" t="n">
        <f aca="false">IF(A118="","",DATE(YEAR(B118),MONTH(B118),1))</f>
        <v>46113</v>
      </c>
      <c r="T118" s="36" t="n">
        <f aca="false">IF(H118="","",DATE(YEAR(H118),MONTH(H118),1))</f>
        <v>46113</v>
      </c>
      <c r="U118" s="27" t="str">
        <f aca="false">IF(H118="","",IF(AsOf-H118&lt;=90,L118,""))</f>
        <v/>
      </c>
      <c r="V118" s="27" t="n">
        <f aca="false">IF(H118="","",IF(AND(AsOf-H118&gt;90,AsOf-H118&lt;=270),L118,""))</f>
        <v>16</v>
      </c>
    </row>
    <row r="119" customFormat="false" ht="15" hidden="false" customHeight="false" outlineLevel="0" collapsed="false">
      <c r="A119" s="32" t="s">
        <v>326</v>
      </c>
      <c r="B119" s="34" t="n">
        <v>46132</v>
      </c>
      <c r="C119" s="32" t="s">
        <v>77</v>
      </c>
      <c r="D119" s="32" t="s">
        <v>195</v>
      </c>
      <c r="E119" s="32" t="s">
        <v>59</v>
      </c>
      <c r="F119" s="32" t="s">
        <v>96</v>
      </c>
      <c r="G119" s="32" t="s">
        <v>128</v>
      </c>
      <c r="H119" s="34" t="n">
        <v>46163</v>
      </c>
      <c r="I119" s="32" t="s">
        <v>327</v>
      </c>
      <c r="J119" s="34" t="n">
        <v>46255</v>
      </c>
      <c r="K119" s="27" t="str">
        <f aca="false">IF(A119="","",IF(H119="","Open","Closed"))</f>
        <v>Closed</v>
      </c>
      <c r="L119" s="27" t="n">
        <f aca="false">IF(A119="","",IF(H119="",AsOf-B119,H119-B119))</f>
        <v>31</v>
      </c>
      <c r="M119" s="27" t="str">
        <f aca="false">IF(A119="","",IF(AND(K119="Open",L119&gt;Target),"Yes","No"))</f>
        <v>No</v>
      </c>
      <c r="N119" s="27" t="str">
        <f aca="false">IF(K119&lt;&gt;"Open","",IF(L119&lt;=30,"0-30",IF(L119&lt;=60,"31-60",IF(L119&lt;=90,"61-90","90+"))))</f>
        <v/>
      </c>
      <c r="O119" s="27" t="str">
        <f aca="false">IF(A119="","",IF(COUNTIFS($D$5:$D$400,D119,$F$5:$F$400,F119,$B$5:$B$400,"&gt;="&amp;(B119-RepeatWin),$B$5:$B$400,"&lt;"&amp;B119)&gt;0,"Yes","No"))</f>
        <v>No</v>
      </c>
      <c r="P119" s="35" t="n">
        <f aca="false">IF(OR(I119="",H119=""),"",H119+CapaDue)</f>
        <v>46253</v>
      </c>
      <c r="Q119" s="27" t="str">
        <f aca="false">IF(A119="","",IF(I119="","Not required",IF(J119&lt;&gt;"","Closed",IF(H119="","Awaiting dev. close",IF(AsOf&gt;P119,"Overdue","Open")))))</f>
        <v>Closed</v>
      </c>
      <c r="R119" s="27" t="str">
        <f aca="false">IF(J119="","",IF(COUNTIFS($D$5:$D$400,D119,$F$5:$F$400,F119,$B$5:$B$400,"&gt;"&amp;J119,$B$5:$B$400,"&lt;="&amp;(J119+EffWin))&gt;0,"Ineffective",IF(AsOf-J119&gt;=EffWin,"Effective","Check pending")))</f>
        <v>Check pending</v>
      </c>
      <c r="S119" s="36" t="n">
        <f aca="false">IF(A119="","",DATE(YEAR(B119),MONTH(B119),1))</f>
        <v>46113</v>
      </c>
      <c r="T119" s="36" t="n">
        <f aca="false">IF(H119="","",DATE(YEAR(H119),MONTH(H119),1))</f>
        <v>46143</v>
      </c>
      <c r="U119" s="27" t="str">
        <f aca="false">IF(H119="","",IF(AsOf-H119&lt;=90,L119,""))</f>
        <v/>
      </c>
      <c r="V119" s="27" t="n">
        <f aca="false">IF(H119="","",IF(AND(AsOf-H119&gt;90,AsOf-H119&lt;=270),L119,""))</f>
        <v>31</v>
      </c>
    </row>
    <row r="120" customFormat="false" ht="15" hidden="false" customHeight="false" outlineLevel="0" collapsed="false">
      <c r="A120" s="32" t="s">
        <v>328</v>
      </c>
      <c r="B120" s="34" t="n">
        <v>46133</v>
      </c>
      <c r="C120" s="32" t="s">
        <v>77</v>
      </c>
      <c r="D120" s="32" t="s">
        <v>314</v>
      </c>
      <c r="E120" s="32" t="s">
        <v>61</v>
      </c>
      <c r="F120" s="32" t="s">
        <v>95</v>
      </c>
      <c r="G120" s="32" t="s">
        <v>129</v>
      </c>
      <c r="H120" s="34" t="n">
        <v>46146</v>
      </c>
      <c r="I120" s="32"/>
      <c r="J120" s="34"/>
      <c r="K120" s="27" t="str">
        <f aca="false">IF(A120="","",IF(H120="","Open","Closed"))</f>
        <v>Closed</v>
      </c>
      <c r="L120" s="27" t="n">
        <f aca="false">IF(A120="","",IF(H120="",AsOf-B120,H120-B120))</f>
        <v>13</v>
      </c>
      <c r="M120" s="27" t="str">
        <f aca="false">IF(A120="","",IF(AND(K120="Open",L120&gt;Target),"Yes","No"))</f>
        <v>No</v>
      </c>
      <c r="N120" s="27" t="str">
        <f aca="false">IF(K120&lt;&gt;"Open","",IF(L120&lt;=30,"0-30",IF(L120&lt;=60,"31-60",IF(L120&lt;=90,"61-90","90+"))))</f>
        <v/>
      </c>
      <c r="O120" s="27" t="str">
        <f aca="false">IF(A120="","",IF(COUNTIFS($D$5:$D$400,D120,$F$5:$F$400,F120,$B$5:$B$400,"&gt;="&amp;(B120-RepeatWin),$B$5:$B$400,"&lt;"&amp;B120)&gt;0,"Yes","No"))</f>
        <v>No</v>
      </c>
      <c r="P120" s="35" t="str">
        <f aca="false">IF(OR(I120="",H120=""),"",H120+CapaDue)</f>
        <v/>
      </c>
      <c r="Q120" s="27" t="str">
        <f aca="false">IF(A120="","",IF(I120="","Not required",IF(J120&lt;&gt;"","Closed",IF(H120="","Awaiting dev. close",IF(AsOf&gt;P120,"Overdue","Open")))))</f>
        <v>Not required</v>
      </c>
      <c r="R120" s="27" t="str">
        <f aca="false">IF(J120="","",IF(COUNTIFS($D$5:$D$400,D120,$F$5:$F$400,F120,$B$5:$B$400,"&gt;"&amp;J120,$B$5:$B$400,"&lt;="&amp;(J120+EffWin))&gt;0,"Ineffective",IF(AsOf-J120&gt;=EffWin,"Effective","Check pending")))</f>
        <v/>
      </c>
      <c r="S120" s="36" t="n">
        <f aca="false">IF(A120="","",DATE(YEAR(B120),MONTH(B120),1))</f>
        <v>46113</v>
      </c>
      <c r="T120" s="36" t="n">
        <f aca="false">IF(H120="","",DATE(YEAR(H120),MONTH(H120),1))</f>
        <v>46143</v>
      </c>
      <c r="U120" s="27" t="str">
        <f aca="false">IF(H120="","",IF(AsOf-H120&lt;=90,L120,""))</f>
        <v/>
      </c>
      <c r="V120" s="27" t="n">
        <f aca="false">IF(H120="","",IF(AND(AsOf-H120&gt;90,AsOf-H120&lt;=270),L120,""))</f>
        <v>13</v>
      </c>
    </row>
    <row r="121" customFormat="false" ht="15" hidden="false" customHeight="false" outlineLevel="0" collapsed="false">
      <c r="A121" s="32" t="s">
        <v>329</v>
      </c>
      <c r="B121" s="34" t="n">
        <v>46139</v>
      </c>
      <c r="C121" s="32" t="s">
        <v>75</v>
      </c>
      <c r="D121" s="32" t="s">
        <v>153</v>
      </c>
      <c r="E121" s="32" t="s">
        <v>61</v>
      </c>
      <c r="F121" s="32" t="s">
        <v>95</v>
      </c>
      <c r="G121" s="32" t="s">
        <v>131</v>
      </c>
      <c r="H121" s="34" t="n">
        <v>46161</v>
      </c>
      <c r="I121" s="32"/>
      <c r="J121" s="34"/>
      <c r="K121" s="27" t="str">
        <f aca="false">IF(A121="","",IF(H121="","Open","Closed"))</f>
        <v>Closed</v>
      </c>
      <c r="L121" s="27" t="n">
        <f aca="false">IF(A121="","",IF(H121="",AsOf-B121,H121-B121))</f>
        <v>22</v>
      </c>
      <c r="M121" s="27" t="str">
        <f aca="false">IF(A121="","",IF(AND(K121="Open",L121&gt;Target),"Yes","No"))</f>
        <v>No</v>
      </c>
      <c r="N121" s="27" t="str">
        <f aca="false">IF(K121&lt;&gt;"Open","",IF(L121&lt;=30,"0-30",IF(L121&lt;=60,"31-60",IF(L121&lt;=90,"61-90","90+"))))</f>
        <v/>
      </c>
      <c r="O121" s="27" t="str">
        <f aca="false">IF(A121="","",IF(COUNTIFS($D$5:$D$400,D121,$F$5:$F$400,F121,$B$5:$B$400,"&gt;="&amp;(B121-RepeatWin),$B$5:$B$400,"&lt;"&amp;B121)&gt;0,"Yes","No"))</f>
        <v>No</v>
      </c>
      <c r="P121" s="35" t="str">
        <f aca="false">IF(OR(I121="",H121=""),"",H121+CapaDue)</f>
        <v/>
      </c>
      <c r="Q121" s="27" t="str">
        <f aca="false">IF(A121="","",IF(I121="","Not required",IF(J121&lt;&gt;"","Closed",IF(H121="","Awaiting dev. close",IF(AsOf&gt;P121,"Overdue","Open")))))</f>
        <v>Not required</v>
      </c>
      <c r="R121" s="27" t="str">
        <f aca="false">IF(J121="","",IF(COUNTIFS($D$5:$D$400,D121,$F$5:$F$400,F121,$B$5:$B$400,"&gt;"&amp;J121,$B$5:$B$400,"&lt;="&amp;(J121+EffWin))&gt;0,"Ineffective",IF(AsOf-J121&gt;=EffWin,"Effective","Check pending")))</f>
        <v/>
      </c>
      <c r="S121" s="36" t="n">
        <f aca="false">IF(A121="","",DATE(YEAR(B121),MONTH(B121),1))</f>
        <v>46113</v>
      </c>
      <c r="T121" s="36" t="n">
        <f aca="false">IF(H121="","",DATE(YEAR(H121),MONTH(H121),1))</f>
        <v>46143</v>
      </c>
      <c r="U121" s="27" t="str">
        <f aca="false">IF(H121="","",IF(AsOf-H121&lt;=90,L121,""))</f>
        <v/>
      </c>
      <c r="V121" s="27" t="n">
        <f aca="false">IF(H121="","",IF(AND(AsOf-H121&gt;90,AsOf-H121&lt;=270),L121,""))</f>
        <v>22</v>
      </c>
    </row>
    <row r="122" customFormat="false" ht="15" hidden="false" customHeight="false" outlineLevel="0" collapsed="false">
      <c r="A122" s="32" t="s">
        <v>330</v>
      </c>
      <c r="B122" s="34" t="n">
        <v>46144</v>
      </c>
      <c r="C122" s="32" t="s">
        <v>77</v>
      </c>
      <c r="D122" s="32" t="s">
        <v>320</v>
      </c>
      <c r="E122" s="32" t="s">
        <v>61</v>
      </c>
      <c r="F122" s="32" t="s">
        <v>95</v>
      </c>
      <c r="G122" s="32" t="s">
        <v>126</v>
      </c>
      <c r="H122" s="34" t="n">
        <v>46156</v>
      </c>
      <c r="I122" s="32" t="s">
        <v>331</v>
      </c>
      <c r="J122" s="34" t="n">
        <v>46251</v>
      </c>
      <c r="K122" s="27" t="str">
        <f aca="false">IF(A122="","",IF(H122="","Open","Closed"))</f>
        <v>Closed</v>
      </c>
      <c r="L122" s="27" t="n">
        <f aca="false">IF(A122="","",IF(H122="",AsOf-B122,H122-B122))</f>
        <v>12</v>
      </c>
      <c r="M122" s="27" t="str">
        <f aca="false">IF(A122="","",IF(AND(K122="Open",L122&gt;Target),"Yes","No"))</f>
        <v>No</v>
      </c>
      <c r="N122" s="27" t="str">
        <f aca="false">IF(K122&lt;&gt;"Open","",IF(L122&lt;=30,"0-30",IF(L122&lt;=60,"31-60",IF(L122&lt;=90,"61-90","90+"))))</f>
        <v/>
      </c>
      <c r="O122" s="27" t="str">
        <f aca="false">IF(A122="","",IF(COUNTIFS($D$5:$D$400,D122,$F$5:$F$400,F122,$B$5:$B$400,"&gt;="&amp;(B122-RepeatWin),$B$5:$B$400,"&lt;"&amp;B122)&gt;0,"Yes","No"))</f>
        <v>Yes</v>
      </c>
      <c r="P122" s="35" t="n">
        <f aca="false">IF(OR(I122="",H122=""),"",H122+CapaDue)</f>
        <v>46246</v>
      </c>
      <c r="Q122" s="27" t="str">
        <f aca="false">IF(A122="","",IF(I122="","Not required",IF(J122&lt;&gt;"","Closed",IF(H122="","Awaiting dev. close",IF(AsOf&gt;P122,"Overdue","Open")))))</f>
        <v>Closed</v>
      </c>
      <c r="R122" s="27" t="str">
        <f aca="false">IF(J122="","",IF(COUNTIFS($D$5:$D$400,D122,$F$5:$F$400,F122,$B$5:$B$400,"&gt;"&amp;J122,$B$5:$B$400,"&lt;="&amp;(J122+EffWin))&gt;0,"Ineffective",IF(AsOf-J122&gt;=EffWin,"Effective","Check pending")))</f>
        <v>Check pending</v>
      </c>
      <c r="S122" s="36" t="n">
        <f aca="false">IF(A122="","",DATE(YEAR(B122),MONTH(B122),1))</f>
        <v>46143</v>
      </c>
      <c r="T122" s="36" t="n">
        <f aca="false">IF(H122="","",DATE(YEAR(H122),MONTH(H122),1))</f>
        <v>46143</v>
      </c>
      <c r="U122" s="27" t="str">
        <f aca="false">IF(H122="","",IF(AsOf-H122&lt;=90,L122,""))</f>
        <v/>
      </c>
      <c r="V122" s="27" t="n">
        <f aca="false">IF(H122="","",IF(AND(AsOf-H122&gt;90,AsOf-H122&lt;=270),L122,""))</f>
        <v>12</v>
      </c>
    </row>
    <row r="123" customFormat="false" ht="15" hidden="false" customHeight="false" outlineLevel="0" collapsed="false">
      <c r="A123" s="32" t="s">
        <v>332</v>
      </c>
      <c r="B123" s="34" t="n">
        <v>46146</v>
      </c>
      <c r="C123" s="32" t="s">
        <v>77</v>
      </c>
      <c r="D123" s="32" t="s">
        <v>314</v>
      </c>
      <c r="E123" s="32" t="s">
        <v>57</v>
      </c>
      <c r="F123" s="32" t="s">
        <v>96</v>
      </c>
      <c r="G123" s="32" t="s">
        <v>131</v>
      </c>
      <c r="H123" s="34" t="n">
        <v>46163</v>
      </c>
      <c r="I123" s="32" t="s">
        <v>333</v>
      </c>
      <c r="J123" s="34" t="n">
        <v>46216</v>
      </c>
      <c r="K123" s="27" t="str">
        <f aca="false">IF(A123="","",IF(H123="","Open","Closed"))</f>
        <v>Closed</v>
      </c>
      <c r="L123" s="27" t="n">
        <f aca="false">IF(A123="","",IF(H123="",AsOf-B123,H123-B123))</f>
        <v>17</v>
      </c>
      <c r="M123" s="27" t="str">
        <f aca="false">IF(A123="","",IF(AND(K123="Open",L123&gt;Target),"Yes","No"))</f>
        <v>No</v>
      </c>
      <c r="N123" s="27" t="str">
        <f aca="false">IF(K123&lt;&gt;"Open","",IF(L123&lt;=30,"0-30",IF(L123&lt;=60,"31-60",IF(L123&lt;=90,"61-90","90+"))))</f>
        <v/>
      </c>
      <c r="O123" s="27" t="str">
        <f aca="false">IF(A123="","",IF(COUNTIFS($D$5:$D$400,D123,$F$5:$F$400,F123,$B$5:$B$400,"&gt;="&amp;(B123-RepeatWin),$B$5:$B$400,"&lt;"&amp;B123)&gt;0,"Yes","No"))</f>
        <v>No</v>
      </c>
      <c r="P123" s="35" t="n">
        <f aca="false">IF(OR(I123="",H123=""),"",H123+CapaDue)</f>
        <v>46253</v>
      </c>
      <c r="Q123" s="27" t="str">
        <f aca="false">IF(A123="","",IF(I123="","Not required",IF(J123&lt;&gt;"","Closed",IF(H123="","Awaiting dev. close",IF(AsOf&gt;P123,"Overdue","Open")))))</f>
        <v>Closed</v>
      </c>
      <c r="R123" s="27" t="str">
        <f aca="false">IF(J123="","",IF(COUNTIFS($D$5:$D$400,D123,$F$5:$F$400,F123,$B$5:$B$400,"&gt;"&amp;J123,$B$5:$B$400,"&lt;="&amp;(J123+EffWin))&gt;0,"Ineffective",IF(AsOf-J123&gt;=EffWin,"Effective","Check pending")))</f>
        <v>Check pending</v>
      </c>
      <c r="S123" s="36" t="n">
        <f aca="false">IF(A123="","",DATE(YEAR(B123),MONTH(B123),1))</f>
        <v>46143</v>
      </c>
      <c r="T123" s="36" t="n">
        <f aca="false">IF(H123="","",DATE(YEAR(H123),MONTH(H123),1))</f>
        <v>46143</v>
      </c>
      <c r="U123" s="27" t="str">
        <f aca="false">IF(H123="","",IF(AsOf-H123&lt;=90,L123,""))</f>
        <v/>
      </c>
      <c r="V123" s="27" t="n">
        <f aca="false">IF(H123="","",IF(AND(AsOf-H123&gt;90,AsOf-H123&lt;=270),L123,""))</f>
        <v>17</v>
      </c>
    </row>
    <row r="124" customFormat="false" ht="15" hidden="false" customHeight="false" outlineLevel="0" collapsed="false">
      <c r="A124" s="32" t="s">
        <v>334</v>
      </c>
      <c r="B124" s="34" t="n">
        <v>46146</v>
      </c>
      <c r="C124" s="32" t="s">
        <v>79</v>
      </c>
      <c r="D124" s="32" t="s">
        <v>151</v>
      </c>
      <c r="E124" s="32" t="s">
        <v>61</v>
      </c>
      <c r="F124" s="32" t="s">
        <v>96</v>
      </c>
      <c r="G124" s="32" t="s">
        <v>128</v>
      </c>
      <c r="H124" s="34" t="n">
        <v>46159</v>
      </c>
      <c r="I124" s="32"/>
      <c r="J124" s="34"/>
      <c r="K124" s="27" t="str">
        <f aca="false">IF(A124="","",IF(H124="","Open","Closed"))</f>
        <v>Closed</v>
      </c>
      <c r="L124" s="27" t="n">
        <f aca="false">IF(A124="","",IF(H124="",AsOf-B124,H124-B124))</f>
        <v>13</v>
      </c>
      <c r="M124" s="27" t="str">
        <f aca="false">IF(A124="","",IF(AND(K124="Open",L124&gt;Target),"Yes","No"))</f>
        <v>No</v>
      </c>
      <c r="N124" s="27" t="str">
        <f aca="false">IF(K124&lt;&gt;"Open","",IF(L124&lt;=30,"0-30",IF(L124&lt;=60,"31-60",IF(L124&lt;=90,"61-90","90+"))))</f>
        <v/>
      </c>
      <c r="O124" s="27" t="str">
        <f aca="false">IF(A124="","",IF(COUNTIFS($D$5:$D$400,D124,$F$5:$F$400,F124,$B$5:$B$400,"&gt;="&amp;(B124-RepeatWin),$B$5:$B$400,"&lt;"&amp;B124)&gt;0,"Yes","No"))</f>
        <v>No</v>
      </c>
      <c r="P124" s="35" t="str">
        <f aca="false">IF(OR(I124="",H124=""),"",H124+CapaDue)</f>
        <v/>
      </c>
      <c r="Q124" s="27" t="str">
        <f aca="false">IF(A124="","",IF(I124="","Not required",IF(J124&lt;&gt;"","Closed",IF(H124="","Awaiting dev. close",IF(AsOf&gt;P124,"Overdue","Open")))))</f>
        <v>Not required</v>
      </c>
      <c r="R124" s="27" t="str">
        <f aca="false">IF(J124="","",IF(COUNTIFS($D$5:$D$400,D124,$F$5:$F$400,F124,$B$5:$B$400,"&gt;"&amp;J124,$B$5:$B$400,"&lt;="&amp;(J124+EffWin))&gt;0,"Ineffective",IF(AsOf-J124&gt;=EffWin,"Effective","Check pending")))</f>
        <v/>
      </c>
      <c r="S124" s="36" t="n">
        <f aca="false">IF(A124="","",DATE(YEAR(B124),MONTH(B124),1))</f>
        <v>46143</v>
      </c>
      <c r="T124" s="36" t="n">
        <f aca="false">IF(H124="","",DATE(YEAR(H124),MONTH(H124),1))</f>
        <v>46143</v>
      </c>
      <c r="U124" s="27" t="str">
        <f aca="false">IF(H124="","",IF(AsOf-H124&lt;=90,L124,""))</f>
        <v/>
      </c>
      <c r="V124" s="27" t="n">
        <f aca="false">IF(H124="","",IF(AND(AsOf-H124&gt;90,AsOf-H124&lt;=270),L124,""))</f>
        <v>13</v>
      </c>
    </row>
    <row r="125" customFormat="false" ht="15" hidden="false" customHeight="false" outlineLevel="0" collapsed="false">
      <c r="A125" s="32" t="s">
        <v>335</v>
      </c>
      <c r="B125" s="34" t="n">
        <v>46148</v>
      </c>
      <c r="C125" s="32" t="s">
        <v>80</v>
      </c>
      <c r="D125" s="32" t="s">
        <v>197</v>
      </c>
      <c r="E125" s="32" t="s">
        <v>61</v>
      </c>
      <c r="F125" s="32" t="s">
        <v>98</v>
      </c>
      <c r="G125" s="32" t="s">
        <v>127</v>
      </c>
      <c r="H125" s="34" t="n">
        <v>46164</v>
      </c>
      <c r="I125" s="32"/>
      <c r="J125" s="34"/>
      <c r="K125" s="27" t="str">
        <f aca="false">IF(A125="","",IF(H125="","Open","Closed"))</f>
        <v>Closed</v>
      </c>
      <c r="L125" s="27" t="n">
        <f aca="false">IF(A125="","",IF(H125="",AsOf-B125,H125-B125))</f>
        <v>16</v>
      </c>
      <c r="M125" s="27" t="str">
        <f aca="false">IF(A125="","",IF(AND(K125="Open",L125&gt;Target),"Yes","No"))</f>
        <v>No</v>
      </c>
      <c r="N125" s="27" t="str">
        <f aca="false">IF(K125&lt;&gt;"Open","",IF(L125&lt;=30,"0-30",IF(L125&lt;=60,"31-60",IF(L125&lt;=90,"61-90","90+"))))</f>
        <v/>
      </c>
      <c r="O125" s="27" t="str">
        <f aca="false">IF(A125="","",IF(COUNTIFS($D$5:$D$400,D125,$F$5:$F$400,F125,$B$5:$B$400,"&gt;="&amp;(B125-RepeatWin),$B$5:$B$400,"&lt;"&amp;B125)&gt;0,"Yes","No"))</f>
        <v>No</v>
      </c>
      <c r="P125" s="35" t="str">
        <f aca="false">IF(OR(I125="",H125=""),"",H125+CapaDue)</f>
        <v/>
      </c>
      <c r="Q125" s="27" t="str">
        <f aca="false">IF(A125="","",IF(I125="","Not required",IF(J125&lt;&gt;"","Closed",IF(H125="","Awaiting dev. close",IF(AsOf&gt;P125,"Overdue","Open")))))</f>
        <v>Not required</v>
      </c>
      <c r="R125" s="27" t="str">
        <f aca="false">IF(J125="","",IF(COUNTIFS($D$5:$D$400,D125,$F$5:$F$400,F125,$B$5:$B$400,"&gt;"&amp;J125,$B$5:$B$400,"&lt;="&amp;(J125+EffWin))&gt;0,"Ineffective",IF(AsOf-J125&gt;=EffWin,"Effective","Check pending")))</f>
        <v/>
      </c>
      <c r="S125" s="36" t="n">
        <f aca="false">IF(A125="","",DATE(YEAR(B125),MONTH(B125),1))</f>
        <v>46143</v>
      </c>
      <c r="T125" s="36" t="n">
        <f aca="false">IF(H125="","",DATE(YEAR(H125),MONTH(H125),1))</f>
        <v>46143</v>
      </c>
      <c r="U125" s="27" t="str">
        <f aca="false">IF(H125="","",IF(AsOf-H125&lt;=90,L125,""))</f>
        <v/>
      </c>
      <c r="V125" s="27" t="n">
        <f aca="false">IF(H125="","",IF(AND(AsOf-H125&gt;90,AsOf-H125&lt;=270),L125,""))</f>
        <v>16</v>
      </c>
    </row>
    <row r="126" customFormat="false" ht="15" hidden="false" customHeight="false" outlineLevel="0" collapsed="false">
      <c r="A126" s="32" t="s">
        <v>336</v>
      </c>
      <c r="B126" s="34" t="n">
        <v>46150</v>
      </c>
      <c r="C126" s="32" t="s">
        <v>73</v>
      </c>
      <c r="D126" s="32" t="s">
        <v>278</v>
      </c>
      <c r="E126" s="32" t="s">
        <v>61</v>
      </c>
      <c r="F126" s="32" t="s">
        <v>94</v>
      </c>
      <c r="G126" s="32" t="s">
        <v>128</v>
      </c>
      <c r="H126" s="34" t="n">
        <v>46166</v>
      </c>
      <c r="I126" s="32"/>
      <c r="J126" s="34"/>
      <c r="K126" s="27" t="str">
        <f aca="false">IF(A126="","",IF(H126="","Open","Closed"))</f>
        <v>Closed</v>
      </c>
      <c r="L126" s="27" t="n">
        <f aca="false">IF(A126="","",IF(H126="",AsOf-B126,H126-B126))</f>
        <v>16</v>
      </c>
      <c r="M126" s="27" t="str">
        <f aca="false">IF(A126="","",IF(AND(K126="Open",L126&gt;Target),"Yes","No"))</f>
        <v>No</v>
      </c>
      <c r="N126" s="27" t="str">
        <f aca="false">IF(K126&lt;&gt;"Open","",IF(L126&lt;=30,"0-30",IF(L126&lt;=60,"31-60",IF(L126&lt;=90,"61-90","90+"))))</f>
        <v/>
      </c>
      <c r="O126" s="27" t="str">
        <f aca="false">IF(A126="","",IF(COUNTIFS($D$5:$D$400,D126,$F$5:$F$400,F126,$B$5:$B$400,"&gt;="&amp;(B126-RepeatWin),$B$5:$B$400,"&lt;"&amp;B126)&gt;0,"Yes","No"))</f>
        <v>No</v>
      </c>
      <c r="P126" s="35" t="str">
        <f aca="false">IF(OR(I126="",H126=""),"",H126+CapaDue)</f>
        <v/>
      </c>
      <c r="Q126" s="27" t="str">
        <f aca="false">IF(A126="","",IF(I126="","Not required",IF(J126&lt;&gt;"","Closed",IF(H126="","Awaiting dev. close",IF(AsOf&gt;P126,"Overdue","Open")))))</f>
        <v>Not required</v>
      </c>
      <c r="R126" s="27" t="str">
        <f aca="false">IF(J126="","",IF(COUNTIFS($D$5:$D$400,D126,$F$5:$F$400,F126,$B$5:$B$400,"&gt;"&amp;J126,$B$5:$B$400,"&lt;="&amp;(J126+EffWin))&gt;0,"Ineffective",IF(AsOf-J126&gt;=EffWin,"Effective","Check pending")))</f>
        <v/>
      </c>
      <c r="S126" s="36" t="n">
        <f aca="false">IF(A126="","",DATE(YEAR(B126),MONTH(B126),1))</f>
        <v>46143</v>
      </c>
      <c r="T126" s="36" t="n">
        <f aca="false">IF(H126="","",DATE(YEAR(H126),MONTH(H126),1))</f>
        <v>46143</v>
      </c>
      <c r="U126" s="27" t="str">
        <f aca="false">IF(H126="","",IF(AsOf-H126&lt;=90,L126,""))</f>
        <v/>
      </c>
      <c r="V126" s="27" t="n">
        <f aca="false">IF(H126="","",IF(AND(AsOf-H126&gt;90,AsOf-H126&lt;=270),L126,""))</f>
        <v>16</v>
      </c>
    </row>
    <row r="127" customFormat="false" ht="15" hidden="false" customHeight="false" outlineLevel="0" collapsed="false">
      <c r="A127" s="32" t="s">
        <v>337</v>
      </c>
      <c r="B127" s="34" t="n">
        <v>46154</v>
      </c>
      <c r="C127" s="32" t="s">
        <v>79</v>
      </c>
      <c r="D127" s="32" t="s">
        <v>299</v>
      </c>
      <c r="E127" s="32" t="s">
        <v>61</v>
      </c>
      <c r="F127" s="32" t="s">
        <v>99</v>
      </c>
      <c r="G127" s="32" t="s">
        <v>128</v>
      </c>
      <c r="H127" s="34" t="n">
        <v>46169</v>
      </c>
      <c r="I127" s="32" t="s">
        <v>338</v>
      </c>
      <c r="J127" s="34" t="n">
        <v>46239</v>
      </c>
      <c r="K127" s="27" t="str">
        <f aca="false">IF(A127="","",IF(H127="","Open","Closed"))</f>
        <v>Closed</v>
      </c>
      <c r="L127" s="27" t="n">
        <f aca="false">IF(A127="","",IF(H127="",AsOf-B127,H127-B127))</f>
        <v>15</v>
      </c>
      <c r="M127" s="27" t="str">
        <f aca="false">IF(A127="","",IF(AND(K127="Open",L127&gt;Target),"Yes","No"))</f>
        <v>No</v>
      </c>
      <c r="N127" s="27" t="str">
        <f aca="false">IF(K127&lt;&gt;"Open","",IF(L127&lt;=30,"0-30",IF(L127&lt;=60,"31-60",IF(L127&lt;=90,"61-90","90+"))))</f>
        <v/>
      </c>
      <c r="O127" s="27" t="str">
        <f aca="false">IF(A127="","",IF(COUNTIFS($D$5:$D$400,D127,$F$5:$F$400,F127,$B$5:$B$400,"&gt;="&amp;(B127-RepeatWin),$B$5:$B$400,"&lt;"&amp;B127)&gt;0,"Yes","No"))</f>
        <v>Yes</v>
      </c>
      <c r="P127" s="35" t="n">
        <f aca="false">IF(OR(I127="",H127=""),"",H127+CapaDue)</f>
        <v>46259</v>
      </c>
      <c r="Q127" s="27" t="str">
        <f aca="false">IF(A127="","",IF(I127="","Not required",IF(J127&lt;&gt;"","Closed",IF(H127="","Awaiting dev. close",IF(AsOf&gt;P127,"Overdue","Open")))))</f>
        <v>Closed</v>
      </c>
      <c r="R127" s="27" t="str">
        <f aca="false">IF(J127="","",IF(COUNTIFS($D$5:$D$400,D127,$F$5:$F$400,F127,$B$5:$B$400,"&gt;"&amp;J127,$B$5:$B$400,"&lt;="&amp;(J127+EffWin))&gt;0,"Ineffective",IF(AsOf-J127&gt;=EffWin,"Effective","Check pending")))</f>
        <v>Check pending</v>
      </c>
      <c r="S127" s="36" t="n">
        <f aca="false">IF(A127="","",DATE(YEAR(B127),MONTH(B127),1))</f>
        <v>46143</v>
      </c>
      <c r="T127" s="36" t="n">
        <f aca="false">IF(H127="","",DATE(YEAR(H127),MONTH(H127),1))</f>
        <v>46143</v>
      </c>
      <c r="U127" s="27" t="str">
        <f aca="false">IF(H127="","",IF(AsOf-H127&lt;=90,L127,""))</f>
        <v/>
      </c>
      <c r="V127" s="27" t="n">
        <f aca="false">IF(H127="","",IF(AND(AsOf-H127&gt;90,AsOf-H127&lt;=270),L127,""))</f>
        <v>15</v>
      </c>
    </row>
    <row r="128" customFormat="false" ht="15" hidden="false" customHeight="false" outlineLevel="0" collapsed="false">
      <c r="A128" s="32" t="s">
        <v>339</v>
      </c>
      <c r="B128" s="34" t="n">
        <v>46159</v>
      </c>
      <c r="C128" s="32" t="s">
        <v>77</v>
      </c>
      <c r="D128" s="32" t="s">
        <v>320</v>
      </c>
      <c r="E128" s="32" t="s">
        <v>59</v>
      </c>
      <c r="F128" s="32" t="s">
        <v>99</v>
      </c>
      <c r="G128" s="32" t="s">
        <v>131</v>
      </c>
      <c r="H128" s="34" t="n">
        <v>46199</v>
      </c>
      <c r="I128" s="32" t="s">
        <v>340</v>
      </c>
      <c r="J128" s="34" t="n">
        <v>46256</v>
      </c>
      <c r="K128" s="27" t="str">
        <f aca="false">IF(A128="","",IF(H128="","Open","Closed"))</f>
        <v>Closed</v>
      </c>
      <c r="L128" s="27" t="n">
        <f aca="false">IF(A128="","",IF(H128="",AsOf-B128,H128-B128))</f>
        <v>40</v>
      </c>
      <c r="M128" s="27" t="str">
        <f aca="false">IF(A128="","",IF(AND(K128="Open",L128&gt;Target),"Yes","No"))</f>
        <v>No</v>
      </c>
      <c r="N128" s="27" t="str">
        <f aca="false">IF(K128&lt;&gt;"Open","",IF(L128&lt;=30,"0-30",IF(L128&lt;=60,"31-60",IF(L128&lt;=90,"61-90","90+"))))</f>
        <v/>
      </c>
      <c r="O128" s="27" t="str">
        <f aca="false">IF(A128="","",IF(COUNTIFS($D$5:$D$400,D128,$F$5:$F$400,F128,$B$5:$B$400,"&gt;="&amp;(B128-RepeatWin),$B$5:$B$400,"&lt;"&amp;B128)&gt;0,"Yes","No"))</f>
        <v>No</v>
      </c>
      <c r="P128" s="35" t="n">
        <f aca="false">IF(OR(I128="",H128=""),"",H128+CapaDue)</f>
        <v>46289</v>
      </c>
      <c r="Q128" s="27" t="str">
        <f aca="false">IF(A128="","",IF(I128="","Not required",IF(J128&lt;&gt;"","Closed",IF(H128="","Awaiting dev. close",IF(AsOf&gt;P128,"Overdue","Open")))))</f>
        <v>Closed</v>
      </c>
      <c r="R128" s="27" t="str">
        <f aca="false">IF(J128="","",IF(COUNTIFS($D$5:$D$400,D128,$F$5:$F$400,F128,$B$5:$B$400,"&gt;"&amp;J128,$B$5:$B$400,"&lt;="&amp;(J128+EffWin))&gt;0,"Ineffective",IF(AsOf-J128&gt;=EffWin,"Effective","Check pending")))</f>
        <v>Check pending</v>
      </c>
      <c r="S128" s="36" t="n">
        <f aca="false">IF(A128="","",DATE(YEAR(B128),MONTH(B128),1))</f>
        <v>46143</v>
      </c>
      <c r="T128" s="36" t="n">
        <f aca="false">IF(H128="","",DATE(YEAR(H128),MONTH(H128),1))</f>
        <v>46174</v>
      </c>
      <c r="U128" s="27" t="str">
        <f aca="false">IF(H128="","",IF(AsOf-H128&lt;=90,L128,""))</f>
        <v/>
      </c>
      <c r="V128" s="27" t="n">
        <f aca="false">IF(H128="","",IF(AND(AsOf-H128&gt;90,AsOf-H128&lt;=270),L128,""))</f>
        <v>40</v>
      </c>
    </row>
    <row r="129" customFormat="false" ht="15" hidden="false" customHeight="false" outlineLevel="0" collapsed="false">
      <c r="A129" s="32" t="s">
        <v>341</v>
      </c>
      <c r="B129" s="34" t="n">
        <v>46162</v>
      </c>
      <c r="C129" s="32" t="s">
        <v>77</v>
      </c>
      <c r="D129" s="32" t="s">
        <v>314</v>
      </c>
      <c r="E129" s="32" t="s">
        <v>59</v>
      </c>
      <c r="F129" s="32" t="s">
        <v>99</v>
      </c>
      <c r="G129" s="32" t="s">
        <v>127</v>
      </c>
      <c r="H129" s="34" t="n">
        <v>46205</v>
      </c>
      <c r="I129" s="32" t="s">
        <v>342</v>
      </c>
      <c r="J129" s="34" t="n">
        <v>46281</v>
      </c>
      <c r="K129" s="27" t="str">
        <f aca="false">IF(A129="","",IF(H129="","Open","Closed"))</f>
        <v>Closed</v>
      </c>
      <c r="L129" s="27" t="n">
        <f aca="false">IF(A129="","",IF(H129="",AsOf-B129,H129-B129))</f>
        <v>43</v>
      </c>
      <c r="M129" s="27" t="str">
        <f aca="false">IF(A129="","",IF(AND(K129="Open",L129&gt;Target),"Yes","No"))</f>
        <v>No</v>
      </c>
      <c r="N129" s="27" t="str">
        <f aca="false">IF(K129&lt;&gt;"Open","",IF(L129&lt;=30,"0-30",IF(L129&lt;=60,"31-60",IF(L129&lt;=90,"61-90","90+"))))</f>
        <v/>
      </c>
      <c r="O129" s="27" t="str">
        <f aca="false">IF(A129="","",IF(COUNTIFS($D$5:$D$400,D129,$F$5:$F$400,F129,$B$5:$B$400,"&gt;="&amp;(B129-RepeatWin),$B$5:$B$400,"&lt;"&amp;B129)&gt;0,"Yes","No"))</f>
        <v>No</v>
      </c>
      <c r="P129" s="35" t="n">
        <f aca="false">IF(OR(I129="",H129=""),"",H129+CapaDue)</f>
        <v>46295</v>
      </c>
      <c r="Q129" s="27" t="str">
        <f aca="false">IF(A129="","",IF(I129="","Not required",IF(J129&lt;&gt;"","Closed",IF(H129="","Awaiting dev. close",IF(AsOf&gt;P129,"Overdue","Open")))))</f>
        <v>Closed</v>
      </c>
      <c r="R129" s="27" t="str">
        <f aca="false">IF(J129="","",IF(COUNTIFS($D$5:$D$400,D129,$F$5:$F$400,F129,$B$5:$B$400,"&gt;"&amp;J129,$B$5:$B$400,"&lt;="&amp;(J129+EffWin))&gt;0,"Ineffective",IF(AsOf-J129&gt;=EffWin,"Effective","Check pending")))</f>
        <v>Check pending</v>
      </c>
      <c r="S129" s="36" t="n">
        <f aca="false">IF(A129="","",DATE(YEAR(B129),MONTH(B129),1))</f>
        <v>46143</v>
      </c>
      <c r="T129" s="36" t="n">
        <f aca="false">IF(H129="","",DATE(YEAR(H129),MONTH(H129),1))</f>
        <v>46204</v>
      </c>
      <c r="U129" s="27" t="n">
        <f aca="false">IF(H129="","",IF(AsOf-H129&lt;=90,L129,""))</f>
        <v>43</v>
      </c>
      <c r="V129" s="27" t="str">
        <f aca="false">IF(H129="","",IF(AND(AsOf-H129&gt;90,AsOf-H129&lt;=270),L129,""))</f>
        <v/>
      </c>
    </row>
    <row r="130" customFormat="false" ht="15" hidden="false" customHeight="false" outlineLevel="0" collapsed="false">
      <c r="A130" s="32" t="s">
        <v>343</v>
      </c>
      <c r="B130" s="34" t="n">
        <v>46165</v>
      </c>
      <c r="C130" s="32" t="s">
        <v>77</v>
      </c>
      <c r="D130" s="32" t="s">
        <v>266</v>
      </c>
      <c r="E130" s="32" t="s">
        <v>59</v>
      </c>
      <c r="F130" s="32" t="s">
        <v>95</v>
      </c>
      <c r="G130" s="32" t="s">
        <v>131</v>
      </c>
      <c r="H130" s="34" t="n">
        <v>46202</v>
      </c>
      <c r="I130" s="32" t="s">
        <v>344</v>
      </c>
      <c r="J130" s="34" t="n">
        <v>46264</v>
      </c>
      <c r="K130" s="27" t="str">
        <f aca="false">IF(A130="","",IF(H130="","Open","Closed"))</f>
        <v>Closed</v>
      </c>
      <c r="L130" s="27" t="n">
        <f aca="false">IF(A130="","",IF(H130="",AsOf-B130,H130-B130))</f>
        <v>37</v>
      </c>
      <c r="M130" s="27" t="str">
        <f aca="false">IF(A130="","",IF(AND(K130="Open",L130&gt;Target),"Yes","No"))</f>
        <v>No</v>
      </c>
      <c r="N130" s="27" t="str">
        <f aca="false">IF(K130&lt;&gt;"Open","",IF(L130&lt;=30,"0-30",IF(L130&lt;=60,"31-60",IF(L130&lt;=90,"61-90","90+"))))</f>
        <v/>
      </c>
      <c r="O130" s="27" t="str">
        <f aca="false">IF(A130="","",IF(COUNTIFS($D$5:$D$400,D130,$F$5:$F$400,F130,$B$5:$B$400,"&gt;="&amp;(B130-RepeatWin),$B$5:$B$400,"&lt;"&amp;B130)&gt;0,"Yes","No"))</f>
        <v>No</v>
      </c>
      <c r="P130" s="35" t="n">
        <f aca="false">IF(OR(I130="",H130=""),"",H130+CapaDue)</f>
        <v>46292</v>
      </c>
      <c r="Q130" s="27" t="str">
        <f aca="false">IF(A130="","",IF(I130="","Not required",IF(J130&lt;&gt;"","Closed",IF(H130="","Awaiting dev. close",IF(AsOf&gt;P130,"Overdue","Open")))))</f>
        <v>Closed</v>
      </c>
      <c r="R130" s="27" t="str">
        <f aca="false">IF(J130="","",IF(COUNTIFS($D$5:$D$400,D130,$F$5:$F$400,F130,$B$5:$B$400,"&gt;"&amp;J130,$B$5:$B$400,"&lt;="&amp;(J130+EffWin))&gt;0,"Ineffective",IF(AsOf-J130&gt;=EffWin,"Effective","Check pending")))</f>
        <v>Check pending</v>
      </c>
      <c r="S130" s="36" t="n">
        <f aca="false">IF(A130="","",DATE(YEAR(B130),MONTH(B130),1))</f>
        <v>46143</v>
      </c>
      <c r="T130" s="36" t="n">
        <f aca="false">IF(H130="","",DATE(YEAR(H130),MONTH(H130),1))</f>
        <v>46174</v>
      </c>
      <c r="U130" s="27" t="str">
        <f aca="false">IF(H130="","",IF(AsOf-H130&lt;=90,L130,""))</f>
        <v/>
      </c>
      <c r="V130" s="27" t="n">
        <f aca="false">IF(H130="","",IF(AND(AsOf-H130&gt;90,AsOf-H130&lt;=270),L130,""))</f>
        <v>37</v>
      </c>
    </row>
    <row r="131" customFormat="false" ht="15" hidden="false" customHeight="false" outlineLevel="0" collapsed="false">
      <c r="A131" s="32" t="s">
        <v>345</v>
      </c>
      <c r="B131" s="34" t="n">
        <v>46173</v>
      </c>
      <c r="C131" s="32" t="s">
        <v>79</v>
      </c>
      <c r="D131" s="32" t="s">
        <v>299</v>
      </c>
      <c r="E131" s="32" t="s">
        <v>61</v>
      </c>
      <c r="F131" s="32" t="s">
        <v>94</v>
      </c>
      <c r="G131" s="32" t="s">
        <v>128</v>
      </c>
      <c r="H131" s="34" t="n">
        <v>46203</v>
      </c>
      <c r="I131" s="32"/>
      <c r="J131" s="34"/>
      <c r="K131" s="27" t="str">
        <f aca="false">IF(A131="","",IF(H131="","Open","Closed"))</f>
        <v>Closed</v>
      </c>
      <c r="L131" s="27" t="n">
        <f aca="false">IF(A131="","",IF(H131="",AsOf-B131,H131-B131))</f>
        <v>30</v>
      </c>
      <c r="M131" s="27" t="str">
        <f aca="false">IF(A131="","",IF(AND(K131="Open",L131&gt;Target),"Yes","No"))</f>
        <v>No</v>
      </c>
      <c r="N131" s="27" t="str">
        <f aca="false">IF(K131&lt;&gt;"Open","",IF(L131&lt;=30,"0-30",IF(L131&lt;=60,"31-60",IF(L131&lt;=90,"61-90","90+"))))</f>
        <v/>
      </c>
      <c r="O131" s="27" t="str">
        <f aca="false">IF(A131="","",IF(COUNTIFS($D$5:$D$400,D131,$F$5:$F$400,F131,$B$5:$B$400,"&gt;="&amp;(B131-RepeatWin),$B$5:$B$400,"&lt;"&amp;B131)&gt;0,"Yes","No"))</f>
        <v>No</v>
      </c>
      <c r="P131" s="35" t="str">
        <f aca="false">IF(OR(I131="",H131=""),"",H131+CapaDue)</f>
        <v/>
      </c>
      <c r="Q131" s="27" t="str">
        <f aca="false">IF(A131="","",IF(I131="","Not required",IF(J131&lt;&gt;"","Closed",IF(H131="","Awaiting dev. close",IF(AsOf&gt;P131,"Overdue","Open")))))</f>
        <v>Not required</v>
      </c>
      <c r="R131" s="27" t="str">
        <f aca="false">IF(J131="","",IF(COUNTIFS($D$5:$D$400,D131,$F$5:$F$400,F131,$B$5:$B$400,"&gt;"&amp;J131,$B$5:$B$400,"&lt;="&amp;(J131+EffWin))&gt;0,"Ineffective",IF(AsOf-J131&gt;=EffWin,"Effective","Check pending")))</f>
        <v/>
      </c>
      <c r="S131" s="36" t="n">
        <f aca="false">IF(A131="","",DATE(YEAR(B131),MONTH(B131),1))</f>
        <v>46143</v>
      </c>
      <c r="T131" s="36" t="n">
        <f aca="false">IF(H131="","",DATE(YEAR(H131),MONTH(H131),1))</f>
        <v>46174</v>
      </c>
      <c r="U131" s="27" t="str">
        <f aca="false">IF(H131="","",IF(AsOf-H131&lt;=90,L131,""))</f>
        <v/>
      </c>
      <c r="V131" s="27" t="n">
        <f aca="false">IF(H131="","",IF(AND(AsOf-H131&gt;90,AsOf-H131&lt;=270),L131,""))</f>
        <v>30</v>
      </c>
    </row>
    <row r="132" customFormat="false" ht="15" hidden="false" customHeight="false" outlineLevel="0" collapsed="false">
      <c r="A132" s="32" t="s">
        <v>346</v>
      </c>
      <c r="B132" s="34" t="n">
        <v>46174</v>
      </c>
      <c r="C132" s="32" t="s">
        <v>79</v>
      </c>
      <c r="D132" s="32" t="s">
        <v>282</v>
      </c>
      <c r="E132" s="32" t="s">
        <v>61</v>
      </c>
      <c r="F132" s="32" t="s">
        <v>99</v>
      </c>
      <c r="G132" s="32" t="s">
        <v>132</v>
      </c>
      <c r="H132" s="34" t="n">
        <v>46209</v>
      </c>
      <c r="I132" s="32"/>
      <c r="J132" s="34"/>
      <c r="K132" s="27" t="str">
        <f aca="false">IF(A132="","",IF(H132="","Open","Closed"))</f>
        <v>Closed</v>
      </c>
      <c r="L132" s="27" t="n">
        <f aca="false">IF(A132="","",IF(H132="",AsOf-B132,H132-B132))</f>
        <v>35</v>
      </c>
      <c r="M132" s="27" t="str">
        <f aca="false">IF(A132="","",IF(AND(K132="Open",L132&gt;Target),"Yes","No"))</f>
        <v>No</v>
      </c>
      <c r="N132" s="27" t="str">
        <f aca="false">IF(K132&lt;&gt;"Open","",IF(L132&lt;=30,"0-30",IF(L132&lt;=60,"31-60",IF(L132&lt;=90,"61-90","90+"))))</f>
        <v/>
      </c>
      <c r="O132" s="27" t="str">
        <f aca="false">IF(A132="","",IF(COUNTIFS($D$5:$D$400,D132,$F$5:$F$400,F132,$B$5:$B$400,"&gt;="&amp;(B132-RepeatWin),$B$5:$B$400,"&lt;"&amp;B132)&gt;0,"Yes","No"))</f>
        <v>No</v>
      </c>
      <c r="P132" s="35" t="str">
        <f aca="false">IF(OR(I132="",H132=""),"",H132+CapaDue)</f>
        <v/>
      </c>
      <c r="Q132" s="27" t="str">
        <f aca="false">IF(A132="","",IF(I132="","Not required",IF(J132&lt;&gt;"","Closed",IF(H132="","Awaiting dev. close",IF(AsOf&gt;P132,"Overdue","Open")))))</f>
        <v>Not required</v>
      </c>
      <c r="R132" s="27" t="str">
        <f aca="false">IF(J132="","",IF(COUNTIFS($D$5:$D$400,D132,$F$5:$F$400,F132,$B$5:$B$400,"&gt;"&amp;J132,$B$5:$B$400,"&lt;="&amp;(J132+EffWin))&gt;0,"Ineffective",IF(AsOf-J132&gt;=EffWin,"Effective","Check pending")))</f>
        <v/>
      </c>
      <c r="S132" s="36" t="n">
        <f aca="false">IF(A132="","",DATE(YEAR(B132),MONTH(B132),1))</f>
        <v>46174</v>
      </c>
      <c r="T132" s="36" t="n">
        <f aca="false">IF(H132="","",DATE(YEAR(H132),MONTH(H132),1))</f>
        <v>46204</v>
      </c>
      <c r="U132" s="27" t="n">
        <f aca="false">IF(H132="","",IF(AsOf-H132&lt;=90,L132,""))</f>
        <v>35</v>
      </c>
      <c r="V132" s="27" t="str">
        <f aca="false">IF(H132="","",IF(AND(AsOf-H132&gt;90,AsOf-H132&lt;=270),L132,""))</f>
        <v/>
      </c>
    </row>
    <row r="133" customFormat="false" ht="15" hidden="false" customHeight="false" outlineLevel="0" collapsed="false">
      <c r="A133" s="32" t="s">
        <v>347</v>
      </c>
      <c r="B133" s="34" t="n">
        <v>46176</v>
      </c>
      <c r="C133" s="32" t="s">
        <v>73</v>
      </c>
      <c r="D133" s="32" t="s">
        <v>164</v>
      </c>
      <c r="E133" s="32" t="s">
        <v>61</v>
      </c>
      <c r="F133" s="32" t="s">
        <v>98</v>
      </c>
      <c r="G133" s="32" t="s">
        <v>126</v>
      </c>
      <c r="H133" s="34" t="n">
        <v>46209</v>
      </c>
      <c r="I133" s="32"/>
      <c r="J133" s="34"/>
      <c r="K133" s="27" t="str">
        <f aca="false">IF(A133="","",IF(H133="","Open","Closed"))</f>
        <v>Closed</v>
      </c>
      <c r="L133" s="27" t="n">
        <f aca="false">IF(A133="","",IF(H133="",AsOf-B133,H133-B133))</f>
        <v>33</v>
      </c>
      <c r="M133" s="27" t="str">
        <f aca="false">IF(A133="","",IF(AND(K133="Open",L133&gt;Target),"Yes","No"))</f>
        <v>No</v>
      </c>
      <c r="N133" s="27" t="str">
        <f aca="false">IF(K133&lt;&gt;"Open","",IF(L133&lt;=30,"0-30",IF(L133&lt;=60,"31-60",IF(L133&lt;=90,"61-90","90+"))))</f>
        <v/>
      </c>
      <c r="O133" s="27" t="str">
        <f aca="false">IF(A133="","",IF(COUNTIFS($D$5:$D$400,D133,$F$5:$F$400,F133,$B$5:$B$400,"&gt;="&amp;(B133-RepeatWin),$B$5:$B$400,"&lt;"&amp;B133)&gt;0,"Yes","No"))</f>
        <v>No</v>
      </c>
      <c r="P133" s="35" t="str">
        <f aca="false">IF(OR(I133="",H133=""),"",H133+CapaDue)</f>
        <v/>
      </c>
      <c r="Q133" s="27" t="str">
        <f aca="false">IF(A133="","",IF(I133="","Not required",IF(J133&lt;&gt;"","Closed",IF(H133="","Awaiting dev. close",IF(AsOf&gt;P133,"Overdue","Open")))))</f>
        <v>Not required</v>
      </c>
      <c r="R133" s="27" t="str">
        <f aca="false">IF(J133="","",IF(COUNTIFS($D$5:$D$400,D133,$F$5:$F$400,F133,$B$5:$B$400,"&gt;"&amp;J133,$B$5:$B$400,"&lt;="&amp;(J133+EffWin))&gt;0,"Ineffective",IF(AsOf-J133&gt;=EffWin,"Effective","Check pending")))</f>
        <v/>
      </c>
      <c r="S133" s="36" t="n">
        <f aca="false">IF(A133="","",DATE(YEAR(B133),MONTH(B133),1))</f>
        <v>46174</v>
      </c>
      <c r="T133" s="36" t="n">
        <f aca="false">IF(H133="","",DATE(YEAR(H133),MONTH(H133),1))</f>
        <v>46204</v>
      </c>
      <c r="U133" s="27" t="n">
        <f aca="false">IF(H133="","",IF(AsOf-H133&lt;=90,L133,""))</f>
        <v>33</v>
      </c>
      <c r="V133" s="27" t="str">
        <f aca="false">IF(H133="","",IF(AND(AsOf-H133&gt;90,AsOf-H133&lt;=270),L133,""))</f>
        <v/>
      </c>
    </row>
    <row r="134" customFormat="false" ht="15" hidden="false" customHeight="false" outlineLevel="0" collapsed="false">
      <c r="A134" s="32" t="s">
        <v>348</v>
      </c>
      <c r="B134" s="34" t="n">
        <v>46180</v>
      </c>
      <c r="C134" s="32" t="s">
        <v>79</v>
      </c>
      <c r="D134" s="32" t="s">
        <v>215</v>
      </c>
      <c r="E134" s="32" t="s">
        <v>61</v>
      </c>
      <c r="F134" s="32" t="s">
        <v>97</v>
      </c>
      <c r="G134" s="32" t="s">
        <v>126</v>
      </c>
      <c r="H134" s="34" t="n">
        <v>46219</v>
      </c>
      <c r="I134" s="32"/>
      <c r="J134" s="34"/>
      <c r="K134" s="27" t="str">
        <f aca="false">IF(A134="","",IF(H134="","Open","Closed"))</f>
        <v>Closed</v>
      </c>
      <c r="L134" s="27" t="n">
        <f aca="false">IF(A134="","",IF(H134="",AsOf-B134,H134-B134))</f>
        <v>39</v>
      </c>
      <c r="M134" s="27" t="str">
        <f aca="false">IF(A134="","",IF(AND(K134="Open",L134&gt;Target),"Yes","No"))</f>
        <v>No</v>
      </c>
      <c r="N134" s="27" t="str">
        <f aca="false">IF(K134&lt;&gt;"Open","",IF(L134&lt;=30,"0-30",IF(L134&lt;=60,"31-60",IF(L134&lt;=90,"61-90","90+"))))</f>
        <v/>
      </c>
      <c r="O134" s="27" t="str">
        <f aca="false">IF(A134="","",IF(COUNTIFS($D$5:$D$400,D134,$F$5:$F$400,F134,$B$5:$B$400,"&gt;="&amp;(B134-RepeatWin),$B$5:$B$400,"&lt;"&amp;B134)&gt;0,"Yes","No"))</f>
        <v>No</v>
      </c>
      <c r="P134" s="35" t="str">
        <f aca="false">IF(OR(I134="",H134=""),"",H134+CapaDue)</f>
        <v/>
      </c>
      <c r="Q134" s="27" t="str">
        <f aca="false">IF(A134="","",IF(I134="","Not required",IF(J134&lt;&gt;"","Closed",IF(H134="","Awaiting dev. close",IF(AsOf&gt;P134,"Overdue","Open")))))</f>
        <v>Not required</v>
      </c>
      <c r="R134" s="27" t="str">
        <f aca="false">IF(J134="","",IF(COUNTIFS($D$5:$D$400,D134,$F$5:$F$400,F134,$B$5:$B$400,"&gt;"&amp;J134,$B$5:$B$400,"&lt;="&amp;(J134+EffWin))&gt;0,"Ineffective",IF(AsOf-J134&gt;=EffWin,"Effective","Check pending")))</f>
        <v/>
      </c>
      <c r="S134" s="36" t="n">
        <f aca="false">IF(A134="","",DATE(YEAR(B134),MONTH(B134),1))</f>
        <v>46174</v>
      </c>
      <c r="T134" s="36" t="n">
        <f aca="false">IF(H134="","",DATE(YEAR(H134),MONTH(H134),1))</f>
        <v>46204</v>
      </c>
      <c r="U134" s="27" t="n">
        <f aca="false">IF(H134="","",IF(AsOf-H134&lt;=90,L134,""))</f>
        <v>39</v>
      </c>
      <c r="V134" s="27" t="str">
        <f aca="false">IF(H134="","",IF(AND(AsOf-H134&gt;90,AsOf-H134&lt;=270),L134,""))</f>
        <v/>
      </c>
    </row>
    <row r="135" customFormat="false" ht="15" hidden="false" customHeight="false" outlineLevel="0" collapsed="false">
      <c r="A135" s="32" t="s">
        <v>349</v>
      </c>
      <c r="B135" s="34" t="n">
        <v>46182</v>
      </c>
      <c r="C135" s="32" t="s">
        <v>75</v>
      </c>
      <c r="D135" s="32" t="s">
        <v>188</v>
      </c>
      <c r="E135" s="32" t="s">
        <v>59</v>
      </c>
      <c r="F135" s="32" t="s">
        <v>102</v>
      </c>
      <c r="G135" s="32" t="s">
        <v>132</v>
      </c>
      <c r="H135" s="34" t="n">
        <v>46220</v>
      </c>
      <c r="I135" s="32" t="s">
        <v>350</v>
      </c>
      <c r="J135" s="34" t="n">
        <v>46278</v>
      </c>
      <c r="K135" s="27" t="str">
        <f aca="false">IF(A135="","",IF(H135="","Open","Closed"))</f>
        <v>Closed</v>
      </c>
      <c r="L135" s="27" t="n">
        <f aca="false">IF(A135="","",IF(H135="",AsOf-B135,H135-B135))</f>
        <v>38</v>
      </c>
      <c r="M135" s="27" t="str">
        <f aca="false">IF(A135="","",IF(AND(K135="Open",L135&gt;Target),"Yes","No"))</f>
        <v>No</v>
      </c>
      <c r="N135" s="27" t="str">
        <f aca="false">IF(K135&lt;&gt;"Open","",IF(L135&lt;=30,"0-30",IF(L135&lt;=60,"31-60",IF(L135&lt;=90,"61-90","90+"))))</f>
        <v/>
      </c>
      <c r="O135" s="27" t="str">
        <f aca="false">IF(A135="","",IF(COUNTIFS($D$5:$D$400,D135,$F$5:$F$400,F135,$B$5:$B$400,"&gt;="&amp;(B135-RepeatWin),$B$5:$B$400,"&lt;"&amp;B135)&gt;0,"Yes","No"))</f>
        <v>Yes</v>
      </c>
      <c r="P135" s="35" t="n">
        <f aca="false">IF(OR(I135="",H135=""),"",H135+CapaDue)</f>
        <v>46310</v>
      </c>
      <c r="Q135" s="27" t="str">
        <f aca="false">IF(A135="","",IF(I135="","Not required",IF(J135&lt;&gt;"","Closed",IF(H135="","Awaiting dev. close",IF(AsOf&gt;P135,"Overdue","Open")))))</f>
        <v>Closed</v>
      </c>
      <c r="R135" s="27" t="str">
        <f aca="false">IF(J135="","",IF(COUNTIFS($D$5:$D$400,D135,$F$5:$F$400,F135,$B$5:$B$400,"&gt;"&amp;J135,$B$5:$B$400,"&lt;="&amp;(J135+EffWin))&gt;0,"Ineffective",IF(AsOf-J135&gt;=EffWin,"Effective","Check pending")))</f>
        <v>Check pending</v>
      </c>
      <c r="S135" s="36" t="n">
        <f aca="false">IF(A135="","",DATE(YEAR(B135),MONTH(B135),1))</f>
        <v>46174</v>
      </c>
      <c r="T135" s="36" t="n">
        <f aca="false">IF(H135="","",DATE(YEAR(H135),MONTH(H135),1))</f>
        <v>46204</v>
      </c>
      <c r="U135" s="27" t="n">
        <f aca="false">IF(H135="","",IF(AsOf-H135&lt;=90,L135,""))</f>
        <v>38</v>
      </c>
      <c r="V135" s="27" t="str">
        <f aca="false">IF(H135="","",IF(AND(AsOf-H135&gt;90,AsOf-H135&lt;=270),L135,""))</f>
        <v/>
      </c>
    </row>
    <row r="136" customFormat="false" ht="15" hidden="false" customHeight="false" outlineLevel="0" collapsed="false">
      <c r="A136" s="32" t="s">
        <v>351</v>
      </c>
      <c r="B136" s="34" t="n">
        <v>46192</v>
      </c>
      <c r="C136" s="32" t="s">
        <v>73</v>
      </c>
      <c r="D136" s="32" t="s">
        <v>182</v>
      </c>
      <c r="E136" s="32" t="s">
        <v>61</v>
      </c>
      <c r="F136" s="32" t="s">
        <v>96</v>
      </c>
      <c r="G136" s="32" t="s">
        <v>128</v>
      </c>
      <c r="H136" s="34" t="n">
        <v>46229</v>
      </c>
      <c r="I136" s="32"/>
      <c r="J136" s="34"/>
      <c r="K136" s="27" t="str">
        <f aca="false">IF(A136="","",IF(H136="","Open","Closed"))</f>
        <v>Closed</v>
      </c>
      <c r="L136" s="27" t="n">
        <f aca="false">IF(A136="","",IF(H136="",AsOf-B136,H136-B136))</f>
        <v>37</v>
      </c>
      <c r="M136" s="27" t="str">
        <f aca="false">IF(A136="","",IF(AND(K136="Open",L136&gt;Target),"Yes","No"))</f>
        <v>No</v>
      </c>
      <c r="N136" s="27" t="str">
        <f aca="false">IF(K136&lt;&gt;"Open","",IF(L136&lt;=30,"0-30",IF(L136&lt;=60,"31-60",IF(L136&lt;=90,"61-90","90+"))))</f>
        <v/>
      </c>
      <c r="O136" s="27" t="str">
        <f aca="false">IF(A136="","",IF(COUNTIFS($D$5:$D$400,D136,$F$5:$F$400,F136,$B$5:$B$400,"&gt;="&amp;(B136-RepeatWin),$B$5:$B$400,"&lt;"&amp;B136)&gt;0,"Yes","No"))</f>
        <v>No</v>
      </c>
      <c r="P136" s="35" t="str">
        <f aca="false">IF(OR(I136="",H136=""),"",H136+CapaDue)</f>
        <v/>
      </c>
      <c r="Q136" s="27" t="str">
        <f aca="false">IF(A136="","",IF(I136="","Not required",IF(J136&lt;&gt;"","Closed",IF(H136="","Awaiting dev. close",IF(AsOf&gt;P136,"Overdue","Open")))))</f>
        <v>Not required</v>
      </c>
      <c r="R136" s="27" t="str">
        <f aca="false">IF(J136="","",IF(COUNTIFS($D$5:$D$400,D136,$F$5:$F$400,F136,$B$5:$B$400,"&gt;"&amp;J136,$B$5:$B$400,"&lt;="&amp;(J136+EffWin))&gt;0,"Ineffective",IF(AsOf-J136&gt;=EffWin,"Effective","Check pending")))</f>
        <v/>
      </c>
      <c r="S136" s="36" t="n">
        <f aca="false">IF(A136="","",DATE(YEAR(B136),MONTH(B136),1))</f>
        <v>46174</v>
      </c>
      <c r="T136" s="36" t="n">
        <f aca="false">IF(H136="","",DATE(YEAR(H136),MONTH(H136),1))</f>
        <v>46204</v>
      </c>
      <c r="U136" s="27" t="n">
        <f aca="false">IF(H136="","",IF(AsOf-H136&lt;=90,L136,""))</f>
        <v>37</v>
      </c>
      <c r="V136" s="27" t="str">
        <f aca="false">IF(H136="","",IF(AND(AsOf-H136&gt;90,AsOf-H136&lt;=270),L136,""))</f>
        <v/>
      </c>
    </row>
    <row r="137" customFormat="false" ht="15" hidden="false" customHeight="false" outlineLevel="0" collapsed="false">
      <c r="A137" s="32" t="s">
        <v>352</v>
      </c>
      <c r="B137" s="34" t="n">
        <v>46194</v>
      </c>
      <c r="C137" s="32" t="s">
        <v>81</v>
      </c>
      <c r="D137" s="32" t="s">
        <v>168</v>
      </c>
      <c r="E137" s="32" t="s">
        <v>61</v>
      </c>
      <c r="F137" s="32" t="s">
        <v>100</v>
      </c>
      <c r="G137" s="32" t="s">
        <v>126</v>
      </c>
      <c r="H137" s="34" t="n">
        <v>46230</v>
      </c>
      <c r="I137" s="32"/>
      <c r="J137" s="34"/>
      <c r="K137" s="27" t="str">
        <f aca="false">IF(A137="","",IF(H137="","Open","Closed"))</f>
        <v>Closed</v>
      </c>
      <c r="L137" s="27" t="n">
        <f aca="false">IF(A137="","",IF(H137="",AsOf-B137,H137-B137))</f>
        <v>36</v>
      </c>
      <c r="M137" s="27" t="str">
        <f aca="false">IF(A137="","",IF(AND(K137="Open",L137&gt;Target),"Yes","No"))</f>
        <v>No</v>
      </c>
      <c r="N137" s="27" t="str">
        <f aca="false">IF(K137&lt;&gt;"Open","",IF(L137&lt;=30,"0-30",IF(L137&lt;=60,"31-60",IF(L137&lt;=90,"61-90","90+"))))</f>
        <v/>
      </c>
      <c r="O137" s="27" t="str">
        <f aca="false">IF(A137="","",IF(COUNTIFS($D$5:$D$400,D137,$F$5:$F$400,F137,$B$5:$B$400,"&gt;="&amp;(B137-RepeatWin),$B$5:$B$400,"&lt;"&amp;B137)&gt;0,"Yes","No"))</f>
        <v>No</v>
      </c>
      <c r="P137" s="35" t="str">
        <f aca="false">IF(OR(I137="",H137=""),"",H137+CapaDue)</f>
        <v/>
      </c>
      <c r="Q137" s="27" t="str">
        <f aca="false">IF(A137="","",IF(I137="","Not required",IF(J137&lt;&gt;"","Closed",IF(H137="","Awaiting dev. close",IF(AsOf&gt;P137,"Overdue","Open")))))</f>
        <v>Not required</v>
      </c>
      <c r="R137" s="27" t="str">
        <f aca="false">IF(J137="","",IF(COUNTIFS($D$5:$D$400,D137,$F$5:$F$400,F137,$B$5:$B$400,"&gt;"&amp;J137,$B$5:$B$400,"&lt;="&amp;(J137+EffWin))&gt;0,"Ineffective",IF(AsOf-J137&gt;=EffWin,"Effective","Check pending")))</f>
        <v/>
      </c>
      <c r="S137" s="36" t="n">
        <f aca="false">IF(A137="","",DATE(YEAR(B137),MONTH(B137),1))</f>
        <v>46174</v>
      </c>
      <c r="T137" s="36" t="n">
        <f aca="false">IF(H137="","",DATE(YEAR(H137),MONTH(H137),1))</f>
        <v>46204</v>
      </c>
      <c r="U137" s="27" t="n">
        <f aca="false">IF(H137="","",IF(AsOf-H137&lt;=90,L137,""))</f>
        <v>36</v>
      </c>
      <c r="V137" s="27" t="str">
        <f aca="false">IF(H137="","",IF(AND(AsOf-H137&gt;90,AsOf-H137&lt;=270),L137,""))</f>
        <v/>
      </c>
    </row>
    <row r="138" customFormat="false" ht="15" hidden="false" customHeight="false" outlineLevel="0" collapsed="false">
      <c r="A138" s="32" t="s">
        <v>353</v>
      </c>
      <c r="B138" s="34" t="n">
        <v>46196</v>
      </c>
      <c r="C138" s="32" t="s">
        <v>77</v>
      </c>
      <c r="D138" s="32" t="s">
        <v>354</v>
      </c>
      <c r="E138" s="32" t="s">
        <v>57</v>
      </c>
      <c r="F138" s="32" t="s">
        <v>95</v>
      </c>
      <c r="G138" s="32" t="s">
        <v>126</v>
      </c>
      <c r="H138" s="34"/>
      <c r="I138" s="32" t="s">
        <v>355</v>
      </c>
      <c r="J138" s="34"/>
      <c r="K138" s="27" t="str">
        <f aca="false">IF(A138="","",IF(H138="","Open","Closed"))</f>
        <v>Open</v>
      </c>
      <c r="L138" s="27" t="n">
        <f aca="false">IF(A138="","",IF(H138="",AsOf-B138,H138-B138))</f>
        <v>99</v>
      </c>
      <c r="M138" s="27" t="str">
        <f aca="false">IF(A138="","",IF(AND(K138="Open",L138&gt;Target),"Yes","No"))</f>
        <v>Yes</v>
      </c>
      <c r="N138" s="27" t="str">
        <f aca="false">IF(K138&lt;&gt;"Open","",IF(L138&lt;=30,"0-30",IF(L138&lt;=60,"31-60",IF(L138&lt;=90,"61-90","90+"))))</f>
        <v>90+</v>
      </c>
      <c r="O138" s="27" t="str">
        <f aca="false">IF(A138="","",IF(COUNTIFS($D$5:$D$400,D138,$F$5:$F$400,F138,$B$5:$B$400,"&gt;="&amp;(B138-RepeatWin),$B$5:$B$400,"&lt;"&amp;B138)&gt;0,"Yes","No"))</f>
        <v>No</v>
      </c>
      <c r="P138" s="35" t="str">
        <f aca="false">IF(OR(I138="",H138=""),"",H138+CapaDue)</f>
        <v/>
      </c>
      <c r="Q138" s="27" t="str">
        <f aca="false">IF(A138="","",IF(I138="","Not required",IF(J138&lt;&gt;"","Closed",IF(H138="","Awaiting dev. close",IF(AsOf&gt;P138,"Overdue","Open")))))</f>
        <v>Awaiting dev. close</v>
      </c>
      <c r="R138" s="27" t="str">
        <f aca="false">IF(J138="","",IF(COUNTIFS($D$5:$D$400,D138,$F$5:$F$400,F138,$B$5:$B$400,"&gt;"&amp;J138,$B$5:$B$400,"&lt;="&amp;(J138+EffWin))&gt;0,"Ineffective",IF(AsOf-J138&gt;=EffWin,"Effective","Check pending")))</f>
        <v/>
      </c>
      <c r="S138" s="36" t="n">
        <f aca="false">IF(A138="","",DATE(YEAR(B138),MONTH(B138),1))</f>
        <v>46174</v>
      </c>
      <c r="T138" s="36" t="str">
        <f aca="false">IF(H138="","",DATE(YEAR(H138),MONTH(H138),1))</f>
        <v/>
      </c>
      <c r="U138" s="27" t="str">
        <f aca="false">IF(H138="","",IF(AsOf-H138&lt;=90,L138,""))</f>
        <v/>
      </c>
      <c r="V138" s="27" t="str">
        <f aca="false">IF(H138="","",IF(AND(AsOf-H138&gt;90,AsOf-H138&lt;=270),L138,""))</f>
        <v/>
      </c>
    </row>
    <row r="139" customFormat="false" ht="15" hidden="false" customHeight="false" outlineLevel="0" collapsed="false">
      <c r="A139" s="32" t="s">
        <v>356</v>
      </c>
      <c r="B139" s="34" t="n">
        <v>46199</v>
      </c>
      <c r="C139" s="32" t="s">
        <v>73</v>
      </c>
      <c r="D139" s="32" t="s">
        <v>164</v>
      </c>
      <c r="E139" s="32" t="s">
        <v>61</v>
      </c>
      <c r="F139" s="32" t="s">
        <v>94</v>
      </c>
      <c r="G139" s="32" t="s">
        <v>129</v>
      </c>
      <c r="H139" s="34" t="n">
        <v>46230</v>
      </c>
      <c r="I139" s="32"/>
      <c r="J139" s="34"/>
      <c r="K139" s="27" t="str">
        <f aca="false">IF(A139="","",IF(H139="","Open","Closed"))</f>
        <v>Closed</v>
      </c>
      <c r="L139" s="27" t="n">
        <f aca="false">IF(A139="","",IF(H139="",AsOf-B139,H139-B139))</f>
        <v>31</v>
      </c>
      <c r="M139" s="27" t="str">
        <f aca="false">IF(A139="","",IF(AND(K139="Open",L139&gt;Target),"Yes","No"))</f>
        <v>No</v>
      </c>
      <c r="N139" s="27" t="str">
        <f aca="false">IF(K139&lt;&gt;"Open","",IF(L139&lt;=30,"0-30",IF(L139&lt;=60,"31-60",IF(L139&lt;=90,"61-90","90+"))))</f>
        <v/>
      </c>
      <c r="O139" s="27" t="str">
        <f aca="false">IF(A139="","",IF(COUNTIFS($D$5:$D$400,D139,$F$5:$F$400,F139,$B$5:$B$400,"&gt;="&amp;(B139-RepeatWin),$B$5:$B$400,"&lt;"&amp;B139)&gt;0,"Yes","No"))</f>
        <v>No</v>
      </c>
      <c r="P139" s="35" t="str">
        <f aca="false">IF(OR(I139="",H139=""),"",H139+CapaDue)</f>
        <v/>
      </c>
      <c r="Q139" s="27" t="str">
        <f aca="false">IF(A139="","",IF(I139="","Not required",IF(J139&lt;&gt;"","Closed",IF(H139="","Awaiting dev. close",IF(AsOf&gt;P139,"Overdue","Open")))))</f>
        <v>Not required</v>
      </c>
      <c r="R139" s="27" t="str">
        <f aca="false">IF(J139="","",IF(COUNTIFS($D$5:$D$400,D139,$F$5:$F$400,F139,$B$5:$B$400,"&gt;"&amp;J139,$B$5:$B$400,"&lt;="&amp;(J139+EffWin))&gt;0,"Ineffective",IF(AsOf-J139&gt;=EffWin,"Effective","Check pending")))</f>
        <v/>
      </c>
      <c r="S139" s="36" t="n">
        <f aca="false">IF(A139="","",DATE(YEAR(B139),MONTH(B139),1))</f>
        <v>46174</v>
      </c>
      <c r="T139" s="36" t="n">
        <f aca="false">IF(H139="","",DATE(YEAR(H139),MONTH(H139),1))</f>
        <v>46204</v>
      </c>
      <c r="U139" s="27" t="n">
        <f aca="false">IF(H139="","",IF(AsOf-H139&lt;=90,L139,""))</f>
        <v>31</v>
      </c>
      <c r="V139" s="27" t="str">
        <f aca="false">IF(H139="","",IF(AND(AsOf-H139&gt;90,AsOf-H139&lt;=270),L139,""))</f>
        <v/>
      </c>
    </row>
    <row r="140" customFormat="false" ht="15" hidden="false" customHeight="false" outlineLevel="0" collapsed="false">
      <c r="A140" s="32" t="s">
        <v>357</v>
      </c>
      <c r="B140" s="34" t="n">
        <v>46200</v>
      </c>
      <c r="C140" s="32" t="s">
        <v>81</v>
      </c>
      <c r="D140" s="32" t="s">
        <v>171</v>
      </c>
      <c r="E140" s="32" t="s">
        <v>61</v>
      </c>
      <c r="F140" s="32" t="s">
        <v>95</v>
      </c>
      <c r="G140" s="32" t="s">
        <v>131</v>
      </c>
      <c r="H140" s="34" t="n">
        <v>46233</v>
      </c>
      <c r="I140" s="32"/>
      <c r="J140" s="34"/>
      <c r="K140" s="27" t="str">
        <f aca="false">IF(A140="","",IF(H140="","Open","Closed"))</f>
        <v>Closed</v>
      </c>
      <c r="L140" s="27" t="n">
        <f aca="false">IF(A140="","",IF(H140="",AsOf-B140,H140-B140))</f>
        <v>33</v>
      </c>
      <c r="M140" s="27" t="str">
        <f aca="false">IF(A140="","",IF(AND(K140="Open",L140&gt;Target),"Yes","No"))</f>
        <v>No</v>
      </c>
      <c r="N140" s="27" t="str">
        <f aca="false">IF(K140&lt;&gt;"Open","",IF(L140&lt;=30,"0-30",IF(L140&lt;=60,"31-60",IF(L140&lt;=90,"61-90","90+"))))</f>
        <v/>
      </c>
      <c r="O140" s="27" t="str">
        <f aca="false">IF(A140="","",IF(COUNTIFS($D$5:$D$400,D140,$F$5:$F$400,F140,$B$5:$B$400,"&gt;="&amp;(B140-RepeatWin),$B$5:$B$400,"&lt;"&amp;B140)&gt;0,"Yes","No"))</f>
        <v>No</v>
      </c>
      <c r="P140" s="35" t="str">
        <f aca="false">IF(OR(I140="",H140=""),"",H140+CapaDue)</f>
        <v/>
      </c>
      <c r="Q140" s="27" t="str">
        <f aca="false">IF(A140="","",IF(I140="","Not required",IF(J140&lt;&gt;"","Closed",IF(H140="","Awaiting dev. close",IF(AsOf&gt;P140,"Overdue","Open")))))</f>
        <v>Not required</v>
      </c>
      <c r="R140" s="27" t="str">
        <f aca="false">IF(J140="","",IF(COUNTIFS($D$5:$D$400,D140,$F$5:$F$400,F140,$B$5:$B$400,"&gt;"&amp;J140,$B$5:$B$400,"&lt;="&amp;(J140+EffWin))&gt;0,"Ineffective",IF(AsOf-J140&gt;=EffWin,"Effective","Check pending")))</f>
        <v/>
      </c>
      <c r="S140" s="36" t="n">
        <f aca="false">IF(A140="","",DATE(YEAR(B140),MONTH(B140),1))</f>
        <v>46174</v>
      </c>
      <c r="T140" s="36" t="n">
        <f aca="false">IF(H140="","",DATE(YEAR(H140),MONTH(H140),1))</f>
        <v>46204</v>
      </c>
      <c r="U140" s="27" t="n">
        <f aca="false">IF(H140="","",IF(AsOf-H140&lt;=90,L140,""))</f>
        <v>33</v>
      </c>
      <c r="V140" s="27" t="str">
        <f aca="false">IF(H140="","",IF(AND(AsOf-H140&gt;90,AsOf-H140&lt;=270),L140,""))</f>
        <v/>
      </c>
    </row>
    <row r="141" customFormat="false" ht="15" hidden="false" customHeight="false" outlineLevel="0" collapsed="false">
      <c r="A141" s="32" t="s">
        <v>358</v>
      </c>
      <c r="B141" s="34" t="n">
        <v>46204</v>
      </c>
      <c r="C141" s="32" t="s">
        <v>81</v>
      </c>
      <c r="D141" s="32" t="s">
        <v>176</v>
      </c>
      <c r="E141" s="32" t="s">
        <v>61</v>
      </c>
      <c r="F141" s="32" t="s">
        <v>104</v>
      </c>
      <c r="G141" s="32" t="s">
        <v>127</v>
      </c>
      <c r="H141" s="34" t="n">
        <v>46235</v>
      </c>
      <c r="I141" s="32"/>
      <c r="J141" s="34"/>
      <c r="K141" s="27" t="str">
        <f aca="false">IF(A141="","",IF(H141="","Open","Closed"))</f>
        <v>Closed</v>
      </c>
      <c r="L141" s="27" t="n">
        <f aca="false">IF(A141="","",IF(H141="",AsOf-B141,H141-B141))</f>
        <v>31</v>
      </c>
      <c r="M141" s="27" t="str">
        <f aca="false">IF(A141="","",IF(AND(K141="Open",L141&gt;Target),"Yes","No"))</f>
        <v>No</v>
      </c>
      <c r="N141" s="27" t="str">
        <f aca="false">IF(K141&lt;&gt;"Open","",IF(L141&lt;=30,"0-30",IF(L141&lt;=60,"31-60",IF(L141&lt;=90,"61-90","90+"))))</f>
        <v/>
      </c>
      <c r="O141" s="27" t="str">
        <f aca="false">IF(A141="","",IF(COUNTIFS($D$5:$D$400,D141,$F$5:$F$400,F141,$B$5:$B$400,"&gt;="&amp;(B141-RepeatWin),$B$5:$B$400,"&lt;"&amp;B141)&gt;0,"Yes","No"))</f>
        <v>No</v>
      </c>
      <c r="P141" s="35" t="str">
        <f aca="false">IF(OR(I141="",H141=""),"",H141+CapaDue)</f>
        <v/>
      </c>
      <c r="Q141" s="27" t="str">
        <f aca="false">IF(A141="","",IF(I141="","Not required",IF(J141&lt;&gt;"","Closed",IF(H141="","Awaiting dev. close",IF(AsOf&gt;P141,"Overdue","Open")))))</f>
        <v>Not required</v>
      </c>
      <c r="R141" s="27" t="str">
        <f aca="false">IF(J141="","",IF(COUNTIFS($D$5:$D$400,D141,$F$5:$F$400,F141,$B$5:$B$400,"&gt;"&amp;J141,$B$5:$B$400,"&lt;="&amp;(J141+EffWin))&gt;0,"Ineffective",IF(AsOf-J141&gt;=EffWin,"Effective","Check pending")))</f>
        <v/>
      </c>
      <c r="S141" s="36" t="n">
        <f aca="false">IF(A141="","",DATE(YEAR(B141),MONTH(B141),1))</f>
        <v>46204</v>
      </c>
      <c r="T141" s="36" t="n">
        <f aca="false">IF(H141="","",DATE(YEAR(H141),MONTH(H141),1))</f>
        <v>46235</v>
      </c>
      <c r="U141" s="27" t="n">
        <f aca="false">IF(H141="","",IF(AsOf-H141&lt;=90,L141,""))</f>
        <v>31</v>
      </c>
      <c r="V141" s="27" t="str">
        <f aca="false">IF(H141="","",IF(AND(AsOf-H141&gt;90,AsOf-H141&lt;=270),L141,""))</f>
        <v/>
      </c>
    </row>
    <row r="142" customFormat="false" ht="15" hidden="false" customHeight="false" outlineLevel="0" collapsed="false">
      <c r="A142" s="32" t="s">
        <v>359</v>
      </c>
      <c r="B142" s="34" t="n">
        <v>46206</v>
      </c>
      <c r="C142" s="32" t="s">
        <v>81</v>
      </c>
      <c r="D142" s="32" t="s">
        <v>168</v>
      </c>
      <c r="E142" s="32" t="s">
        <v>61</v>
      </c>
      <c r="F142" s="32" t="s">
        <v>100</v>
      </c>
      <c r="G142" s="32" t="s">
        <v>129</v>
      </c>
      <c r="H142" s="34" t="n">
        <v>46243</v>
      </c>
      <c r="I142" s="32" t="s">
        <v>360</v>
      </c>
      <c r="J142" s="34" t="n">
        <v>46281</v>
      </c>
      <c r="K142" s="27" t="str">
        <f aca="false">IF(A142="","",IF(H142="","Open","Closed"))</f>
        <v>Closed</v>
      </c>
      <c r="L142" s="27" t="n">
        <f aca="false">IF(A142="","",IF(H142="",AsOf-B142,H142-B142))</f>
        <v>37</v>
      </c>
      <c r="M142" s="27" t="str">
        <f aca="false">IF(A142="","",IF(AND(K142="Open",L142&gt;Target),"Yes","No"))</f>
        <v>No</v>
      </c>
      <c r="N142" s="27" t="str">
        <f aca="false">IF(K142&lt;&gt;"Open","",IF(L142&lt;=30,"0-30",IF(L142&lt;=60,"31-60",IF(L142&lt;=90,"61-90","90+"))))</f>
        <v/>
      </c>
      <c r="O142" s="27" t="str">
        <f aca="false">IF(A142="","",IF(COUNTIFS($D$5:$D$400,D142,$F$5:$F$400,F142,$B$5:$B$400,"&gt;="&amp;(B142-RepeatWin),$B$5:$B$400,"&lt;"&amp;B142)&gt;0,"Yes","No"))</f>
        <v>Yes</v>
      </c>
      <c r="P142" s="35" t="n">
        <f aca="false">IF(OR(I142="",H142=""),"",H142+CapaDue)</f>
        <v>46333</v>
      </c>
      <c r="Q142" s="27" t="str">
        <f aca="false">IF(A142="","",IF(I142="","Not required",IF(J142&lt;&gt;"","Closed",IF(H142="","Awaiting dev. close",IF(AsOf&gt;P142,"Overdue","Open")))))</f>
        <v>Closed</v>
      </c>
      <c r="R142" s="27" t="str">
        <f aca="false">IF(J142="","",IF(COUNTIFS($D$5:$D$400,D142,$F$5:$F$400,F142,$B$5:$B$400,"&gt;"&amp;J142,$B$5:$B$400,"&lt;="&amp;(J142+EffWin))&gt;0,"Ineffective",IF(AsOf-J142&gt;=EffWin,"Effective","Check pending")))</f>
        <v>Check pending</v>
      </c>
      <c r="S142" s="36" t="n">
        <f aca="false">IF(A142="","",DATE(YEAR(B142),MONTH(B142),1))</f>
        <v>46204</v>
      </c>
      <c r="T142" s="36" t="n">
        <f aca="false">IF(H142="","",DATE(YEAR(H142),MONTH(H142),1))</f>
        <v>46235</v>
      </c>
      <c r="U142" s="27" t="n">
        <f aca="false">IF(H142="","",IF(AsOf-H142&lt;=90,L142,""))</f>
        <v>37</v>
      </c>
      <c r="V142" s="27" t="str">
        <f aca="false">IF(H142="","",IF(AND(AsOf-H142&gt;90,AsOf-H142&lt;=270),L142,""))</f>
        <v/>
      </c>
    </row>
    <row r="143" customFormat="false" ht="15" hidden="false" customHeight="false" outlineLevel="0" collapsed="false">
      <c r="A143" s="32" t="s">
        <v>361</v>
      </c>
      <c r="B143" s="34" t="n">
        <v>46206</v>
      </c>
      <c r="C143" s="32" t="s">
        <v>79</v>
      </c>
      <c r="D143" s="32" t="s">
        <v>299</v>
      </c>
      <c r="E143" s="32" t="s">
        <v>61</v>
      </c>
      <c r="F143" s="32" t="s">
        <v>96</v>
      </c>
      <c r="G143" s="32" t="s">
        <v>131</v>
      </c>
      <c r="H143" s="34" t="n">
        <v>46232</v>
      </c>
      <c r="I143" s="32"/>
      <c r="J143" s="34"/>
      <c r="K143" s="27" t="str">
        <f aca="false">IF(A143="","",IF(H143="","Open","Closed"))</f>
        <v>Closed</v>
      </c>
      <c r="L143" s="27" t="n">
        <f aca="false">IF(A143="","",IF(H143="",AsOf-B143,H143-B143))</f>
        <v>26</v>
      </c>
      <c r="M143" s="27" t="str">
        <f aca="false">IF(A143="","",IF(AND(K143="Open",L143&gt;Target),"Yes","No"))</f>
        <v>No</v>
      </c>
      <c r="N143" s="27" t="str">
        <f aca="false">IF(K143&lt;&gt;"Open","",IF(L143&lt;=30,"0-30",IF(L143&lt;=60,"31-60",IF(L143&lt;=90,"61-90","90+"))))</f>
        <v/>
      </c>
      <c r="O143" s="27" t="str">
        <f aca="false">IF(A143="","",IF(COUNTIFS($D$5:$D$400,D143,$F$5:$F$400,F143,$B$5:$B$400,"&gt;="&amp;(B143-RepeatWin),$B$5:$B$400,"&lt;"&amp;B143)&gt;0,"Yes","No"))</f>
        <v>No</v>
      </c>
      <c r="P143" s="35" t="str">
        <f aca="false">IF(OR(I143="",H143=""),"",H143+CapaDue)</f>
        <v/>
      </c>
      <c r="Q143" s="27" t="str">
        <f aca="false">IF(A143="","",IF(I143="","Not required",IF(J143&lt;&gt;"","Closed",IF(H143="","Awaiting dev. close",IF(AsOf&gt;P143,"Overdue","Open")))))</f>
        <v>Not required</v>
      </c>
      <c r="R143" s="27" t="str">
        <f aca="false">IF(J143="","",IF(COUNTIFS($D$5:$D$400,D143,$F$5:$F$400,F143,$B$5:$B$400,"&gt;"&amp;J143,$B$5:$B$400,"&lt;="&amp;(J143+EffWin))&gt;0,"Ineffective",IF(AsOf-J143&gt;=EffWin,"Effective","Check pending")))</f>
        <v/>
      </c>
      <c r="S143" s="36" t="n">
        <f aca="false">IF(A143="","",DATE(YEAR(B143),MONTH(B143),1))</f>
        <v>46204</v>
      </c>
      <c r="T143" s="36" t="n">
        <f aca="false">IF(H143="","",DATE(YEAR(H143),MONTH(H143),1))</f>
        <v>46204</v>
      </c>
      <c r="U143" s="27" t="n">
        <f aca="false">IF(H143="","",IF(AsOf-H143&lt;=90,L143,""))</f>
        <v>26</v>
      </c>
      <c r="V143" s="27" t="str">
        <f aca="false">IF(H143="","",IF(AND(AsOf-H143&gt;90,AsOf-H143&lt;=270),L143,""))</f>
        <v/>
      </c>
    </row>
    <row r="144" customFormat="false" ht="15" hidden="false" customHeight="false" outlineLevel="0" collapsed="false">
      <c r="A144" s="32" t="s">
        <v>362</v>
      </c>
      <c r="B144" s="34" t="n">
        <v>46207</v>
      </c>
      <c r="C144" s="32" t="s">
        <v>77</v>
      </c>
      <c r="D144" s="32" t="s">
        <v>230</v>
      </c>
      <c r="E144" s="32" t="s">
        <v>61</v>
      </c>
      <c r="F144" s="32" t="s">
        <v>94</v>
      </c>
      <c r="G144" s="32" t="s">
        <v>126</v>
      </c>
      <c r="H144" s="34" t="n">
        <v>46254</v>
      </c>
      <c r="I144" s="32"/>
      <c r="J144" s="34"/>
      <c r="K144" s="27" t="str">
        <f aca="false">IF(A144="","",IF(H144="","Open","Closed"))</f>
        <v>Closed</v>
      </c>
      <c r="L144" s="27" t="n">
        <f aca="false">IF(A144="","",IF(H144="",AsOf-B144,H144-B144))</f>
        <v>47</v>
      </c>
      <c r="M144" s="27" t="str">
        <f aca="false">IF(A144="","",IF(AND(K144="Open",L144&gt;Target),"Yes","No"))</f>
        <v>No</v>
      </c>
      <c r="N144" s="27" t="str">
        <f aca="false">IF(K144&lt;&gt;"Open","",IF(L144&lt;=30,"0-30",IF(L144&lt;=60,"31-60",IF(L144&lt;=90,"61-90","90+"))))</f>
        <v/>
      </c>
      <c r="O144" s="27" t="str">
        <f aca="false">IF(A144="","",IF(COUNTIFS($D$5:$D$400,D144,$F$5:$F$400,F144,$B$5:$B$400,"&gt;="&amp;(B144-RepeatWin),$B$5:$B$400,"&lt;"&amp;B144)&gt;0,"Yes","No"))</f>
        <v>No</v>
      </c>
      <c r="P144" s="35" t="str">
        <f aca="false">IF(OR(I144="",H144=""),"",H144+CapaDue)</f>
        <v/>
      </c>
      <c r="Q144" s="27" t="str">
        <f aca="false">IF(A144="","",IF(I144="","Not required",IF(J144&lt;&gt;"","Closed",IF(H144="","Awaiting dev. close",IF(AsOf&gt;P144,"Overdue","Open")))))</f>
        <v>Not required</v>
      </c>
      <c r="R144" s="27" t="str">
        <f aca="false">IF(J144="","",IF(COUNTIFS($D$5:$D$400,D144,$F$5:$F$400,F144,$B$5:$B$400,"&gt;"&amp;J144,$B$5:$B$400,"&lt;="&amp;(J144+EffWin))&gt;0,"Ineffective",IF(AsOf-J144&gt;=EffWin,"Effective","Check pending")))</f>
        <v/>
      </c>
      <c r="S144" s="36" t="n">
        <f aca="false">IF(A144="","",DATE(YEAR(B144),MONTH(B144),1))</f>
        <v>46204</v>
      </c>
      <c r="T144" s="36" t="n">
        <f aca="false">IF(H144="","",DATE(YEAR(H144),MONTH(H144),1))</f>
        <v>46235</v>
      </c>
      <c r="U144" s="27" t="n">
        <f aca="false">IF(H144="","",IF(AsOf-H144&lt;=90,L144,""))</f>
        <v>47</v>
      </c>
      <c r="V144" s="27" t="str">
        <f aca="false">IF(H144="","",IF(AND(AsOf-H144&gt;90,AsOf-H144&lt;=270),L144,""))</f>
        <v/>
      </c>
    </row>
    <row r="145" customFormat="false" ht="15" hidden="false" customHeight="false" outlineLevel="0" collapsed="false">
      <c r="A145" s="32" t="s">
        <v>363</v>
      </c>
      <c r="B145" s="34" t="n">
        <v>46218</v>
      </c>
      <c r="C145" s="32" t="s">
        <v>79</v>
      </c>
      <c r="D145" s="32" t="s">
        <v>217</v>
      </c>
      <c r="E145" s="32" t="s">
        <v>59</v>
      </c>
      <c r="F145" s="32" t="s">
        <v>99</v>
      </c>
      <c r="G145" s="32" t="s">
        <v>130</v>
      </c>
      <c r="H145" s="34" t="n">
        <v>46269</v>
      </c>
      <c r="I145" s="32" t="s">
        <v>364</v>
      </c>
      <c r="J145" s="34"/>
      <c r="K145" s="27" t="str">
        <f aca="false">IF(A145="","",IF(H145="","Open","Closed"))</f>
        <v>Closed</v>
      </c>
      <c r="L145" s="27" t="n">
        <f aca="false">IF(A145="","",IF(H145="",AsOf-B145,H145-B145))</f>
        <v>51</v>
      </c>
      <c r="M145" s="27" t="str">
        <f aca="false">IF(A145="","",IF(AND(K145="Open",L145&gt;Target),"Yes","No"))</f>
        <v>No</v>
      </c>
      <c r="N145" s="27" t="str">
        <f aca="false">IF(K145&lt;&gt;"Open","",IF(L145&lt;=30,"0-30",IF(L145&lt;=60,"31-60",IF(L145&lt;=90,"61-90","90+"))))</f>
        <v/>
      </c>
      <c r="O145" s="27" t="str">
        <f aca="false">IF(A145="","",IF(COUNTIFS($D$5:$D$400,D145,$F$5:$F$400,F145,$B$5:$B$400,"&gt;="&amp;(B145-RepeatWin),$B$5:$B$400,"&lt;"&amp;B145)&gt;0,"Yes","No"))</f>
        <v>No</v>
      </c>
      <c r="P145" s="35" t="n">
        <f aca="false">IF(OR(I145="",H145=""),"",H145+CapaDue)</f>
        <v>46359</v>
      </c>
      <c r="Q145" s="27" t="str">
        <f aca="false">IF(A145="","",IF(I145="","Not required",IF(J145&lt;&gt;"","Closed",IF(H145="","Awaiting dev. close",IF(AsOf&gt;P145,"Overdue","Open")))))</f>
        <v>Open</v>
      </c>
      <c r="R145" s="27" t="str">
        <f aca="false">IF(J145="","",IF(COUNTIFS($D$5:$D$400,D145,$F$5:$F$400,F145,$B$5:$B$400,"&gt;"&amp;J145,$B$5:$B$400,"&lt;="&amp;(J145+EffWin))&gt;0,"Ineffective",IF(AsOf-J145&gt;=EffWin,"Effective","Check pending")))</f>
        <v/>
      </c>
      <c r="S145" s="36" t="n">
        <f aca="false">IF(A145="","",DATE(YEAR(B145),MONTH(B145),1))</f>
        <v>46204</v>
      </c>
      <c r="T145" s="36" t="n">
        <f aca="false">IF(H145="","",DATE(YEAR(H145),MONTH(H145),1))</f>
        <v>46266</v>
      </c>
      <c r="U145" s="27" t="n">
        <f aca="false">IF(H145="","",IF(AsOf-H145&lt;=90,L145,""))</f>
        <v>51</v>
      </c>
      <c r="V145" s="27" t="str">
        <f aca="false">IF(H145="","",IF(AND(AsOf-H145&gt;90,AsOf-H145&lt;=270),L145,""))</f>
        <v/>
      </c>
    </row>
    <row r="146" customFormat="false" ht="15" hidden="false" customHeight="false" outlineLevel="0" collapsed="false">
      <c r="A146" s="32" t="s">
        <v>365</v>
      </c>
      <c r="B146" s="34" t="n">
        <v>46220</v>
      </c>
      <c r="C146" s="32" t="s">
        <v>81</v>
      </c>
      <c r="D146" s="32" t="s">
        <v>155</v>
      </c>
      <c r="E146" s="32" t="s">
        <v>61</v>
      </c>
      <c r="F146" s="32" t="s">
        <v>100</v>
      </c>
      <c r="G146" s="32" t="s">
        <v>129</v>
      </c>
      <c r="H146" s="34" t="n">
        <v>46259</v>
      </c>
      <c r="I146" s="32"/>
      <c r="J146" s="34"/>
      <c r="K146" s="27" t="str">
        <f aca="false">IF(A146="","",IF(H146="","Open","Closed"))</f>
        <v>Closed</v>
      </c>
      <c r="L146" s="27" t="n">
        <f aca="false">IF(A146="","",IF(H146="",AsOf-B146,H146-B146))</f>
        <v>39</v>
      </c>
      <c r="M146" s="27" t="str">
        <f aca="false">IF(A146="","",IF(AND(K146="Open",L146&gt;Target),"Yes","No"))</f>
        <v>No</v>
      </c>
      <c r="N146" s="27" t="str">
        <f aca="false">IF(K146&lt;&gt;"Open","",IF(L146&lt;=30,"0-30",IF(L146&lt;=60,"31-60",IF(L146&lt;=90,"61-90","90+"))))</f>
        <v/>
      </c>
      <c r="O146" s="27" t="str">
        <f aca="false">IF(A146="","",IF(COUNTIFS($D$5:$D$400,D146,$F$5:$F$400,F146,$B$5:$B$400,"&gt;="&amp;(B146-RepeatWin),$B$5:$B$400,"&lt;"&amp;B146)&gt;0,"Yes","No"))</f>
        <v>No</v>
      </c>
      <c r="P146" s="35" t="str">
        <f aca="false">IF(OR(I146="",H146=""),"",H146+CapaDue)</f>
        <v/>
      </c>
      <c r="Q146" s="27" t="str">
        <f aca="false">IF(A146="","",IF(I146="","Not required",IF(J146&lt;&gt;"","Closed",IF(H146="","Awaiting dev. close",IF(AsOf&gt;P146,"Overdue","Open")))))</f>
        <v>Not required</v>
      </c>
      <c r="R146" s="27" t="str">
        <f aca="false">IF(J146="","",IF(COUNTIFS($D$5:$D$400,D146,$F$5:$F$400,F146,$B$5:$B$400,"&gt;"&amp;J146,$B$5:$B$400,"&lt;="&amp;(J146+EffWin))&gt;0,"Ineffective",IF(AsOf-J146&gt;=EffWin,"Effective","Check pending")))</f>
        <v/>
      </c>
      <c r="S146" s="36" t="n">
        <f aca="false">IF(A146="","",DATE(YEAR(B146),MONTH(B146),1))</f>
        <v>46204</v>
      </c>
      <c r="T146" s="36" t="n">
        <f aca="false">IF(H146="","",DATE(YEAR(H146),MONTH(H146),1))</f>
        <v>46235</v>
      </c>
      <c r="U146" s="27" t="n">
        <f aca="false">IF(H146="","",IF(AsOf-H146&lt;=90,L146,""))</f>
        <v>39</v>
      </c>
      <c r="V146" s="27" t="str">
        <f aca="false">IF(H146="","",IF(AND(AsOf-H146&gt;90,AsOf-H146&lt;=270),L146,""))</f>
        <v/>
      </c>
    </row>
    <row r="147" customFormat="false" ht="15" hidden="false" customHeight="false" outlineLevel="0" collapsed="false">
      <c r="A147" s="32" t="s">
        <v>366</v>
      </c>
      <c r="B147" s="34" t="n">
        <v>46220</v>
      </c>
      <c r="C147" s="32" t="s">
        <v>73</v>
      </c>
      <c r="D147" s="32" t="s">
        <v>226</v>
      </c>
      <c r="E147" s="32" t="s">
        <v>59</v>
      </c>
      <c r="F147" s="32" t="s">
        <v>97</v>
      </c>
      <c r="G147" s="32" t="s">
        <v>126</v>
      </c>
      <c r="H147" s="34" t="n">
        <v>46266</v>
      </c>
      <c r="I147" s="32" t="s">
        <v>367</v>
      </c>
      <c r="J147" s="34"/>
      <c r="K147" s="27" t="str">
        <f aca="false">IF(A147="","",IF(H147="","Open","Closed"))</f>
        <v>Closed</v>
      </c>
      <c r="L147" s="27" t="n">
        <f aca="false">IF(A147="","",IF(H147="",AsOf-B147,H147-B147))</f>
        <v>46</v>
      </c>
      <c r="M147" s="27" t="str">
        <f aca="false">IF(A147="","",IF(AND(K147="Open",L147&gt;Target),"Yes","No"))</f>
        <v>No</v>
      </c>
      <c r="N147" s="27" t="str">
        <f aca="false">IF(K147&lt;&gt;"Open","",IF(L147&lt;=30,"0-30",IF(L147&lt;=60,"31-60",IF(L147&lt;=90,"61-90","90+"))))</f>
        <v/>
      </c>
      <c r="O147" s="27" t="str">
        <f aca="false">IF(A147="","",IF(COUNTIFS($D$5:$D$400,D147,$F$5:$F$400,F147,$B$5:$B$400,"&gt;="&amp;(B147-RepeatWin),$B$5:$B$400,"&lt;"&amp;B147)&gt;0,"Yes","No"))</f>
        <v>No</v>
      </c>
      <c r="P147" s="35" t="n">
        <f aca="false">IF(OR(I147="",H147=""),"",H147+CapaDue)</f>
        <v>46356</v>
      </c>
      <c r="Q147" s="27" t="str">
        <f aca="false">IF(A147="","",IF(I147="","Not required",IF(J147&lt;&gt;"","Closed",IF(H147="","Awaiting dev. close",IF(AsOf&gt;P147,"Overdue","Open")))))</f>
        <v>Open</v>
      </c>
      <c r="R147" s="27" t="str">
        <f aca="false">IF(J147="","",IF(COUNTIFS($D$5:$D$400,D147,$F$5:$F$400,F147,$B$5:$B$400,"&gt;"&amp;J147,$B$5:$B$400,"&lt;="&amp;(J147+EffWin))&gt;0,"Ineffective",IF(AsOf-J147&gt;=EffWin,"Effective","Check pending")))</f>
        <v/>
      </c>
      <c r="S147" s="36" t="n">
        <f aca="false">IF(A147="","",DATE(YEAR(B147),MONTH(B147),1))</f>
        <v>46204</v>
      </c>
      <c r="T147" s="36" t="n">
        <f aca="false">IF(H147="","",DATE(YEAR(H147),MONTH(H147),1))</f>
        <v>46266</v>
      </c>
      <c r="U147" s="27" t="n">
        <f aca="false">IF(H147="","",IF(AsOf-H147&lt;=90,L147,""))</f>
        <v>46</v>
      </c>
      <c r="V147" s="27" t="str">
        <f aca="false">IF(H147="","",IF(AND(AsOf-H147&gt;90,AsOf-H147&lt;=270),L147,""))</f>
        <v/>
      </c>
    </row>
    <row r="148" customFormat="false" ht="15" hidden="false" customHeight="false" outlineLevel="0" collapsed="false">
      <c r="A148" s="32" t="s">
        <v>368</v>
      </c>
      <c r="B148" s="34" t="n">
        <v>46221</v>
      </c>
      <c r="C148" s="32" t="s">
        <v>80</v>
      </c>
      <c r="D148" s="32" t="s">
        <v>190</v>
      </c>
      <c r="E148" s="32" t="s">
        <v>61</v>
      </c>
      <c r="F148" s="32" t="s">
        <v>94</v>
      </c>
      <c r="G148" s="32" t="s">
        <v>126</v>
      </c>
      <c r="H148" s="34" t="n">
        <v>46254</v>
      </c>
      <c r="I148" s="32"/>
      <c r="J148" s="34"/>
      <c r="K148" s="27" t="str">
        <f aca="false">IF(A148="","",IF(H148="","Open","Closed"))</f>
        <v>Closed</v>
      </c>
      <c r="L148" s="27" t="n">
        <f aca="false">IF(A148="","",IF(H148="",AsOf-B148,H148-B148))</f>
        <v>33</v>
      </c>
      <c r="M148" s="27" t="str">
        <f aca="false">IF(A148="","",IF(AND(K148="Open",L148&gt;Target),"Yes","No"))</f>
        <v>No</v>
      </c>
      <c r="N148" s="27" t="str">
        <f aca="false">IF(K148&lt;&gt;"Open","",IF(L148&lt;=30,"0-30",IF(L148&lt;=60,"31-60",IF(L148&lt;=90,"61-90","90+"))))</f>
        <v/>
      </c>
      <c r="O148" s="27" t="str">
        <f aca="false">IF(A148="","",IF(COUNTIFS($D$5:$D$400,D148,$F$5:$F$400,F148,$B$5:$B$400,"&gt;="&amp;(B148-RepeatWin),$B$5:$B$400,"&lt;"&amp;B148)&gt;0,"Yes","No"))</f>
        <v>No</v>
      </c>
      <c r="P148" s="35" t="str">
        <f aca="false">IF(OR(I148="",H148=""),"",H148+CapaDue)</f>
        <v/>
      </c>
      <c r="Q148" s="27" t="str">
        <f aca="false">IF(A148="","",IF(I148="","Not required",IF(J148&lt;&gt;"","Closed",IF(H148="","Awaiting dev. close",IF(AsOf&gt;P148,"Overdue","Open")))))</f>
        <v>Not required</v>
      </c>
      <c r="R148" s="27" t="str">
        <f aca="false">IF(J148="","",IF(COUNTIFS($D$5:$D$400,D148,$F$5:$F$400,F148,$B$5:$B$400,"&gt;"&amp;J148,$B$5:$B$400,"&lt;="&amp;(J148+EffWin))&gt;0,"Ineffective",IF(AsOf-J148&gt;=EffWin,"Effective","Check pending")))</f>
        <v/>
      </c>
      <c r="S148" s="36" t="n">
        <f aca="false">IF(A148="","",DATE(YEAR(B148),MONTH(B148),1))</f>
        <v>46204</v>
      </c>
      <c r="T148" s="36" t="n">
        <f aca="false">IF(H148="","",DATE(YEAR(H148),MONTH(H148),1))</f>
        <v>46235</v>
      </c>
      <c r="U148" s="27" t="n">
        <f aca="false">IF(H148="","",IF(AsOf-H148&lt;=90,L148,""))</f>
        <v>33</v>
      </c>
      <c r="V148" s="27" t="str">
        <f aca="false">IF(H148="","",IF(AND(AsOf-H148&gt;90,AsOf-H148&lt;=270),L148,""))</f>
        <v/>
      </c>
    </row>
    <row r="149" customFormat="false" ht="15" hidden="false" customHeight="false" outlineLevel="0" collapsed="false">
      <c r="A149" s="32" t="s">
        <v>369</v>
      </c>
      <c r="B149" s="34" t="n">
        <v>46225</v>
      </c>
      <c r="C149" s="32" t="s">
        <v>77</v>
      </c>
      <c r="D149" s="32" t="s">
        <v>195</v>
      </c>
      <c r="E149" s="32" t="s">
        <v>59</v>
      </c>
      <c r="F149" s="32" t="s">
        <v>94</v>
      </c>
      <c r="G149" s="32" t="s">
        <v>130</v>
      </c>
      <c r="H149" s="34" t="n">
        <v>46266</v>
      </c>
      <c r="I149" s="32" t="s">
        <v>370</v>
      </c>
      <c r="J149" s="34"/>
      <c r="K149" s="27" t="str">
        <f aca="false">IF(A149="","",IF(H149="","Open","Closed"))</f>
        <v>Closed</v>
      </c>
      <c r="L149" s="27" t="n">
        <f aca="false">IF(A149="","",IF(H149="",AsOf-B149,H149-B149))</f>
        <v>41</v>
      </c>
      <c r="M149" s="27" t="str">
        <f aca="false">IF(A149="","",IF(AND(K149="Open",L149&gt;Target),"Yes","No"))</f>
        <v>No</v>
      </c>
      <c r="N149" s="27" t="str">
        <f aca="false">IF(K149&lt;&gt;"Open","",IF(L149&lt;=30,"0-30",IF(L149&lt;=60,"31-60",IF(L149&lt;=90,"61-90","90+"))))</f>
        <v/>
      </c>
      <c r="O149" s="27" t="str">
        <f aca="false">IF(A149="","",IF(COUNTIFS($D$5:$D$400,D149,$F$5:$F$400,F149,$B$5:$B$400,"&gt;="&amp;(B149-RepeatWin),$B$5:$B$400,"&lt;"&amp;B149)&gt;0,"Yes","No"))</f>
        <v>No</v>
      </c>
      <c r="P149" s="35" t="n">
        <f aca="false">IF(OR(I149="",H149=""),"",H149+CapaDue)</f>
        <v>46356</v>
      </c>
      <c r="Q149" s="27" t="str">
        <f aca="false">IF(A149="","",IF(I149="","Not required",IF(J149&lt;&gt;"","Closed",IF(H149="","Awaiting dev. close",IF(AsOf&gt;P149,"Overdue","Open")))))</f>
        <v>Open</v>
      </c>
      <c r="R149" s="27" t="str">
        <f aca="false">IF(J149="","",IF(COUNTIFS($D$5:$D$400,D149,$F$5:$F$400,F149,$B$5:$B$400,"&gt;"&amp;J149,$B$5:$B$400,"&lt;="&amp;(J149+EffWin))&gt;0,"Ineffective",IF(AsOf-J149&gt;=EffWin,"Effective","Check pending")))</f>
        <v/>
      </c>
      <c r="S149" s="36" t="n">
        <f aca="false">IF(A149="","",DATE(YEAR(B149),MONTH(B149),1))</f>
        <v>46204</v>
      </c>
      <c r="T149" s="36" t="n">
        <f aca="false">IF(H149="","",DATE(YEAR(H149),MONTH(H149),1))</f>
        <v>46266</v>
      </c>
      <c r="U149" s="27" t="n">
        <f aca="false">IF(H149="","",IF(AsOf-H149&lt;=90,L149,""))</f>
        <v>41</v>
      </c>
      <c r="V149" s="27" t="str">
        <f aca="false">IF(H149="","",IF(AND(AsOf-H149&gt;90,AsOf-H149&lt;=270),L149,""))</f>
        <v/>
      </c>
    </row>
    <row r="150" customFormat="false" ht="15" hidden="false" customHeight="false" outlineLevel="0" collapsed="false">
      <c r="A150" s="32" t="s">
        <v>371</v>
      </c>
      <c r="B150" s="34" t="n">
        <v>46227</v>
      </c>
      <c r="C150" s="32" t="s">
        <v>73</v>
      </c>
      <c r="D150" s="32" t="s">
        <v>158</v>
      </c>
      <c r="E150" s="32" t="s">
        <v>61</v>
      </c>
      <c r="F150" s="32" t="s">
        <v>94</v>
      </c>
      <c r="G150" s="32" t="s">
        <v>130</v>
      </c>
      <c r="H150" s="34" t="n">
        <v>46255</v>
      </c>
      <c r="I150" s="32"/>
      <c r="J150" s="34"/>
      <c r="K150" s="27" t="str">
        <f aca="false">IF(A150="","",IF(H150="","Open","Closed"))</f>
        <v>Closed</v>
      </c>
      <c r="L150" s="27" t="n">
        <f aca="false">IF(A150="","",IF(H150="",AsOf-B150,H150-B150))</f>
        <v>28</v>
      </c>
      <c r="M150" s="27" t="str">
        <f aca="false">IF(A150="","",IF(AND(K150="Open",L150&gt;Target),"Yes","No"))</f>
        <v>No</v>
      </c>
      <c r="N150" s="27" t="str">
        <f aca="false">IF(K150&lt;&gt;"Open","",IF(L150&lt;=30,"0-30",IF(L150&lt;=60,"31-60",IF(L150&lt;=90,"61-90","90+"))))</f>
        <v/>
      </c>
      <c r="O150" s="27" t="str">
        <f aca="false">IF(A150="","",IF(COUNTIFS($D$5:$D$400,D150,$F$5:$F$400,F150,$B$5:$B$400,"&gt;="&amp;(B150-RepeatWin),$B$5:$B$400,"&lt;"&amp;B150)&gt;0,"Yes","No"))</f>
        <v>No</v>
      </c>
      <c r="P150" s="35" t="str">
        <f aca="false">IF(OR(I150="",H150=""),"",H150+CapaDue)</f>
        <v/>
      </c>
      <c r="Q150" s="27" t="str">
        <f aca="false">IF(A150="","",IF(I150="","Not required",IF(J150&lt;&gt;"","Closed",IF(H150="","Awaiting dev. close",IF(AsOf&gt;P150,"Overdue","Open")))))</f>
        <v>Not required</v>
      </c>
      <c r="R150" s="27" t="str">
        <f aca="false">IF(J150="","",IF(COUNTIFS($D$5:$D$400,D150,$F$5:$F$400,F150,$B$5:$B$400,"&gt;"&amp;J150,$B$5:$B$400,"&lt;="&amp;(J150+EffWin))&gt;0,"Ineffective",IF(AsOf-J150&gt;=EffWin,"Effective","Check pending")))</f>
        <v/>
      </c>
      <c r="S150" s="36" t="n">
        <f aca="false">IF(A150="","",DATE(YEAR(B150),MONTH(B150),1))</f>
        <v>46204</v>
      </c>
      <c r="T150" s="36" t="n">
        <f aca="false">IF(H150="","",DATE(YEAR(H150),MONTH(H150),1))</f>
        <v>46235</v>
      </c>
      <c r="U150" s="27" t="n">
        <f aca="false">IF(H150="","",IF(AsOf-H150&lt;=90,L150,""))</f>
        <v>28</v>
      </c>
      <c r="V150" s="27" t="str">
        <f aca="false">IF(H150="","",IF(AND(AsOf-H150&gt;90,AsOf-H150&lt;=270),L150,""))</f>
        <v/>
      </c>
    </row>
    <row r="151" customFormat="false" ht="15" hidden="false" customHeight="false" outlineLevel="0" collapsed="false">
      <c r="A151" s="32" t="s">
        <v>372</v>
      </c>
      <c r="B151" s="34" t="n">
        <v>46229</v>
      </c>
      <c r="C151" s="32" t="s">
        <v>73</v>
      </c>
      <c r="D151" s="32" t="s">
        <v>164</v>
      </c>
      <c r="E151" s="32" t="s">
        <v>59</v>
      </c>
      <c r="F151" s="32" t="s">
        <v>95</v>
      </c>
      <c r="G151" s="32" t="s">
        <v>131</v>
      </c>
      <c r="H151" s="34" t="n">
        <v>46274</v>
      </c>
      <c r="I151" s="32" t="s">
        <v>373</v>
      </c>
      <c r="J151" s="34"/>
      <c r="K151" s="27" t="str">
        <f aca="false">IF(A151="","",IF(H151="","Open","Closed"))</f>
        <v>Closed</v>
      </c>
      <c r="L151" s="27" t="n">
        <f aca="false">IF(A151="","",IF(H151="",AsOf-B151,H151-B151))</f>
        <v>45</v>
      </c>
      <c r="M151" s="27" t="str">
        <f aca="false">IF(A151="","",IF(AND(K151="Open",L151&gt;Target),"Yes","No"))</f>
        <v>No</v>
      </c>
      <c r="N151" s="27" t="str">
        <f aca="false">IF(K151&lt;&gt;"Open","",IF(L151&lt;=30,"0-30",IF(L151&lt;=60,"31-60",IF(L151&lt;=90,"61-90","90+"))))</f>
        <v/>
      </c>
      <c r="O151" s="27" t="str">
        <f aca="false">IF(A151="","",IF(COUNTIFS($D$5:$D$400,D151,$F$5:$F$400,F151,$B$5:$B$400,"&gt;="&amp;(B151-RepeatWin),$B$5:$B$400,"&lt;"&amp;B151)&gt;0,"Yes","No"))</f>
        <v>No</v>
      </c>
      <c r="P151" s="35" t="n">
        <f aca="false">IF(OR(I151="",H151=""),"",H151+CapaDue)</f>
        <v>46364</v>
      </c>
      <c r="Q151" s="27" t="str">
        <f aca="false">IF(A151="","",IF(I151="","Not required",IF(J151&lt;&gt;"","Closed",IF(H151="","Awaiting dev. close",IF(AsOf&gt;P151,"Overdue","Open")))))</f>
        <v>Open</v>
      </c>
      <c r="R151" s="27" t="str">
        <f aca="false">IF(J151="","",IF(COUNTIFS($D$5:$D$400,D151,$F$5:$F$400,F151,$B$5:$B$400,"&gt;"&amp;J151,$B$5:$B$400,"&lt;="&amp;(J151+EffWin))&gt;0,"Ineffective",IF(AsOf-J151&gt;=EffWin,"Effective","Check pending")))</f>
        <v/>
      </c>
      <c r="S151" s="36" t="n">
        <f aca="false">IF(A151="","",DATE(YEAR(B151),MONTH(B151),1))</f>
        <v>46204</v>
      </c>
      <c r="T151" s="36" t="n">
        <f aca="false">IF(H151="","",DATE(YEAR(H151),MONTH(H151),1))</f>
        <v>46266</v>
      </c>
      <c r="U151" s="27" t="n">
        <f aca="false">IF(H151="","",IF(AsOf-H151&lt;=90,L151,""))</f>
        <v>45</v>
      </c>
      <c r="V151" s="27" t="str">
        <f aca="false">IF(H151="","",IF(AND(AsOf-H151&gt;90,AsOf-H151&lt;=270),L151,""))</f>
        <v/>
      </c>
    </row>
    <row r="152" customFormat="false" ht="15" hidden="false" customHeight="false" outlineLevel="0" collapsed="false">
      <c r="A152" s="32" t="s">
        <v>374</v>
      </c>
      <c r="B152" s="34" t="n">
        <v>46238</v>
      </c>
      <c r="C152" s="32" t="s">
        <v>79</v>
      </c>
      <c r="D152" s="32" t="s">
        <v>299</v>
      </c>
      <c r="E152" s="32" t="s">
        <v>59</v>
      </c>
      <c r="F152" s="32" t="s">
        <v>99</v>
      </c>
      <c r="G152" s="32" t="s">
        <v>127</v>
      </c>
      <c r="H152" s="34"/>
      <c r="I152" s="32" t="s">
        <v>375</v>
      </c>
      <c r="J152" s="34"/>
      <c r="K152" s="27" t="str">
        <f aca="false">IF(A152="","",IF(H152="","Open","Closed"))</f>
        <v>Open</v>
      </c>
      <c r="L152" s="27" t="n">
        <f aca="false">IF(A152="","",IF(H152="",AsOf-B152,H152-B152))</f>
        <v>57</v>
      </c>
      <c r="M152" s="27" t="str">
        <f aca="false">IF(A152="","",IF(AND(K152="Open",L152&gt;Target),"Yes","No"))</f>
        <v>Yes</v>
      </c>
      <c r="N152" s="27" t="str">
        <f aca="false">IF(K152&lt;&gt;"Open","",IF(L152&lt;=30,"0-30",IF(L152&lt;=60,"31-60",IF(L152&lt;=90,"61-90","90+"))))</f>
        <v>31-60</v>
      </c>
      <c r="O152" s="27" t="str">
        <f aca="false">IF(A152="","",IF(COUNTIFS($D$5:$D$400,D152,$F$5:$F$400,F152,$B$5:$B$400,"&gt;="&amp;(B152-RepeatWin),$B$5:$B$400,"&lt;"&amp;B152)&gt;0,"Yes","No"))</f>
        <v>Yes</v>
      </c>
      <c r="P152" s="35" t="str">
        <f aca="false">IF(OR(I152="",H152=""),"",H152+CapaDue)</f>
        <v/>
      </c>
      <c r="Q152" s="27" t="str">
        <f aca="false">IF(A152="","",IF(I152="","Not required",IF(J152&lt;&gt;"","Closed",IF(H152="","Awaiting dev. close",IF(AsOf&gt;P152,"Overdue","Open")))))</f>
        <v>Awaiting dev. close</v>
      </c>
      <c r="R152" s="27" t="str">
        <f aca="false">IF(J152="","",IF(COUNTIFS($D$5:$D$400,D152,$F$5:$F$400,F152,$B$5:$B$400,"&gt;"&amp;J152,$B$5:$B$400,"&lt;="&amp;(J152+EffWin))&gt;0,"Ineffective",IF(AsOf-J152&gt;=EffWin,"Effective","Check pending")))</f>
        <v/>
      </c>
      <c r="S152" s="36" t="n">
        <f aca="false">IF(A152="","",DATE(YEAR(B152),MONTH(B152),1))</f>
        <v>46235</v>
      </c>
      <c r="T152" s="36" t="str">
        <f aca="false">IF(H152="","",DATE(YEAR(H152),MONTH(H152),1))</f>
        <v/>
      </c>
      <c r="U152" s="27" t="str">
        <f aca="false">IF(H152="","",IF(AsOf-H152&lt;=90,L152,""))</f>
        <v/>
      </c>
      <c r="V152" s="27" t="str">
        <f aca="false">IF(H152="","",IF(AND(AsOf-H152&gt;90,AsOf-H152&lt;=270),L152,""))</f>
        <v/>
      </c>
    </row>
    <row r="153" customFormat="false" ht="15" hidden="false" customHeight="false" outlineLevel="0" collapsed="false">
      <c r="A153" s="32" t="s">
        <v>376</v>
      </c>
      <c r="B153" s="34" t="n">
        <v>46241</v>
      </c>
      <c r="C153" s="32" t="s">
        <v>77</v>
      </c>
      <c r="D153" s="32" t="s">
        <v>230</v>
      </c>
      <c r="E153" s="32" t="s">
        <v>61</v>
      </c>
      <c r="F153" s="32" t="s">
        <v>96</v>
      </c>
      <c r="G153" s="32" t="s">
        <v>129</v>
      </c>
      <c r="H153" s="34" t="n">
        <v>46274</v>
      </c>
      <c r="I153" s="32"/>
      <c r="J153" s="34"/>
      <c r="K153" s="27" t="str">
        <f aca="false">IF(A153="","",IF(H153="","Open","Closed"))</f>
        <v>Closed</v>
      </c>
      <c r="L153" s="27" t="n">
        <f aca="false">IF(A153="","",IF(H153="",AsOf-B153,H153-B153))</f>
        <v>33</v>
      </c>
      <c r="M153" s="27" t="str">
        <f aca="false">IF(A153="","",IF(AND(K153="Open",L153&gt;Target),"Yes","No"))</f>
        <v>No</v>
      </c>
      <c r="N153" s="27" t="str">
        <f aca="false">IF(K153&lt;&gt;"Open","",IF(L153&lt;=30,"0-30",IF(L153&lt;=60,"31-60",IF(L153&lt;=90,"61-90","90+"))))</f>
        <v/>
      </c>
      <c r="O153" s="27" t="str">
        <f aca="false">IF(A153="","",IF(COUNTIFS($D$5:$D$400,D153,$F$5:$F$400,F153,$B$5:$B$400,"&gt;="&amp;(B153-RepeatWin),$B$5:$B$400,"&lt;"&amp;B153)&gt;0,"Yes","No"))</f>
        <v>No</v>
      </c>
      <c r="P153" s="35" t="str">
        <f aca="false">IF(OR(I153="",H153=""),"",H153+CapaDue)</f>
        <v/>
      </c>
      <c r="Q153" s="27" t="str">
        <f aca="false">IF(A153="","",IF(I153="","Not required",IF(J153&lt;&gt;"","Closed",IF(H153="","Awaiting dev. close",IF(AsOf&gt;P153,"Overdue","Open")))))</f>
        <v>Not required</v>
      </c>
      <c r="R153" s="27" t="str">
        <f aca="false">IF(J153="","",IF(COUNTIFS($D$5:$D$400,D153,$F$5:$F$400,F153,$B$5:$B$400,"&gt;"&amp;J153,$B$5:$B$400,"&lt;="&amp;(J153+EffWin))&gt;0,"Ineffective",IF(AsOf-J153&gt;=EffWin,"Effective","Check pending")))</f>
        <v/>
      </c>
      <c r="S153" s="36" t="n">
        <f aca="false">IF(A153="","",DATE(YEAR(B153),MONTH(B153),1))</f>
        <v>46235</v>
      </c>
      <c r="T153" s="36" t="n">
        <f aca="false">IF(H153="","",DATE(YEAR(H153),MONTH(H153),1))</f>
        <v>46266</v>
      </c>
      <c r="U153" s="27" t="n">
        <f aca="false">IF(H153="","",IF(AsOf-H153&lt;=90,L153,""))</f>
        <v>33</v>
      </c>
      <c r="V153" s="27" t="str">
        <f aca="false">IF(H153="","",IF(AND(AsOf-H153&gt;90,AsOf-H153&lt;=270),L153,""))</f>
        <v/>
      </c>
    </row>
    <row r="154" customFormat="false" ht="15" hidden="false" customHeight="false" outlineLevel="0" collapsed="false">
      <c r="A154" s="32" t="s">
        <v>377</v>
      </c>
      <c r="B154" s="34" t="n">
        <v>46252</v>
      </c>
      <c r="C154" s="32" t="s">
        <v>75</v>
      </c>
      <c r="D154" s="32" t="s">
        <v>188</v>
      </c>
      <c r="E154" s="32" t="s">
        <v>57</v>
      </c>
      <c r="F154" s="32" t="s">
        <v>102</v>
      </c>
      <c r="G154" s="32" t="s">
        <v>128</v>
      </c>
      <c r="H154" s="34"/>
      <c r="I154" s="32" t="s">
        <v>378</v>
      </c>
      <c r="J154" s="34"/>
      <c r="K154" s="27" t="str">
        <f aca="false">IF(A154="","",IF(H154="","Open","Closed"))</f>
        <v>Open</v>
      </c>
      <c r="L154" s="27" t="n">
        <f aca="false">IF(A154="","",IF(H154="",AsOf-B154,H154-B154))</f>
        <v>43</v>
      </c>
      <c r="M154" s="27" t="str">
        <f aca="false">IF(A154="","",IF(AND(K154="Open",L154&gt;Target),"Yes","No"))</f>
        <v>Yes</v>
      </c>
      <c r="N154" s="27" t="str">
        <f aca="false">IF(K154&lt;&gt;"Open","",IF(L154&lt;=30,"0-30",IF(L154&lt;=60,"31-60",IF(L154&lt;=90,"61-90","90+"))))</f>
        <v>31-60</v>
      </c>
      <c r="O154" s="27" t="str">
        <f aca="false">IF(A154="","",IF(COUNTIFS($D$5:$D$400,D154,$F$5:$F$400,F154,$B$5:$B$400,"&gt;="&amp;(B154-RepeatWin),$B$5:$B$400,"&lt;"&amp;B154)&gt;0,"Yes","No"))</f>
        <v>Yes</v>
      </c>
      <c r="P154" s="35" t="str">
        <f aca="false">IF(OR(I154="",H154=""),"",H154+CapaDue)</f>
        <v/>
      </c>
      <c r="Q154" s="27" t="str">
        <f aca="false">IF(A154="","",IF(I154="","Not required",IF(J154&lt;&gt;"","Closed",IF(H154="","Awaiting dev. close",IF(AsOf&gt;P154,"Overdue","Open")))))</f>
        <v>Awaiting dev. close</v>
      </c>
      <c r="R154" s="27" t="str">
        <f aca="false">IF(J154="","",IF(COUNTIFS($D$5:$D$400,D154,$F$5:$F$400,F154,$B$5:$B$400,"&gt;"&amp;J154,$B$5:$B$400,"&lt;="&amp;(J154+EffWin))&gt;0,"Ineffective",IF(AsOf-J154&gt;=EffWin,"Effective","Check pending")))</f>
        <v/>
      </c>
      <c r="S154" s="36" t="n">
        <f aca="false">IF(A154="","",DATE(YEAR(B154),MONTH(B154),1))</f>
        <v>46235</v>
      </c>
      <c r="T154" s="36" t="str">
        <f aca="false">IF(H154="","",DATE(YEAR(H154),MONTH(H154),1))</f>
        <v/>
      </c>
      <c r="U154" s="27" t="str">
        <f aca="false">IF(H154="","",IF(AsOf-H154&lt;=90,L154,""))</f>
        <v/>
      </c>
      <c r="V154" s="27" t="str">
        <f aca="false">IF(H154="","",IF(AND(AsOf-H154&gt;90,AsOf-H154&lt;=270),L154,""))</f>
        <v/>
      </c>
    </row>
    <row r="155" customFormat="false" ht="15" hidden="false" customHeight="false" outlineLevel="0" collapsed="false">
      <c r="A155" s="32" t="s">
        <v>379</v>
      </c>
      <c r="B155" s="34" t="n">
        <v>46252</v>
      </c>
      <c r="C155" s="32" t="s">
        <v>79</v>
      </c>
      <c r="D155" s="32" t="s">
        <v>204</v>
      </c>
      <c r="E155" s="32" t="s">
        <v>61</v>
      </c>
      <c r="F155" s="32" t="s">
        <v>101</v>
      </c>
      <c r="G155" s="32" t="s">
        <v>131</v>
      </c>
      <c r="H155" s="34" t="n">
        <v>46288</v>
      </c>
      <c r="I155" s="32"/>
      <c r="J155" s="34"/>
      <c r="K155" s="27" t="str">
        <f aca="false">IF(A155="","",IF(H155="","Open","Closed"))</f>
        <v>Closed</v>
      </c>
      <c r="L155" s="27" t="n">
        <f aca="false">IF(A155="","",IF(H155="",AsOf-B155,H155-B155))</f>
        <v>36</v>
      </c>
      <c r="M155" s="27" t="str">
        <f aca="false">IF(A155="","",IF(AND(K155="Open",L155&gt;Target),"Yes","No"))</f>
        <v>No</v>
      </c>
      <c r="N155" s="27" t="str">
        <f aca="false">IF(K155&lt;&gt;"Open","",IF(L155&lt;=30,"0-30",IF(L155&lt;=60,"31-60",IF(L155&lt;=90,"61-90","90+"))))</f>
        <v/>
      </c>
      <c r="O155" s="27" t="str">
        <f aca="false">IF(A155="","",IF(COUNTIFS($D$5:$D$400,D155,$F$5:$F$400,F155,$B$5:$B$400,"&gt;="&amp;(B155-RepeatWin),$B$5:$B$400,"&lt;"&amp;B155)&gt;0,"Yes","No"))</f>
        <v>No</v>
      </c>
      <c r="P155" s="35" t="str">
        <f aca="false">IF(OR(I155="",H155=""),"",H155+CapaDue)</f>
        <v/>
      </c>
      <c r="Q155" s="27" t="str">
        <f aca="false">IF(A155="","",IF(I155="","Not required",IF(J155&lt;&gt;"","Closed",IF(H155="","Awaiting dev. close",IF(AsOf&gt;P155,"Overdue","Open")))))</f>
        <v>Not required</v>
      </c>
      <c r="R155" s="27" t="str">
        <f aca="false">IF(J155="","",IF(COUNTIFS($D$5:$D$400,D155,$F$5:$F$400,F155,$B$5:$B$400,"&gt;"&amp;J155,$B$5:$B$400,"&lt;="&amp;(J155+EffWin))&gt;0,"Ineffective",IF(AsOf-J155&gt;=EffWin,"Effective","Check pending")))</f>
        <v/>
      </c>
      <c r="S155" s="36" t="n">
        <f aca="false">IF(A155="","",DATE(YEAR(B155),MONTH(B155),1))</f>
        <v>46235</v>
      </c>
      <c r="T155" s="36" t="n">
        <f aca="false">IF(H155="","",DATE(YEAR(H155),MONTH(H155),1))</f>
        <v>46266</v>
      </c>
      <c r="U155" s="27" t="n">
        <f aca="false">IF(H155="","",IF(AsOf-H155&lt;=90,L155,""))</f>
        <v>36</v>
      </c>
      <c r="V155" s="27" t="str">
        <f aca="false">IF(H155="","",IF(AND(AsOf-H155&gt;90,AsOf-H155&lt;=270),L155,""))</f>
        <v/>
      </c>
    </row>
    <row r="156" customFormat="false" ht="15" hidden="false" customHeight="false" outlineLevel="0" collapsed="false">
      <c r="A156" s="32" t="s">
        <v>380</v>
      </c>
      <c r="B156" s="34" t="n">
        <v>46254</v>
      </c>
      <c r="C156" s="32" t="s">
        <v>81</v>
      </c>
      <c r="D156" s="32" t="s">
        <v>176</v>
      </c>
      <c r="E156" s="32" t="s">
        <v>61</v>
      </c>
      <c r="F156" s="32" t="s">
        <v>100</v>
      </c>
      <c r="G156" s="32" t="s">
        <v>131</v>
      </c>
      <c r="H156" s="34"/>
      <c r="I156" s="32"/>
      <c r="J156" s="34"/>
      <c r="K156" s="27" t="str">
        <f aca="false">IF(A156="","",IF(H156="","Open","Closed"))</f>
        <v>Open</v>
      </c>
      <c r="L156" s="27" t="n">
        <f aca="false">IF(A156="","",IF(H156="",AsOf-B156,H156-B156))</f>
        <v>41</v>
      </c>
      <c r="M156" s="27" t="str">
        <f aca="false">IF(A156="","",IF(AND(K156="Open",L156&gt;Target),"Yes","No"))</f>
        <v>Yes</v>
      </c>
      <c r="N156" s="27" t="str">
        <f aca="false">IF(K156&lt;&gt;"Open","",IF(L156&lt;=30,"0-30",IF(L156&lt;=60,"31-60",IF(L156&lt;=90,"61-90","90+"))))</f>
        <v>31-60</v>
      </c>
      <c r="O156" s="27" t="str">
        <f aca="false">IF(A156="","",IF(COUNTIFS($D$5:$D$400,D156,$F$5:$F$400,F156,$B$5:$B$400,"&gt;="&amp;(B156-RepeatWin),$B$5:$B$400,"&lt;"&amp;B156)&gt;0,"Yes","No"))</f>
        <v>No</v>
      </c>
      <c r="P156" s="35" t="str">
        <f aca="false">IF(OR(I156="",H156=""),"",H156+CapaDue)</f>
        <v/>
      </c>
      <c r="Q156" s="27" t="str">
        <f aca="false">IF(A156="","",IF(I156="","Not required",IF(J156&lt;&gt;"","Closed",IF(H156="","Awaiting dev. close",IF(AsOf&gt;P156,"Overdue","Open")))))</f>
        <v>Not required</v>
      </c>
      <c r="R156" s="27" t="str">
        <f aca="false">IF(J156="","",IF(COUNTIFS($D$5:$D$400,D156,$F$5:$F$400,F156,$B$5:$B$400,"&gt;"&amp;J156,$B$5:$B$400,"&lt;="&amp;(J156+EffWin))&gt;0,"Ineffective",IF(AsOf-J156&gt;=EffWin,"Effective","Check pending")))</f>
        <v/>
      </c>
      <c r="S156" s="36" t="n">
        <f aca="false">IF(A156="","",DATE(YEAR(B156),MONTH(B156),1))</f>
        <v>46235</v>
      </c>
      <c r="T156" s="36" t="str">
        <f aca="false">IF(H156="","",DATE(YEAR(H156),MONTH(H156),1))</f>
        <v/>
      </c>
      <c r="U156" s="27" t="str">
        <f aca="false">IF(H156="","",IF(AsOf-H156&lt;=90,L156,""))</f>
        <v/>
      </c>
      <c r="V156" s="27" t="str">
        <f aca="false">IF(H156="","",IF(AND(AsOf-H156&gt;90,AsOf-H156&lt;=270),L156,""))</f>
        <v/>
      </c>
    </row>
    <row r="157" customFormat="false" ht="15" hidden="false" customHeight="false" outlineLevel="0" collapsed="false">
      <c r="A157" s="32" t="s">
        <v>381</v>
      </c>
      <c r="B157" s="34" t="n">
        <v>46255</v>
      </c>
      <c r="C157" s="32" t="s">
        <v>73</v>
      </c>
      <c r="D157" s="32" t="s">
        <v>180</v>
      </c>
      <c r="E157" s="32" t="s">
        <v>61</v>
      </c>
      <c r="F157" s="32" t="s">
        <v>97</v>
      </c>
      <c r="G157" s="32" t="s">
        <v>127</v>
      </c>
      <c r="H157" s="34" t="n">
        <v>46292</v>
      </c>
      <c r="I157" s="32"/>
      <c r="J157" s="34"/>
      <c r="K157" s="27" t="str">
        <f aca="false">IF(A157="","",IF(H157="","Open","Closed"))</f>
        <v>Closed</v>
      </c>
      <c r="L157" s="27" t="n">
        <f aca="false">IF(A157="","",IF(H157="",AsOf-B157,H157-B157))</f>
        <v>37</v>
      </c>
      <c r="M157" s="27" t="str">
        <f aca="false">IF(A157="","",IF(AND(K157="Open",L157&gt;Target),"Yes","No"))</f>
        <v>No</v>
      </c>
      <c r="N157" s="27" t="str">
        <f aca="false">IF(K157&lt;&gt;"Open","",IF(L157&lt;=30,"0-30",IF(L157&lt;=60,"31-60",IF(L157&lt;=90,"61-90","90+"))))</f>
        <v/>
      </c>
      <c r="O157" s="27" t="str">
        <f aca="false">IF(A157="","",IF(COUNTIFS($D$5:$D$400,D157,$F$5:$F$400,F157,$B$5:$B$400,"&gt;="&amp;(B157-RepeatWin),$B$5:$B$400,"&lt;"&amp;B157)&gt;0,"Yes","No"))</f>
        <v>No</v>
      </c>
      <c r="P157" s="35" t="str">
        <f aca="false">IF(OR(I157="",H157=""),"",H157+CapaDue)</f>
        <v/>
      </c>
      <c r="Q157" s="27" t="str">
        <f aca="false">IF(A157="","",IF(I157="","Not required",IF(J157&lt;&gt;"","Closed",IF(H157="","Awaiting dev. close",IF(AsOf&gt;P157,"Overdue","Open")))))</f>
        <v>Not required</v>
      </c>
      <c r="R157" s="27" t="str">
        <f aca="false">IF(J157="","",IF(COUNTIFS($D$5:$D$400,D157,$F$5:$F$400,F157,$B$5:$B$400,"&gt;"&amp;J157,$B$5:$B$400,"&lt;="&amp;(J157+EffWin))&gt;0,"Ineffective",IF(AsOf-J157&gt;=EffWin,"Effective","Check pending")))</f>
        <v/>
      </c>
      <c r="S157" s="36" t="n">
        <f aca="false">IF(A157="","",DATE(YEAR(B157),MONTH(B157),1))</f>
        <v>46235</v>
      </c>
      <c r="T157" s="36" t="n">
        <f aca="false">IF(H157="","",DATE(YEAR(H157),MONTH(H157),1))</f>
        <v>46266</v>
      </c>
      <c r="U157" s="27" t="n">
        <f aca="false">IF(H157="","",IF(AsOf-H157&lt;=90,L157,""))</f>
        <v>37</v>
      </c>
      <c r="V157" s="27" t="str">
        <f aca="false">IF(H157="","",IF(AND(AsOf-H157&gt;90,AsOf-H157&lt;=270),L157,""))</f>
        <v/>
      </c>
    </row>
    <row r="158" customFormat="false" ht="15" hidden="false" customHeight="false" outlineLevel="0" collapsed="false">
      <c r="A158" s="32" t="s">
        <v>382</v>
      </c>
      <c r="B158" s="34" t="n">
        <v>46255</v>
      </c>
      <c r="C158" s="32" t="s">
        <v>73</v>
      </c>
      <c r="D158" s="32" t="s">
        <v>223</v>
      </c>
      <c r="E158" s="32" t="s">
        <v>61</v>
      </c>
      <c r="F158" s="32" t="s">
        <v>95</v>
      </c>
      <c r="G158" s="32" t="s">
        <v>130</v>
      </c>
      <c r="H158" s="34" t="n">
        <v>46290</v>
      </c>
      <c r="I158" s="32"/>
      <c r="J158" s="34"/>
      <c r="K158" s="27" t="str">
        <f aca="false">IF(A158="","",IF(H158="","Open","Closed"))</f>
        <v>Closed</v>
      </c>
      <c r="L158" s="27" t="n">
        <f aca="false">IF(A158="","",IF(H158="",AsOf-B158,H158-B158))</f>
        <v>35</v>
      </c>
      <c r="M158" s="27" t="str">
        <f aca="false">IF(A158="","",IF(AND(K158="Open",L158&gt;Target),"Yes","No"))</f>
        <v>No</v>
      </c>
      <c r="N158" s="27" t="str">
        <f aca="false">IF(K158&lt;&gt;"Open","",IF(L158&lt;=30,"0-30",IF(L158&lt;=60,"31-60",IF(L158&lt;=90,"61-90","90+"))))</f>
        <v/>
      </c>
      <c r="O158" s="27" t="str">
        <f aca="false">IF(A158="","",IF(COUNTIFS($D$5:$D$400,D158,$F$5:$F$400,F158,$B$5:$B$400,"&gt;="&amp;(B158-RepeatWin),$B$5:$B$400,"&lt;"&amp;B158)&gt;0,"Yes","No"))</f>
        <v>No</v>
      </c>
      <c r="P158" s="35" t="str">
        <f aca="false">IF(OR(I158="",H158=""),"",H158+CapaDue)</f>
        <v/>
      </c>
      <c r="Q158" s="27" t="str">
        <f aca="false">IF(A158="","",IF(I158="","Not required",IF(J158&lt;&gt;"","Closed",IF(H158="","Awaiting dev. close",IF(AsOf&gt;P158,"Overdue","Open")))))</f>
        <v>Not required</v>
      </c>
      <c r="R158" s="27" t="str">
        <f aca="false">IF(J158="","",IF(COUNTIFS($D$5:$D$400,D158,$F$5:$F$400,F158,$B$5:$B$400,"&gt;"&amp;J158,$B$5:$B$400,"&lt;="&amp;(J158+EffWin))&gt;0,"Ineffective",IF(AsOf-J158&gt;=EffWin,"Effective","Check pending")))</f>
        <v/>
      </c>
      <c r="S158" s="36" t="n">
        <f aca="false">IF(A158="","",DATE(YEAR(B158),MONTH(B158),1))</f>
        <v>46235</v>
      </c>
      <c r="T158" s="36" t="n">
        <f aca="false">IF(H158="","",DATE(YEAR(H158),MONTH(H158),1))</f>
        <v>46266</v>
      </c>
      <c r="U158" s="27" t="n">
        <f aca="false">IF(H158="","",IF(AsOf-H158&lt;=90,L158,""))</f>
        <v>35</v>
      </c>
      <c r="V158" s="27" t="str">
        <f aca="false">IF(H158="","",IF(AND(AsOf-H158&gt;90,AsOf-H158&lt;=270),L158,""))</f>
        <v/>
      </c>
    </row>
    <row r="159" customFormat="false" ht="15" hidden="false" customHeight="false" outlineLevel="0" collapsed="false">
      <c r="A159" s="32" t="s">
        <v>383</v>
      </c>
      <c r="B159" s="34" t="n">
        <v>46257</v>
      </c>
      <c r="C159" s="32" t="s">
        <v>75</v>
      </c>
      <c r="D159" s="32" t="s">
        <v>274</v>
      </c>
      <c r="E159" s="32" t="s">
        <v>61</v>
      </c>
      <c r="F159" s="32" t="s">
        <v>103</v>
      </c>
      <c r="G159" s="32" t="s">
        <v>127</v>
      </c>
      <c r="H159" s="34" t="n">
        <v>46289</v>
      </c>
      <c r="I159" s="32"/>
      <c r="J159" s="34"/>
      <c r="K159" s="27" t="str">
        <f aca="false">IF(A159="","",IF(H159="","Open","Closed"))</f>
        <v>Closed</v>
      </c>
      <c r="L159" s="27" t="n">
        <f aca="false">IF(A159="","",IF(H159="",AsOf-B159,H159-B159))</f>
        <v>32</v>
      </c>
      <c r="M159" s="27" t="str">
        <f aca="false">IF(A159="","",IF(AND(K159="Open",L159&gt;Target),"Yes","No"))</f>
        <v>No</v>
      </c>
      <c r="N159" s="27" t="str">
        <f aca="false">IF(K159&lt;&gt;"Open","",IF(L159&lt;=30,"0-30",IF(L159&lt;=60,"31-60",IF(L159&lt;=90,"61-90","90+"))))</f>
        <v/>
      </c>
      <c r="O159" s="27" t="str">
        <f aca="false">IF(A159="","",IF(COUNTIFS($D$5:$D$400,D159,$F$5:$F$400,F159,$B$5:$B$400,"&gt;="&amp;(B159-RepeatWin),$B$5:$B$400,"&lt;"&amp;B159)&gt;0,"Yes","No"))</f>
        <v>No</v>
      </c>
      <c r="P159" s="35" t="str">
        <f aca="false">IF(OR(I159="",H159=""),"",H159+CapaDue)</f>
        <v/>
      </c>
      <c r="Q159" s="27" t="str">
        <f aca="false">IF(A159="","",IF(I159="","Not required",IF(J159&lt;&gt;"","Closed",IF(H159="","Awaiting dev. close",IF(AsOf&gt;P159,"Overdue","Open")))))</f>
        <v>Not required</v>
      </c>
      <c r="R159" s="27" t="str">
        <f aca="false">IF(J159="","",IF(COUNTIFS($D$5:$D$400,D159,$F$5:$F$400,F159,$B$5:$B$400,"&gt;"&amp;J159,$B$5:$B$400,"&lt;="&amp;(J159+EffWin))&gt;0,"Ineffective",IF(AsOf-J159&gt;=EffWin,"Effective","Check pending")))</f>
        <v/>
      </c>
      <c r="S159" s="36" t="n">
        <f aca="false">IF(A159="","",DATE(YEAR(B159),MONTH(B159),1))</f>
        <v>46235</v>
      </c>
      <c r="T159" s="36" t="n">
        <f aca="false">IF(H159="","",DATE(YEAR(H159),MONTH(H159),1))</f>
        <v>46266</v>
      </c>
      <c r="U159" s="27" t="n">
        <f aca="false">IF(H159="","",IF(AsOf-H159&lt;=90,L159,""))</f>
        <v>32</v>
      </c>
      <c r="V159" s="27" t="str">
        <f aca="false">IF(H159="","",IF(AND(AsOf-H159&gt;90,AsOf-H159&lt;=270),L159,""))</f>
        <v/>
      </c>
    </row>
    <row r="160" customFormat="false" ht="15" hidden="false" customHeight="false" outlineLevel="0" collapsed="false">
      <c r="A160" s="32" t="s">
        <v>384</v>
      </c>
      <c r="B160" s="34" t="n">
        <v>46258</v>
      </c>
      <c r="C160" s="32" t="s">
        <v>73</v>
      </c>
      <c r="D160" s="32" t="s">
        <v>223</v>
      </c>
      <c r="E160" s="32" t="s">
        <v>61</v>
      </c>
      <c r="F160" s="32" t="s">
        <v>98</v>
      </c>
      <c r="G160" s="32" t="s">
        <v>127</v>
      </c>
      <c r="H160" s="34"/>
      <c r="I160" s="32"/>
      <c r="J160" s="34"/>
      <c r="K160" s="27" t="str">
        <f aca="false">IF(A160="","",IF(H160="","Open","Closed"))</f>
        <v>Open</v>
      </c>
      <c r="L160" s="27" t="n">
        <f aca="false">IF(A160="","",IF(H160="",AsOf-B160,H160-B160))</f>
        <v>37</v>
      </c>
      <c r="M160" s="27" t="str">
        <f aca="false">IF(A160="","",IF(AND(K160="Open",L160&gt;Target),"Yes","No"))</f>
        <v>Yes</v>
      </c>
      <c r="N160" s="27" t="str">
        <f aca="false">IF(K160&lt;&gt;"Open","",IF(L160&lt;=30,"0-30",IF(L160&lt;=60,"31-60",IF(L160&lt;=90,"61-90","90+"))))</f>
        <v>31-60</v>
      </c>
      <c r="O160" s="27" t="str">
        <f aca="false">IF(A160="","",IF(COUNTIFS($D$5:$D$400,D160,$F$5:$F$400,F160,$B$5:$B$400,"&gt;="&amp;(B160-RepeatWin),$B$5:$B$400,"&lt;"&amp;B160)&gt;0,"Yes","No"))</f>
        <v>No</v>
      </c>
      <c r="P160" s="35" t="str">
        <f aca="false">IF(OR(I160="",H160=""),"",H160+CapaDue)</f>
        <v/>
      </c>
      <c r="Q160" s="27" t="str">
        <f aca="false">IF(A160="","",IF(I160="","Not required",IF(J160&lt;&gt;"","Closed",IF(H160="","Awaiting dev. close",IF(AsOf&gt;P160,"Overdue","Open")))))</f>
        <v>Not required</v>
      </c>
      <c r="R160" s="27" t="str">
        <f aca="false">IF(J160="","",IF(COUNTIFS($D$5:$D$400,D160,$F$5:$F$400,F160,$B$5:$B$400,"&gt;"&amp;J160,$B$5:$B$400,"&lt;="&amp;(J160+EffWin))&gt;0,"Ineffective",IF(AsOf-J160&gt;=EffWin,"Effective","Check pending")))</f>
        <v/>
      </c>
      <c r="S160" s="36" t="n">
        <f aca="false">IF(A160="","",DATE(YEAR(B160),MONTH(B160),1))</f>
        <v>46235</v>
      </c>
      <c r="T160" s="36" t="str">
        <f aca="false">IF(H160="","",DATE(YEAR(H160),MONTH(H160),1))</f>
        <v/>
      </c>
      <c r="U160" s="27" t="str">
        <f aca="false">IF(H160="","",IF(AsOf-H160&lt;=90,L160,""))</f>
        <v/>
      </c>
      <c r="V160" s="27" t="str">
        <f aca="false">IF(H160="","",IF(AND(AsOf-H160&gt;90,AsOf-H160&lt;=270),L160,""))</f>
        <v/>
      </c>
    </row>
    <row r="161" customFormat="false" ht="15" hidden="false" customHeight="false" outlineLevel="0" collapsed="false">
      <c r="A161" s="32" t="s">
        <v>385</v>
      </c>
      <c r="B161" s="34" t="n">
        <v>46258</v>
      </c>
      <c r="C161" s="32" t="s">
        <v>79</v>
      </c>
      <c r="D161" s="32" t="s">
        <v>151</v>
      </c>
      <c r="E161" s="32" t="s">
        <v>61</v>
      </c>
      <c r="F161" s="32" t="s">
        <v>94</v>
      </c>
      <c r="G161" s="32" t="s">
        <v>130</v>
      </c>
      <c r="H161" s="34" t="n">
        <v>46290</v>
      </c>
      <c r="I161" s="32"/>
      <c r="J161" s="34"/>
      <c r="K161" s="27" t="str">
        <f aca="false">IF(A161="","",IF(H161="","Open","Closed"))</f>
        <v>Closed</v>
      </c>
      <c r="L161" s="27" t="n">
        <f aca="false">IF(A161="","",IF(H161="",AsOf-B161,H161-B161))</f>
        <v>32</v>
      </c>
      <c r="M161" s="27" t="str">
        <f aca="false">IF(A161="","",IF(AND(K161="Open",L161&gt;Target),"Yes","No"))</f>
        <v>No</v>
      </c>
      <c r="N161" s="27" t="str">
        <f aca="false">IF(K161&lt;&gt;"Open","",IF(L161&lt;=30,"0-30",IF(L161&lt;=60,"31-60",IF(L161&lt;=90,"61-90","90+"))))</f>
        <v/>
      </c>
      <c r="O161" s="27" t="str">
        <f aca="false">IF(A161="","",IF(COUNTIFS($D$5:$D$400,D161,$F$5:$F$400,F161,$B$5:$B$400,"&gt;="&amp;(B161-RepeatWin),$B$5:$B$400,"&lt;"&amp;B161)&gt;0,"Yes","No"))</f>
        <v>No</v>
      </c>
      <c r="P161" s="35" t="str">
        <f aca="false">IF(OR(I161="",H161=""),"",H161+CapaDue)</f>
        <v/>
      </c>
      <c r="Q161" s="27" t="str">
        <f aca="false">IF(A161="","",IF(I161="","Not required",IF(J161&lt;&gt;"","Closed",IF(H161="","Awaiting dev. close",IF(AsOf&gt;P161,"Overdue","Open")))))</f>
        <v>Not required</v>
      </c>
      <c r="R161" s="27" t="str">
        <f aca="false">IF(J161="","",IF(COUNTIFS($D$5:$D$400,D161,$F$5:$F$400,F161,$B$5:$B$400,"&gt;"&amp;J161,$B$5:$B$400,"&lt;="&amp;(J161+EffWin))&gt;0,"Ineffective",IF(AsOf-J161&gt;=EffWin,"Effective","Check pending")))</f>
        <v/>
      </c>
      <c r="S161" s="36" t="n">
        <f aca="false">IF(A161="","",DATE(YEAR(B161),MONTH(B161),1))</f>
        <v>46235</v>
      </c>
      <c r="T161" s="36" t="n">
        <f aca="false">IF(H161="","",DATE(YEAR(H161),MONTH(H161),1))</f>
        <v>46266</v>
      </c>
      <c r="U161" s="27" t="n">
        <f aca="false">IF(H161="","",IF(AsOf-H161&lt;=90,L161,""))</f>
        <v>32</v>
      </c>
      <c r="V161" s="27" t="str">
        <f aca="false">IF(H161="","",IF(AND(AsOf-H161&gt;90,AsOf-H161&lt;=270),L161,""))</f>
        <v/>
      </c>
    </row>
    <row r="162" customFormat="false" ht="15" hidden="false" customHeight="false" outlineLevel="0" collapsed="false">
      <c r="A162" s="32" t="s">
        <v>386</v>
      </c>
      <c r="B162" s="34" t="n">
        <v>46262</v>
      </c>
      <c r="C162" s="32" t="s">
        <v>75</v>
      </c>
      <c r="D162" s="32" t="s">
        <v>161</v>
      </c>
      <c r="E162" s="32" t="s">
        <v>59</v>
      </c>
      <c r="F162" s="32" t="s">
        <v>94</v>
      </c>
      <c r="G162" s="32" t="s">
        <v>132</v>
      </c>
      <c r="H162" s="34"/>
      <c r="I162" s="32" t="s">
        <v>387</v>
      </c>
      <c r="J162" s="34"/>
      <c r="K162" s="27" t="str">
        <f aca="false">IF(A162="","",IF(H162="","Open","Closed"))</f>
        <v>Open</v>
      </c>
      <c r="L162" s="27" t="n">
        <f aca="false">IF(A162="","",IF(H162="",AsOf-B162,H162-B162))</f>
        <v>33</v>
      </c>
      <c r="M162" s="27" t="str">
        <f aca="false">IF(A162="","",IF(AND(K162="Open",L162&gt;Target),"Yes","No"))</f>
        <v>Yes</v>
      </c>
      <c r="N162" s="27" t="str">
        <f aca="false">IF(K162&lt;&gt;"Open","",IF(L162&lt;=30,"0-30",IF(L162&lt;=60,"31-60",IF(L162&lt;=90,"61-90","90+"))))</f>
        <v>31-60</v>
      </c>
      <c r="O162" s="27" t="str">
        <f aca="false">IF(A162="","",IF(COUNTIFS($D$5:$D$400,D162,$F$5:$F$400,F162,$B$5:$B$400,"&gt;="&amp;(B162-RepeatWin),$B$5:$B$400,"&lt;"&amp;B162)&gt;0,"Yes","No"))</f>
        <v>No</v>
      </c>
      <c r="P162" s="35" t="str">
        <f aca="false">IF(OR(I162="",H162=""),"",H162+CapaDue)</f>
        <v/>
      </c>
      <c r="Q162" s="27" t="str">
        <f aca="false">IF(A162="","",IF(I162="","Not required",IF(J162&lt;&gt;"","Closed",IF(H162="","Awaiting dev. close",IF(AsOf&gt;P162,"Overdue","Open")))))</f>
        <v>Awaiting dev. close</v>
      </c>
      <c r="R162" s="27" t="str">
        <f aca="false">IF(J162="","",IF(COUNTIFS($D$5:$D$400,D162,$F$5:$F$400,F162,$B$5:$B$400,"&gt;"&amp;J162,$B$5:$B$400,"&lt;="&amp;(J162+EffWin))&gt;0,"Ineffective",IF(AsOf-J162&gt;=EffWin,"Effective","Check pending")))</f>
        <v/>
      </c>
      <c r="S162" s="36" t="n">
        <f aca="false">IF(A162="","",DATE(YEAR(B162),MONTH(B162),1))</f>
        <v>46235</v>
      </c>
      <c r="T162" s="36" t="str">
        <f aca="false">IF(H162="","",DATE(YEAR(H162),MONTH(H162),1))</f>
        <v/>
      </c>
      <c r="U162" s="27" t="str">
        <f aca="false">IF(H162="","",IF(AsOf-H162&lt;=90,L162,""))</f>
        <v/>
      </c>
      <c r="V162" s="27" t="str">
        <f aca="false">IF(H162="","",IF(AND(AsOf-H162&gt;90,AsOf-H162&lt;=270),L162,""))</f>
        <v/>
      </c>
    </row>
    <row r="163" customFormat="false" ht="15" hidden="false" customHeight="false" outlineLevel="0" collapsed="false">
      <c r="A163" s="32" t="s">
        <v>388</v>
      </c>
      <c r="B163" s="34" t="n">
        <v>46262</v>
      </c>
      <c r="C163" s="32" t="s">
        <v>79</v>
      </c>
      <c r="D163" s="32" t="s">
        <v>166</v>
      </c>
      <c r="E163" s="32" t="s">
        <v>61</v>
      </c>
      <c r="F163" s="32" t="s">
        <v>99</v>
      </c>
      <c r="G163" s="32" t="s">
        <v>128</v>
      </c>
      <c r="H163" s="34" t="n">
        <v>46294</v>
      </c>
      <c r="I163" s="32"/>
      <c r="J163" s="34"/>
      <c r="K163" s="27" t="str">
        <f aca="false">IF(A163="","",IF(H163="","Open","Closed"))</f>
        <v>Closed</v>
      </c>
      <c r="L163" s="27" t="n">
        <f aca="false">IF(A163="","",IF(H163="",AsOf-B163,H163-B163))</f>
        <v>32</v>
      </c>
      <c r="M163" s="27" t="str">
        <f aca="false">IF(A163="","",IF(AND(K163="Open",L163&gt;Target),"Yes","No"))</f>
        <v>No</v>
      </c>
      <c r="N163" s="27" t="str">
        <f aca="false">IF(K163&lt;&gt;"Open","",IF(L163&lt;=30,"0-30",IF(L163&lt;=60,"31-60",IF(L163&lt;=90,"61-90","90+"))))</f>
        <v/>
      </c>
      <c r="O163" s="27" t="str">
        <f aca="false">IF(A163="","",IF(COUNTIFS($D$5:$D$400,D163,$F$5:$F$400,F163,$B$5:$B$400,"&gt;="&amp;(B163-RepeatWin),$B$5:$B$400,"&lt;"&amp;B163)&gt;0,"Yes","No"))</f>
        <v>No</v>
      </c>
      <c r="P163" s="35" t="str">
        <f aca="false">IF(OR(I163="",H163=""),"",H163+CapaDue)</f>
        <v/>
      </c>
      <c r="Q163" s="27" t="str">
        <f aca="false">IF(A163="","",IF(I163="","Not required",IF(J163&lt;&gt;"","Closed",IF(H163="","Awaiting dev. close",IF(AsOf&gt;P163,"Overdue","Open")))))</f>
        <v>Not required</v>
      </c>
      <c r="R163" s="27" t="str">
        <f aca="false">IF(J163="","",IF(COUNTIFS($D$5:$D$400,D163,$F$5:$F$400,F163,$B$5:$B$400,"&gt;"&amp;J163,$B$5:$B$400,"&lt;="&amp;(J163+EffWin))&gt;0,"Ineffective",IF(AsOf-J163&gt;=EffWin,"Effective","Check pending")))</f>
        <v/>
      </c>
      <c r="S163" s="36" t="n">
        <f aca="false">IF(A163="","",DATE(YEAR(B163),MONTH(B163),1))</f>
        <v>46235</v>
      </c>
      <c r="T163" s="36" t="n">
        <f aca="false">IF(H163="","",DATE(YEAR(H163),MONTH(H163),1))</f>
        <v>46266</v>
      </c>
      <c r="U163" s="27" t="n">
        <f aca="false">IF(H163="","",IF(AsOf-H163&lt;=90,L163,""))</f>
        <v>32</v>
      </c>
      <c r="V163" s="27" t="str">
        <f aca="false">IF(H163="","",IF(AND(AsOf-H163&gt;90,AsOf-H163&lt;=270),L163,""))</f>
        <v/>
      </c>
    </row>
    <row r="164" customFormat="false" ht="15" hidden="false" customHeight="false" outlineLevel="0" collapsed="false">
      <c r="A164" s="32" t="s">
        <v>389</v>
      </c>
      <c r="B164" s="34" t="n">
        <v>46264</v>
      </c>
      <c r="C164" s="32" t="s">
        <v>75</v>
      </c>
      <c r="D164" s="32" t="s">
        <v>188</v>
      </c>
      <c r="E164" s="32" t="s">
        <v>61</v>
      </c>
      <c r="F164" s="32" t="s">
        <v>94</v>
      </c>
      <c r="G164" s="32" t="s">
        <v>127</v>
      </c>
      <c r="H164" s="34"/>
      <c r="I164" s="32"/>
      <c r="J164" s="34"/>
      <c r="K164" s="27" t="str">
        <f aca="false">IF(A164="","",IF(H164="","Open","Closed"))</f>
        <v>Open</v>
      </c>
      <c r="L164" s="27" t="n">
        <f aca="false">IF(A164="","",IF(H164="",AsOf-B164,H164-B164))</f>
        <v>31</v>
      </c>
      <c r="M164" s="27" t="str">
        <f aca="false">IF(A164="","",IF(AND(K164="Open",L164&gt;Target),"Yes","No"))</f>
        <v>Yes</v>
      </c>
      <c r="N164" s="27" t="str">
        <f aca="false">IF(K164&lt;&gt;"Open","",IF(L164&lt;=30,"0-30",IF(L164&lt;=60,"31-60",IF(L164&lt;=90,"61-90","90+"))))</f>
        <v>31-60</v>
      </c>
      <c r="O164" s="27" t="str">
        <f aca="false">IF(A164="","",IF(COUNTIFS($D$5:$D$400,D164,$F$5:$F$400,F164,$B$5:$B$400,"&gt;="&amp;(B164-RepeatWin),$B$5:$B$400,"&lt;"&amp;B164)&gt;0,"Yes","No"))</f>
        <v>No</v>
      </c>
      <c r="P164" s="35" t="str">
        <f aca="false">IF(OR(I164="",H164=""),"",H164+CapaDue)</f>
        <v/>
      </c>
      <c r="Q164" s="27" t="str">
        <f aca="false">IF(A164="","",IF(I164="","Not required",IF(J164&lt;&gt;"","Closed",IF(H164="","Awaiting dev. close",IF(AsOf&gt;P164,"Overdue","Open")))))</f>
        <v>Not required</v>
      </c>
      <c r="R164" s="27" t="str">
        <f aca="false">IF(J164="","",IF(COUNTIFS($D$5:$D$400,D164,$F$5:$F$400,F164,$B$5:$B$400,"&gt;"&amp;J164,$B$5:$B$400,"&lt;="&amp;(J164+EffWin))&gt;0,"Ineffective",IF(AsOf-J164&gt;=EffWin,"Effective","Check pending")))</f>
        <v/>
      </c>
      <c r="S164" s="36" t="n">
        <f aca="false">IF(A164="","",DATE(YEAR(B164),MONTH(B164),1))</f>
        <v>46235</v>
      </c>
      <c r="T164" s="36" t="str">
        <f aca="false">IF(H164="","",DATE(YEAR(H164),MONTH(H164),1))</f>
        <v/>
      </c>
      <c r="U164" s="27" t="str">
        <f aca="false">IF(H164="","",IF(AsOf-H164&lt;=90,L164,""))</f>
        <v/>
      </c>
      <c r="V164" s="27" t="str">
        <f aca="false">IF(H164="","",IF(AND(AsOf-H164&gt;90,AsOf-H164&lt;=270),L164,""))</f>
        <v/>
      </c>
    </row>
    <row r="165" customFormat="false" ht="15" hidden="false" customHeight="false" outlineLevel="0" collapsed="false">
      <c r="A165" s="32" t="s">
        <v>390</v>
      </c>
      <c r="B165" s="34" t="n">
        <v>46266</v>
      </c>
      <c r="C165" s="32" t="s">
        <v>73</v>
      </c>
      <c r="D165" s="32" t="s">
        <v>180</v>
      </c>
      <c r="E165" s="32" t="s">
        <v>61</v>
      </c>
      <c r="F165" s="32" t="s">
        <v>94</v>
      </c>
      <c r="G165" s="32" t="s">
        <v>132</v>
      </c>
      <c r="H165" s="34" t="n">
        <v>46292</v>
      </c>
      <c r="I165" s="32"/>
      <c r="J165" s="34"/>
      <c r="K165" s="27" t="str">
        <f aca="false">IF(A165="","",IF(H165="","Open","Closed"))</f>
        <v>Closed</v>
      </c>
      <c r="L165" s="27" t="n">
        <f aca="false">IF(A165="","",IF(H165="",AsOf-B165,H165-B165))</f>
        <v>26</v>
      </c>
      <c r="M165" s="27" t="str">
        <f aca="false">IF(A165="","",IF(AND(K165="Open",L165&gt;Target),"Yes","No"))</f>
        <v>No</v>
      </c>
      <c r="N165" s="27" t="str">
        <f aca="false">IF(K165&lt;&gt;"Open","",IF(L165&lt;=30,"0-30",IF(L165&lt;=60,"31-60",IF(L165&lt;=90,"61-90","90+"))))</f>
        <v/>
      </c>
      <c r="O165" s="27" t="str">
        <f aca="false">IF(A165="","",IF(COUNTIFS($D$5:$D$400,D165,$F$5:$F$400,F165,$B$5:$B$400,"&gt;="&amp;(B165-RepeatWin),$B$5:$B$400,"&lt;"&amp;B165)&gt;0,"Yes","No"))</f>
        <v>No</v>
      </c>
      <c r="P165" s="35" t="str">
        <f aca="false">IF(OR(I165="",H165=""),"",H165+CapaDue)</f>
        <v/>
      </c>
      <c r="Q165" s="27" t="str">
        <f aca="false">IF(A165="","",IF(I165="","Not required",IF(J165&lt;&gt;"","Closed",IF(H165="","Awaiting dev. close",IF(AsOf&gt;P165,"Overdue","Open")))))</f>
        <v>Not required</v>
      </c>
      <c r="R165" s="27" t="str">
        <f aca="false">IF(J165="","",IF(COUNTIFS($D$5:$D$400,D165,$F$5:$F$400,F165,$B$5:$B$400,"&gt;"&amp;J165,$B$5:$B$400,"&lt;="&amp;(J165+EffWin))&gt;0,"Ineffective",IF(AsOf-J165&gt;=EffWin,"Effective","Check pending")))</f>
        <v/>
      </c>
      <c r="S165" s="36" t="n">
        <f aca="false">IF(A165="","",DATE(YEAR(B165),MONTH(B165),1))</f>
        <v>46266</v>
      </c>
      <c r="T165" s="36" t="n">
        <f aca="false">IF(H165="","",DATE(YEAR(H165),MONTH(H165),1))</f>
        <v>46266</v>
      </c>
      <c r="U165" s="27" t="n">
        <f aca="false">IF(H165="","",IF(AsOf-H165&lt;=90,L165,""))</f>
        <v>26</v>
      </c>
      <c r="V165" s="27" t="str">
        <f aca="false">IF(H165="","",IF(AND(AsOf-H165&gt;90,AsOf-H165&lt;=270),L165,""))</f>
        <v/>
      </c>
    </row>
    <row r="166" customFormat="false" ht="15" hidden="false" customHeight="false" outlineLevel="0" collapsed="false">
      <c r="A166" s="32" t="s">
        <v>391</v>
      </c>
      <c r="B166" s="34" t="n">
        <v>46266</v>
      </c>
      <c r="C166" s="32" t="s">
        <v>75</v>
      </c>
      <c r="D166" s="32" t="s">
        <v>161</v>
      </c>
      <c r="E166" s="32" t="s">
        <v>59</v>
      </c>
      <c r="F166" s="32" t="s">
        <v>103</v>
      </c>
      <c r="G166" s="32" t="s">
        <v>132</v>
      </c>
      <c r="H166" s="34"/>
      <c r="I166" s="32" t="s">
        <v>392</v>
      </c>
      <c r="J166" s="34"/>
      <c r="K166" s="27" t="str">
        <f aca="false">IF(A166="","",IF(H166="","Open","Closed"))</f>
        <v>Open</v>
      </c>
      <c r="L166" s="27" t="n">
        <f aca="false">IF(A166="","",IF(H166="",AsOf-B166,H166-B166))</f>
        <v>29</v>
      </c>
      <c r="M166" s="27" t="str">
        <f aca="false">IF(A166="","",IF(AND(K166="Open",L166&gt;Target),"Yes","No"))</f>
        <v>No</v>
      </c>
      <c r="N166" s="27" t="str">
        <f aca="false">IF(K166&lt;&gt;"Open","",IF(L166&lt;=30,"0-30",IF(L166&lt;=60,"31-60",IF(L166&lt;=90,"61-90","90+"))))</f>
        <v>0-30</v>
      </c>
      <c r="O166" s="27" t="str">
        <f aca="false">IF(A166="","",IF(COUNTIFS($D$5:$D$400,D166,$F$5:$F$400,F166,$B$5:$B$400,"&gt;="&amp;(B166-RepeatWin),$B$5:$B$400,"&lt;"&amp;B166)&gt;0,"Yes","No"))</f>
        <v>No</v>
      </c>
      <c r="P166" s="35" t="str">
        <f aca="false">IF(OR(I166="",H166=""),"",H166+CapaDue)</f>
        <v/>
      </c>
      <c r="Q166" s="27" t="str">
        <f aca="false">IF(A166="","",IF(I166="","Not required",IF(J166&lt;&gt;"","Closed",IF(H166="","Awaiting dev. close",IF(AsOf&gt;P166,"Overdue","Open")))))</f>
        <v>Awaiting dev. close</v>
      </c>
      <c r="R166" s="27" t="str">
        <f aca="false">IF(J166="","",IF(COUNTIFS($D$5:$D$400,D166,$F$5:$F$400,F166,$B$5:$B$400,"&gt;"&amp;J166,$B$5:$B$400,"&lt;="&amp;(J166+EffWin))&gt;0,"Ineffective",IF(AsOf-J166&gt;=EffWin,"Effective","Check pending")))</f>
        <v/>
      </c>
      <c r="S166" s="36" t="n">
        <f aca="false">IF(A166="","",DATE(YEAR(B166),MONTH(B166),1))</f>
        <v>46266</v>
      </c>
      <c r="T166" s="36" t="str">
        <f aca="false">IF(H166="","",DATE(YEAR(H166),MONTH(H166),1))</f>
        <v/>
      </c>
      <c r="U166" s="27" t="str">
        <f aca="false">IF(H166="","",IF(AsOf-H166&lt;=90,L166,""))</f>
        <v/>
      </c>
      <c r="V166" s="27" t="str">
        <f aca="false">IF(H166="","",IF(AND(AsOf-H166&gt;90,AsOf-H166&lt;=270),L166,""))</f>
        <v/>
      </c>
    </row>
    <row r="167" customFormat="false" ht="15" hidden="false" customHeight="false" outlineLevel="0" collapsed="false">
      <c r="A167" s="32" t="s">
        <v>393</v>
      </c>
      <c r="B167" s="34" t="n">
        <v>46267</v>
      </c>
      <c r="C167" s="32" t="s">
        <v>75</v>
      </c>
      <c r="D167" s="32" t="s">
        <v>192</v>
      </c>
      <c r="E167" s="32" t="s">
        <v>59</v>
      </c>
      <c r="F167" s="32" t="s">
        <v>95</v>
      </c>
      <c r="G167" s="32" t="s">
        <v>126</v>
      </c>
      <c r="H167" s="34"/>
      <c r="I167" s="32" t="s">
        <v>394</v>
      </c>
      <c r="J167" s="34"/>
      <c r="K167" s="27" t="str">
        <f aca="false">IF(A167="","",IF(H167="","Open","Closed"))</f>
        <v>Open</v>
      </c>
      <c r="L167" s="27" t="n">
        <f aca="false">IF(A167="","",IF(H167="",AsOf-B167,H167-B167))</f>
        <v>28</v>
      </c>
      <c r="M167" s="27" t="str">
        <f aca="false">IF(A167="","",IF(AND(K167="Open",L167&gt;Target),"Yes","No"))</f>
        <v>No</v>
      </c>
      <c r="N167" s="27" t="str">
        <f aca="false">IF(K167&lt;&gt;"Open","",IF(L167&lt;=30,"0-30",IF(L167&lt;=60,"31-60",IF(L167&lt;=90,"61-90","90+"))))</f>
        <v>0-30</v>
      </c>
      <c r="O167" s="27" t="str">
        <f aca="false">IF(A167="","",IF(COUNTIFS($D$5:$D$400,D167,$F$5:$F$400,F167,$B$5:$B$400,"&gt;="&amp;(B167-RepeatWin),$B$5:$B$400,"&lt;"&amp;B167)&gt;0,"Yes","No"))</f>
        <v>No</v>
      </c>
      <c r="P167" s="35" t="str">
        <f aca="false">IF(OR(I167="",H167=""),"",H167+CapaDue)</f>
        <v/>
      </c>
      <c r="Q167" s="27" t="str">
        <f aca="false">IF(A167="","",IF(I167="","Not required",IF(J167&lt;&gt;"","Closed",IF(H167="","Awaiting dev. close",IF(AsOf&gt;P167,"Overdue","Open")))))</f>
        <v>Awaiting dev. close</v>
      </c>
      <c r="R167" s="27" t="str">
        <f aca="false">IF(J167="","",IF(COUNTIFS($D$5:$D$400,D167,$F$5:$F$400,F167,$B$5:$B$400,"&gt;"&amp;J167,$B$5:$B$400,"&lt;="&amp;(J167+EffWin))&gt;0,"Ineffective",IF(AsOf-J167&gt;=EffWin,"Effective","Check pending")))</f>
        <v/>
      </c>
      <c r="S167" s="36" t="n">
        <f aca="false">IF(A167="","",DATE(YEAR(B167),MONTH(B167),1))</f>
        <v>46266</v>
      </c>
      <c r="T167" s="36" t="str">
        <f aca="false">IF(H167="","",DATE(YEAR(H167),MONTH(H167),1))</f>
        <v/>
      </c>
      <c r="U167" s="27" t="str">
        <f aca="false">IF(H167="","",IF(AsOf-H167&lt;=90,L167,""))</f>
        <v/>
      </c>
      <c r="V167" s="27" t="str">
        <f aca="false">IF(H167="","",IF(AND(AsOf-H167&gt;90,AsOf-H167&lt;=270),L167,""))</f>
        <v/>
      </c>
    </row>
    <row r="168" customFormat="false" ht="15" hidden="false" customHeight="false" outlineLevel="0" collapsed="false">
      <c r="A168" s="32" t="s">
        <v>395</v>
      </c>
      <c r="B168" s="34" t="n">
        <v>46273</v>
      </c>
      <c r="C168" s="32" t="s">
        <v>80</v>
      </c>
      <c r="D168" s="32" t="s">
        <v>199</v>
      </c>
      <c r="E168" s="32" t="s">
        <v>61</v>
      </c>
      <c r="F168" s="32" t="s">
        <v>105</v>
      </c>
      <c r="G168" s="32" t="s">
        <v>131</v>
      </c>
      <c r="H168" s="34"/>
      <c r="I168" s="32"/>
      <c r="J168" s="34"/>
      <c r="K168" s="27" t="str">
        <f aca="false">IF(A168="","",IF(H168="","Open","Closed"))</f>
        <v>Open</v>
      </c>
      <c r="L168" s="27" t="n">
        <f aca="false">IF(A168="","",IF(H168="",AsOf-B168,H168-B168))</f>
        <v>22</v>
      </c>
      <c r="M168" s="27" t="str">
        <f aca="false">IF(A168="","",IF(AND(K168="Open",L168&gt;Target),"Yes","No"))</f>
        <v>No</v>
      </c>
      <c r="N168" s="27" t="str">
        <f aca="false">IF(K168&lt;&gt;"Open","",IF(L168&lt;=30,"0-30",IF(L168&lt;=60,"31-60",IF(L168&lt;=90,"61-90","90+"))))</f>
        <v>0-30</v>
      </c>
      <c r="O168" s="27" t="str">
        <f aca="false">IF(A168="","",IF(COUNTIFS($D$5:$D$400,D168,$F$5:$F$400,F168,$B$5:$B$400,"&gt;="&amp;(B168-RepeatWin),$B$5:$B$400,"&lt;"&amp;B168)&gt;0,"Yes","No"))</f>
        <v>No</v>
      </c>
      <c r="P168" s="35" t="str">
        <f aca="false">IF(OR(I168="",H168=""),"",H168+CapaDue)</f>
        <v/>
      </c>
      <c r="Q168" s="27" t="str">
        <f aca="false">IF(A168="","",IF(I168="","Not required",IF(J168&lt;&gt;"","Closed",IF(H168="","Awaiting dev. close",IF(AsOf&gt;P168,"Overdue","Open")))))</f>
        <v>Not required</v>
      </c>
      <c r="R168" s="27" t="str">
        <f aca="false">IF(J168="","",IF(COUNTIFS($D$5:$D$400,D168,$F$5:$F$400,F168,$B$5:$B$400,"&gt;"&amp;J168,$B$5:$B$400,"&lt;="&amp;(J168+EffWin))&gt;0,"Ineffective",IF(AsOf-J168&gt;=EffWin,"Effective","Check pending")))</f>
        <v/>
      </c>
      <c r="S168" s="36" t="n">
        <f aca="false">IF(A168="","",DATE(YEAR(B168),MONTH(B168),1))</f>
        <v>46266</v>
      </c>
      <c r="T168" s="36" t="str">
        <f aca="false">IF(H168="","",DATE(YEAR(H168),MONTH(H168),1))</f>
        <v/>
      </c>
      <c r="U168" s="27" t="str">
        <f aca="false">IF(H168="","",IF(AsOf-H168&lt;=90,L168,""))</f>
        <v/>
      </c>
      <c r="V168" s="27" t="str">
        <f aca="false">IF(H168="","",IF(AND(AsOf-H168&gt;90,AsOf-H168&lt;=270),L168,""))</f>
        <v/>
      </c>
    </row>
    <row r="169" customFormat="false" ht="15" hidden="false" customHeight="false" outlineLevel="0" collapsed="false">
      <c r="A169" s="32" t="s">
        <v>396</v>
      </c>
      <c r="B169" s="34" t="n">
        <v>46275</v>
      </c>
      <c r="C169" s="32" t="s">
        <v>75</v>
      </c>
      <c r="D169" s="32" t="s">
        <v>192</v>
      </c>
      <c r="E169" s="32" t="s">
        <v>59</v>
      </c>
      <c r="F169" s="32" t="s">
        <v>94</v>
      </c>
      <c r="G169" s="32" t="s">
        <v>127</v>
      </c>
      <c r="H169" s="34"/>
      <c r="I169" s="32" t="s">
        <v>397</v>
      </c>
      <c r="J169" s="34"/>
      <c r="K169" s="27" t="str">
        <f aca="false">IF(A169="","",IF(H169="","Open","Closed"))</f>
        <v>Open</v>
      </c>
      <c r="L169" s="27" t="n">
        <f aca="false">IF(A169="","",IF(H169="",AsOf-B169,H169-B169))</f>
        <v>20</v>
      </c>
      <c r="M169" s="27" t="str">
        <f aca="false">IF(A169="","",IF(AND(K169="Open",L169&gt;Target),"Yes","No"))</f>
        <v>No</v>
      </c>
      <c r="N169" s="27" t="str">
        <f aca="false">IF(K169&lt;&gt;"Open","",IF(L169&lt;=30,"0-30",IF(L169&lt;=60,"31-60",IF(L169&lt;=90,"61-90","90+"))))</f>
        <v>0-30</v>
      </c>
      <c r="O169" s="27" t="str">
        <f aca="false">IF(A169="","",IF(COUNTIFS($D$5:$D$400,D169,$F$5:$F$400,F169,$B$5:$B$400,"&gt;="&amp;(B169-RepeatWin),$B$5:$B$400,"&lt;"&amp;B169)&gt;0,"Yes","No"))</f>
        <v>No</v>
      </c>
      <c r="P169" s="35" t="str">
        <f aca="false">IF(OR(I169="",H169=""),"",H169+CapaDue)</f>
        <v/>
      </c>
      <c r="Q169" s="27" t="str">
        <f aca="false">IF(A169="","",IF(I169="","Not required",IF(J169&lt;&gt;"","Closed",IF(H169="","Awaiting dev. close",IF(AsOf&gt;P169,"Overdue","Open")))))</f>
        <v>Awaiting dev. close</v>
      </c>
      <c r="R169" s="27" t="str">
        <f aca="false">IF(J169="","",IF(COUNTIFS($D$5:$D$400,D169,$F$5:$F$400,F169,$B$5:$B$400,"&gt;"&amp;J169,$B$5:$B$400,"&lt;="&amp;(J169+EffWin))&gt;0,"Ineffective",IF(AsOf-J169&gt;=EffWin,"Effective","Check pending")))</f>
        <v/>
      </c>
      <c r="S169" s="36" t="n">
        <f aca="false">IF(A169="","",DATE(YEAR(B169),MONTH(B169),1))</f>
        <v>46266</v>
      </c>
      <c r="T169" s="36" t="str">
        <f aca="false">IF(H169="","",DATE(YEAR(H169),MONTH(H169),1))</f>
        <v/>
      </c>
      <c r="U169" s="27" t="str">
        <f aca="false">IF(H169="","",IF(AsOf-H169&lt;=90,L169,""))</f>
        <v/>
      </c>
      <c r="V169" s="27" t="str">
        <f aca="false">IF(H169="","",IF(AND(AsOf-H169&gt;90,AsOf-H169&lt;=270),L169,""))</f>
        <v/>
      </c>
    </row>
    <row r="170" customFormat="false" ht="15" hidden="false" customHeight="false" outlineLevel="0" collapsed="false">
      <c r="A170" s="32" t="s">
        <v>398</v>
      </c>
      <c r="B170" s="34" t="n">
        <v>46291</v>
      </c>
      <c r="C170" s="32" t="s">
        <v>73</v>
      </c>
      <c r="D170" s="32" t="s">
        <v>223</v>
      </c>
      <c r="E170" s="32" t="s">
        <v>61</v>
      </c>
      <c r="F170" s="32" t="s">
        <v>96</v>
      </c>
      <c r="G170" s="32" t="s">
        <v>129</v>
      </c>
      <c r="H170" s="34"/>
      <c r="I170" s="32"/>
      <c r="J170" s="34"/>
      <c r="K170" s="27" t="str">
        <f aca="false">IF(A170="","",IF(H170="","Open","Closed"))</f>
        <v>Open</v>
      </c>
      <c r="L170" s="27" t="n">
        <f aca="false">IF(A170="","",IF(H170="",AsOf-B170,H170-B170))</f>
        <v>4</v>
      </c>
      <c r="M170" s="27" t="str">
        <f aca="false">IF(A170="","",IF(AND(K170="Open",L170&gt;Target),"Yes","No"))</f>
        <v>No</v>
      </c>
      <c r="N170" s="27" t="str">
        <f aca="false">IF(K170&lt;&gt;"Open","",IF(L170&lt;=30,"0-30",IF(L170&lt;=60,"31-60",IF(L170&lt;=90,"61-90","90+"))))</f>
        <v>0-30</v>
      </c>
      <c r="O170" s="27" t="str">
        <f aca="false">IF(A170="","",IF(COUNTIFS($D$5:$D$400,D170,$F$5:$F$400,F170,$B$5:$B$400,"&gt;="&amp;(B170-RepeatWin),$B$5:$B$400,"&lt;"&amp;B170)&gt;0,"Yes","No"))</f>
        <v>No</v>
      </c>
      <c r="P170" s="35" t="str">
        <f aca="false">IF(OR(I170="",H170=""),"",H170+CapaDue)</f>
        <v/>
      </c>
      <c r="Q170" s="27" t="str">
        <f aca="false">IF(A170="","",IF(I170="","Not required",IF(J170&lt;&gt;"","Closed",IF(H170="","Awaiting dev. close",IF(AsOf&gt;P170,"Overdue","Open")))))</f>
        <v>Not required</v>
      </c>
      <c r="R170" s="27" t="str">
        <f aca="false">IF(J170="","",IF(COUNTIFS($D$5:$D$400,D170,$F$5:$F$400,F170,$B$5:$B$400,"&gt;"&amp;J170,$B$5:$B$400,"&lt;="&amp;(J170+EffWin))&gt;0,"Ineffective",IF(AsOf-J170&gt;=EffWin,"Effective","Check pending")))</f>
        <v/>
      </c>
      <c r="S170" s="36" t="n">
        <f aca="false">IF(A170="","",DATE(YEAR(B170),MONTH(B170),1))</f>
        <v>46266</v>
      </c>
      <c r="T170" s="36" t="str">
        <f aca="false">IF(H170="","",DATE(YEAR(H170),MONTH(H170),1))</f>
        <v/>
      </c>
      <c r="U170" s="27" t="str">
        <f aca="false">IF(H170="","",IF(AsOf-H170&lt;=90,L170,""))</f>
        <v/>
      </c>
      <c r="V170" s="27" t="str">
        <f aca="false">IF(H170="","",IF(AND(AsOf-H170&gt;90,AsOf-H170&lt;=270),L170,""))</f>
        <v/>
      </c>
    </row>
    <row r="171" customFormat="false" ht="15" hidden="false" customHeight="false" outlineLevel="0" collapsed="false">
      <c r="A171" s="32" t="s">
        <v>399</v>
      </c>
      <c r="B171" s="34" t="n">
        <v>46293</v>
      </c>
      <c r="C171" s="32" t="s">
        <v>79</v>
      </c>
      <c r="D171" s="32" t="s">
        <v>282</v>
      </c>
      <c r="E171" s="32" t="s">
        <v>61</v>
      </c>
      <c r="F171" s="32" t="s">
        <v>96</v>
      </c>
      <c r="G171" s="32" t="s">
        <v>129</v>
      </c>
      <c r="H171" s="34"/>
      <c r="I171" s="32"/>
      <c r="J171" s="34"/>
      <c r="K171" s="27" t="str">
        <f aca="false">IF(A171="","",IF(H171="","Open","Closed"))</f>
        <v>Open</v>
      </c>
      <c r="L171" s="27" t="n">
        <f aca="false">IF(A171="","",IF(H171="",AsOf-B171,H171-B171))</f>
        <v>2</v>
      </c>
      <c r="M171" s="27" t="str">
        <f aca="false">IF(A171="","",IF(AND(K171="Open",L171&gt;Target),"Yes","No"))</f>
        <v>No</v>
      </c>
      <c r="N171" s="27" t="str">
        <f aca="false">IF(K171&lt;&gt;"Open","",IF(L171&lt;=30,"0-30",IF(L171&lt;=60,"31-60",IF(L171&lt;=90,"61-90","90+"))))</f>
        <v>0-30</v>
      </c>
      <c r="O171" s="27" t="str">
        <f aca="false">IF(A171="","",IF(COUNTIFS($D$5:$D$400,D171,$F$5:$F$400,F171,$B$5:$B$400,"&gt;="&amp;(B171-RepeatWin),$B$5:$B$400,"&lt;"&amp;B171)&gt;0,"Yes","No"))</f>
        <v>No</v>
      </c>
      <c r="P171" s="35" t="str">
        <f aca="false">IF(OR(I171="",H171=""),"",H171+CapaDue)</f>
        <v/>
      </c>
      <c r="Q171" s="27" t="str">
        <f aca="false">IF(A171="","",IF(I171="","Not required",IF(J171&lt;&gt;"","Closed",IF(H171="","Awaiting dev. close",IF(AsOf&gt;P171,"Overdue","Open")))))</f>
        <v>Not required</v>
      </c>
      <c r="R171" s="27" t="str">
        <f aca="false">IF(J171="","",IF(COUNTIFS($D$5:$D$400,D171,$F$5:$F$400,F171,$B$5:$B$400,"&gt;"&amp;J171,$B$5:$B$400,"&lt;="&amp;(J171+EffWin))&gt;0,"Ineffective",IF(AsOf-J171&gt;=EffWin,"Effective","Check pending")))</f>
        <v/>
      </c>
      <c r="S171" s="36" t="n">
        <f aca="false">IF(A171="","",DATE(YEAR(B171),MONTH(B171),1))</f>
        <v>46266</v>
      </c>
      <c r="T171" s="36" t="str">
        <f aca="false">IF(H171="","",DATE(YEAR(H171),MONTH(H171),1))</f>
        <v/>
      </c>
      <c r="U171" s="27" t="str">
        <f aca="false">IF(H171="","",IF(AsOf-H171&lt;=90,L171,""))</f>
        <v/>
      </c>
      <c r="V171" s="27" t="str">
        <f aca="false">IF(H171="","",IF(AND(AsOf-H171&gt;90,AsOf-H171&lt;=270),L171,""))</f>
        <v/>
      </c>
    </row>
    <row r="172" customFormat="false" ht="15" hidden="false" customHeight="false" outlineLevel="0" collapsed="false">
      <c r="A172" s="2"/>
      <c r="B172" s="37"/>
      <c r="C172" s="2"/>
      <c r="D172" s="2"/>
      <c r="E172" s="2"/>
      <c r="F172" s="2"/>
      <c r="G172" s="2"/>
      <c r="H172" s="37"/>
      <c r="I172" s="2"/>
      <c r="J172" s="37"/>
      <c r="K172" s="27" t="str">
        <f aca="false">IF(A172="","",IF(H172="","Open","Closed"))</f>
        <v/>
      </c>
      <c r="L172" s="27" t="str">
        <f aca="false">IF(A172="","",IF(H172="",AsOf-B172,H172-B172))</f>
        <v/>
      </c>
      <c r="M172" s="27" t="str">
        <f aca="false">IF(A172="","",IF(AND(K172="Open",L172&gt;Target),"Yes","No"))</f>
        <v/>
      </c>
      <c r="N172" s="27" t="str">
        <f aca="false">IF(K172&lt;&gt;"Open","",IF(L172&lt;=30,"0-30",IF(L172&lt;=60,"31-60",IF(L172&lt;=90,"61-90","90+"))))</f>
        <v/>
      </c>
      <c r="O172" s="27" t="str">
        <f aca="false">IF(A172="","",IF(COUNTIFS($D$5:$D$400,D172,$F$5:$F$400,F172,$B$5:$B$400,"&gt;="&amp;(B172-RepeatWin),$B$5:$B$400,"&lt;"&amp;B172)&gt;0,"Yes","No"))</f>
        <v/>
      </c>
      <c r="P172" s="35" t="str">
        <f aca="false">IF(OR(I172="",H172=""),"",H172+CapaDue)</f>
        <v/>
      </c>
      <c r="Q172" s="27" t="str">
        <f aca="false">IF(A172="","",IF(I172="","Not required",IF(J172&lt;&gt;"","Closed",IF(H172="","Awaiting dev. close",IF(AsOf&gt;P172,"Overdue","Open")))))</f>
        <v/>
      </c>
      <c r="R172" s="27" t="str">
        <f aca="false">IF(J172="","",IF(COUNTIFS($D$5:$D$400,D172,$F$5:$F$400,F172,$B$5:$B$400,"&gt;"&amp;J172,$B$5:$B$400,"&lt;="&amp;(J172+EffWin))&gt;0,"Ineffective",IF(AsOf-J172&gt;=EffWin,"Effective","Check pending")))</f>
        <v/>
      </c>
      <c r="S172" s="36" t="str">
        <f aca="false">IF(A172="","",DATE(YEAR(B172),MONTH(B172),1))</f>
        <v/>
      </c>
      <c r="T172" s="36" t="str">
        <f aca="false">IF(H172="","",DATE(YEAR(H172),MONTH(H172),1))</f>
        <v/>
      </c>
      <c r="U172" s="27" t="str">
        <f aca="false">IF(H172="","",IF(AsOf-H172&lt;=90,L172,""))</f>
        <v/>
      </c>
      <c r="V172" s="27" t="str">
        <f aca="false">IF(H172="","",IF(AND(AsOf-H172&gt;90,AsOf-H172&lt;=270),L172,""))</f>
        <v/>
      </c>
    </row>
    <row r="173" customFormat="false" ht="15" hidden="false" customHeight="false" outlineLevel="0" collapsed="false">
      <c r="A173" s="2"/>
      <c r="B173" s="37"/>
      <c r="C173" s="2"/>
      <c r="D173" s="2"/>
      <c r="E173" s="2"/>
      <c r="F173" s="2"/>
      <c r="G173" s="2"/>
      <c r="H173" s="37"/>
      <c r="I173" s="2"/>
      <c r="J173" s="37"/>
      <c r="K173" s="27" t="str">
        <f aca="false">IF(A173="","",IF(H173="","Open","Closed"))</f>
        <v/>
      </c>
      <c r="L173" s="27" t="str">
        <f aca="false">IF(A173="","",IF(H173="",AsOf-B173,H173-B173))</f>
        <v/>
      </c>
      <c r="M173" s="27" t="str">
        <f aca="false">IF(A173="","",IF(AND(K173="Open",L173&gt;Target),"Yes","No"))</f>
        <v/>
      </c>
      <c r="N173" s="27" t="str">
        <f aca="false">IF(K173&lt;&gt;"Open","",IF(L173&lt;=30,"0-30",IF(L173&lt;=60,"31-60",IF(L173&lt;=90,"61-90","90+"))))</f>
        <v/>
      </c>
      <c r="O173" s="27" t="str">
        <f aca="false">IF(A173="","",IF(COUNTIFS($D$5:$D$400,D173,$F$5:$F$400,F173,$B$5:$B$400,"&gt;="&amp;(B173-RepeatWin),$B$5:$B$400,"&lt;"&amp;B173)&gt;0,"Yes","No"))</f>
        <v/>
      </c>
      <c r="P173" s="35" t="str">
        <f aca="false">IF(OR(I173="",H173=""),"",H173+CapaDue)</f>
        <v/>
      </c>
      <c r="Q173" s="27" t="str">
        <f aca="false">IF(A173="","",IF(I173="","Not required",IF(J173&lt;&gt;"","Closed",IF(H173="","Awaiting dev. close",IF(AsOf&gt;P173,"Overdue","Open")))))</f>
        <v/>
      </c>
      <c r="R173" s="27" t="str">
        <f aca="false">IF(J173="","",IF(COUNTIFS($D$5:$D$400,D173,$F$5:$F$400,F173,$B$5:$B$400,"&gt;"&amp;J173,$B$5:$B$400,"&lt;="&amp;(J173+EffWin))&gt;0,"Ineffective",IF(AsOf-J173&gt;=EffWin,"Effective","Check pending")))</f>
        <v/>
      </c>
      <c r="S173" s="36" t="str">
        <f aca="false">IF(A173="","",DATE(YEAR(B173),MONTH(B173),1))</f>
        <v/>
      </c>
      <c r="T173" s="36" t="str">
        <f aca="false">IF(H173="","",DATE(YEAR(H173),MONTH(H173),1))</f>
        <v/>
      </c>
      <c r="U173" s="27" t="str">
        <f aca="false">IF(H173="","",IF(AsOf-H173&lt;=90,L173,""))</f>
        <v/>
      </c>
      <c r="V173" s="27" t="str">
        <f aca="false">IF(H173="","",IF(AND(AsOf-H173&gt;90,AsOf-H173&lt;=270),L173,""))</f>
        <v/>
      </c>
    </row>
    <row r="174" customFormat="false" ht="15" hidden="false" customHeight="false" outlineLevel="0" collapsed="false">
      <c r="A174" s="2"/>
      <c r="B174" s="37"/>
      <c r="C174" s="2"/>
      <c r="D174" s="2"/>
      <c r="E174" s="2"/>
      <c r="F174" s="2"/>
      <c r="G174" s="2"/>
      <c r="H174" s="37"/>
      <c r="I174" s="2"/>
      <c r="J174" s="37"/>
      <c r="K174" s="27" t="str">
        <f aca="false">IF(A174="","",IF(H174="","Open","Closed"))</f>
        <v/>
      </c>
      <c r="L174" s="27" t="str">
        <f aca="false">IF(A174="","",IF(H174="",AsOf-B174,H174-B174))</f>
        <v/>
      </c>
      <c r="M174" s="27" t="str">
        <f aca="false">IF(A174="","",IF(AND(K174="Open",L174&gt;Target),"Yes","No"))</f>
        <v/>
      </c>
      <c r="N174" s="27" t="str">
        <f aca="false">IF(K174&lt;&gt;"Open","",IF(L174&lt;=30,"0-30",IF(L174&lt;=60,"31-60",IF(L174&lt;=90,"61-90","90+"))))</f>
        <v/>
      </c>
      <c r="O174" s="27" t="str">
        <f aca="false">IF(A174="","",IF(COUNTIFS($D$5:$D$400,D174,$F$5:$F$400,F174,$B$5:$B$400,"&gt;="&amp;(B174-RepeatWin),$B$5:$B$400,"&lt;"&amp;B174)&gt;0,"Yes","No"))</f>
        <v/>
      </c>
      <c r="P174" s="35" t="str">
        <f aca="false">IF(OR(I174="",H174=""),"",H174+CapaDue)</f>
        <v/>
      </c>
      <c r="Q174" s="27" t="str">
        <f aca="false">IF(A174="","",IF(I174="","Not required",IF(J174&lt;&gt;"","Closed",IF(H174="","Awaiting dev. close",IF(AsOf&gt;P174,"Overdue","Open")))))</f>
        <v/>
      </c>
      <c r="R174" s="27" t="str">
        <f aca="false">IF(J174="","",IF(COUNTIFS($D$5:$D$400,D174,$F$5:$F$400,F174,$B$5:$B$400,"&gt;"&amp;J174,$B$5:$B$400,"&lt;="&amp;(J174+EffWin))&gt;0,"Ineffective",IF(AsOf-J174&gt;=EffWin,"Effective","Check pending")))</f>
        <v/>
      </c>
      <c r="S174" s="36" t="str">
        <f aca="false">IF(A174="","",DATE(YEAR(B174),MONTH(B174),1))</f>
        <v/>
      </c>
      <c r="T174" s="36" t="str">
        <f aca="false">IF(H174="","",DATE(YEAR(H174),MONTH(H174),1))</f>
        <v/>
      </c>
      <c r="U174" s="27" t="str">
        <f aca="false">IF(H174="","",IF(AsOf-H174&lt;=90,L174,""))</f>
        <v/>
      </c>
      <c r="V174" s="27" t="str">
        <f aca="false">IF(H174="","",IF(AND(AsOf-H174&gt;90,AsOf-H174&lt;=270),L174,""))</f>
        <v/>
      </c>
    </row>
    <row r="175" customFormat="false" ht="15" hidden="false" customHeight="false" outlineLevel="0" collapsed="false">
      <c r="A175" s="2"/>
      <c r="B175" s="37"/>
      <c r="C175" s="2"/>
      <c r="D175" s="2"/>
      <c r="E175" s="2"/>
      <c r="F175" s="2"/>
      <c r="G175" s="2"/>
      <c r="H175" s="37"/>
      <c r="I175" s="2"/>
      <c r="J175" s="37"/>
      <c r="K175" s="27" t="str">
        <f aca="false">IF(A175="","",IF(H175="","Open","Closed"))</f>
        <v/>
      </c>
      <c r="L175" s="27" t="str">
        <f aca="false">IF(A175="","",IF(H175="",AsOf-B175,H175-B175))</f>
        <v/>
      </c>
      <c r="M175" s="27" t="str">
        <f aca="false">IF(A175="","",IF(AND(K175="Open",L175&gt;Target),"Yes","No"))</f>
        <v/>
      </c>
      <c r="N175" s="27" t="str">
        <f aca="false">IF(K175&lt;&gt;"Open","",IF(L175&lt;=30,"0-30",IF(L175&lt;=60,"31-60",IF(L175&lt;=90,"61-90","90+"))))</f>
        <v/>
      </c>
      <c r="O175" s="27" t="str">
        <f aca="false">IF(A175="","",IF(COUNTIFS($D$5:$D$400,D175,$F$5:$F$400,F175,$B$5:$B$400,"&gt;="&amp;(B175-RepeatWin),$B$5:$B$400,"&lt;"&amp;B175)&gt;0,"Yes","No"))</f>
        <v/>
      </c>
      <c r="P175" s="35" t="str">
        <f aca="false">IF(OR(I175="",H175=""),"",H175+CapaDue)</f>
        <v/>
      </c>
      <c r="Q175" s="27" t="str">
        <f aca="false">IF(A175="","",IF(I175="","Not required",IF(J175&lt;&gt;"","Closed",IF(H175="","Awaiting dev. close",IF(AsOf&gt;P175,"Overdue","Open")))))</f>
        <v/>
      </c>
      <c r="R175" s="27" t="str">
        <f aca="false">IF(J175="","",IF(COUNTIFS($D$5:$D$400,D175,$F$5:$F$400,F175,$B$5:$B$400,"&gt;"&amp;J175,$B$5:$B$400,"&lt;="&amp;(J175+EffWin))&gt;0,"Ineffective",IF(AsOf-J175&gt;=EffWin,"Effective","Check pending")))</f>
        <v/>
      </c>
      <c r="S175" s="36" t="str">
        <f aca="false">IF(A175="","",DATE(YEAR(B175),MONTH(B175),1))</f>
        <v/>
      </c>
      <c r="T175" s="36" t="str">
        <f aca="false">IF(H175="","",DATE(YEAR(H175),MONTH(H175),1))</f>
        <v/>
      </c>
      <c r="U175" s="27" t="str">
        <f aca="false">IF(H175="","",IF(AsOf-H175&lt;=90,L175,""))</f>
        <v/>
      </c>
      <c r="V175" s="27" t="str">
        <f aca="false">IF(H175="","",IF(AND(AsOf-H175&gt;90,AsOf-H175&lt;=270),L175,""))</f>
        <v/>
      </c>
    </row>
    <row r="176" customFormat="false" ht="15" hidden="false" customHeight="false" outlineLevel="0" collapsed="false">
      <c r="A176" s="2"/>
      <c r="B176" s="37"/>
      <c r="C176" s="2"/>
      <c r="D176" s="2"/>
      <c r="E176" s="2"/>
      <c r="F176" s="2"/>
      <c r="G176" s="2"/>
      <c r="H176" s="37"/>
      <c r="I176" s="2"/>
      <c r="J176" s="37"/>
      <c r="K176" s="27" t="str">
        <f aca="false">IF(A176="","",IF(H176="","Open","Closed"))</f>
        <v/>
      </c>
      <c r="L176" s="27" t="str">
        <f aca="false">IF(A176="","",IF(H176="",AsOf-B176,H176-B176))</f>
        <v/>
      </c>
      <c r="M176" s="27" t="str">
        <f aca="false">IF(A176="","",IF(AND(K176="Open",L176&gt;Target),"Yes","No"))</f>
        <v/>
      </c>
      <c r="N176" s="27" t="str">
        <f aca="false">IF(K176&lt;&gt;"Open","",IF(L176&lt;=30,"0-30",IF(L176&lt;=60,"31-60",IF(L176&lt;=90,"61-90","90+"))))</f>
        <v/>
      </c>
      <c r="O176" s="27" t="str">
        <f aca="false">IF(A176="","",IF(COUNTIFS($D$5:$D$400,D176,$F$5:$F$400,F176,$B$5:$B$400,"&gt;="&amp;(B176-RepeatWin),$B$5:$B$400,"&lt;"&amp;B176)&gt;0,"Yes","No"))</f>
        <v/>
      </c>
      <c r="P176" s="35" t="str">
        <f aca="false">IF(OR(I176="",H176=""),"",H176+CapaDue)</f>
        <v/>
      </c>
      <c r="Q176" s="27" t="str">
        <f aca="false">IF(A176="","",IF(I176="","Not required",IF(J176&lt;&gt;"","Closed",IF(H176="","Awaiting dev. close",IF(AsOf&gt;P176,"Overdue","Open")))))</f>
        <v/>
      </c>
      <c r="R176" s="27" t="str">
        <f aca="false">IF(J176="","",IF(COUNTIFS($D$5:$D$400,D176,$F$5:$F$400,F176,$B$5:$B$400,"&gt;"&amp;J176,$B$5:$B$400,"&lt;="&amp;(J176+EffWin))&gt;0,"Ineffective",IF(AsOf-J176&gt;=EffWin,"Effective","Check pending")))</f>
        <v/>
      </c>
      <c r="S176" s="36" t="str">
        <f aca="false">IF(A176="","",DATE(YEAR(B176),MONTH(B176),1))</f>
        <v/>
      </c>
      <c r="T176" s="36" t="str">
        <f aca="false">IF(H176="","",DATE(YEAR(H176),MONTH(H176),1))</f>
        <v/>
      </c>
      <c r="U176" s="27" t="str">
        <f aca="false">IF(H176="","",IF(AsOf-H176&lt;=90,L176,""))</f>
        <v/>
      </c>
      <c r="V176" s="27" t="str">
        <f aca="false">IF(H176="","",IF(AND(AsOf-H176&gt;90,AsOf-H176&lt;=270),L176,""))</f>
        <v/>
      </c>
    </row>
    <row r="177" customFormat="false" ht="15" hidden="false" customHeight="false" outlineLevel="0" collapsed="false">
      <c r="A177" s="2"/>
      <c r="B177" s="37"/>
      <c r="C177" s="2"/>
      <c r="D177" s="2"/>
      <c r="E177" s="2"/>
      <c r="F177" s="2"/>
      <c r="G177" s="2"/>
      <c r="H177" s="37"/>
      <c r="I177" s="2"/>
      <c r="J177" s="37"/>
      <c r="K177" s="27" t="str">
        <f aca="false">IF(A177="","",IF(H177="","Open","Closed"))</f>
        <v/>
      </c>
      <c r="L177" s="27" t="str">
        <f aca="false">IF(A177="","",IF(H177="",AsOf-B177,H177-B177))</f>
        <v/>
      </c>
      <c r="M177" s="27" t="str">
        <f aca="false">IF(A177="","",IF(AND(K177="Open",L177&gt;Target),"Yes","No"))</f>
        <v/>
      </c>
      <c r="N177" s="27" t="str">
        <f aca="false">IF(K177&lt;&gt;"Open","",IF(L177&lt;=30,"0-30",IF(L177&lt;=60,"31-60",IF(L177&lt;=90,"61-90","90+"))))</f>
        <v/>
      </c>
      <c r="O177" s="27" t="str">
        <f aca="false">IF(A177="","",IF(COUNTIFS($D$5:$D$400,D177,$F$5:$F$400,F177,$B$5:$B$400,"&gt;="&amp;(B177-RepeatWin),$B$5:$B$400,"&lt;"&amp;B177)&gt;0,"Yes","No"))</f>
        <v/>
      </c>
      <c r="P177" s="35" t="str">
        <f aca="false">IF(OR(I177="",H177=""),"",H177+CapaDue)</f>
        <v/>
      </c>
      <c r="Q177" s="27" t="str">
        <f aca="false">IF(A177="","",IF(I177="","Not required",IF(J177&lt;&gt;"","Closed",IF(H177="","Awaiting dev. close",IF(AsOf&gt;P177,"Overdue","Open")))))</f>
        <v/>
      </c>
      <c r="R177" s="27" t="str">
        <f aca="false">IF(J177="","",IF(COUNTIFS($D$5:$D$400,D177,$F$5:$F$400,F177,$B$5:$B$400,"&gt;"&amp;J177,$B$5:$B$400,"&lt;="&amp;(J177+EffWin))&gt;0,"Ineffective",IF(AsOf-J177&gt;=EffWin,"Effective","Check pending")))</f>
        <v/>
      </c>
      <c r="S177" s="36" t="str">
        <f aca="false">IF(A177="","",DATE(YEAR(B177),MONTH(B177),1))</f>
        <v/>
      </c>
      <c r="T177" s="36" t="str">
        <f aca="false">IF(H177="","",DATE(YEAR(H177),MONTH(H177),1))</f>
        <v/>
      </c>
      <c r="U177" s="27" t="str">
        <f aca="false">IF(H177="","",IF(AsOf-H177&lt;=90,L177,""))</f>
        <v/>
      </c>
      <c r="V177" s="27" t="str">
        <f aca="false">IF(H177="","",IF(AND(AsOf-H177&gt;90,AsOf-H177&lt;=270),L177,""))</f>
        <v/>
      </c>
    </row>
    <row r="178" customFormat="false" ht="15" hidden="false" customHeight="false" outlineLevel="0" collapsed="false">
      <c r="A178" s="2"/>
      <c r="B178" s="37"/>
      <c r="C178" s="2"/>
      <c r="D178" s="2"/>
      <c r="E178" s="2"/>
      <c r="F178" s="2"/>
      <c r="G178" s="2"/>
      <c r="H178" s="37"/>
      <c r="I178" s="2"/>
      <c r="J178" s="37"/>
      <c r="K178" s="27" t="str">
        <f aca="false">IF(A178="","",IF(H178="","Open","Closed"))</f>
        <v/>
      </c>
      <c r="L178" s="27" t="str">
        <f aca="false">IF(A178="","",IF(H178="",AsOf-B178,H178-B178))</f>
        <v/>
      </c>
      <c r="M178" s="27" t="str">
        <f aca="false">IF(A178="","",IF(AND(K178="Open",L178&gt;Target),"Yes","No"))</f>
        <v/>
      </c>
      <c r="N178" s="27" t="str">
        <f aca="false">IF(K178&lt;&gt;"Open","",IF(L178&lt;=30,"0-30",IF(L178&lt;=60,"31-60",IF(L178&lt;=90,"61-90","90+"))))</f>
        <v/>
      </c>
      <c r="O178" s="27" t="str">
        <f aca="false">IF(A178="","",IF(COUNTIFS($D$5:$D$400,D178,$F$5:$F$400,F178,$B$5:$B$400,"&gt;="&amp;(B178-RepeatWin),$B$5:$B$400,"&lt;"&amp;B178)&gt;0,"Yes","No"))</f>
        <v/>
      </c>
      <c r="P178" s="35" t="str">
        <f aca="false">IF(OR(I178="",H178=""),"",H178+CapaDue)</f>
        <v/>
      </c>
      <c r="Q178" s="27" t="str">
        <f aca="false">IF(A178="","",IF(I178="","Not required",IF(J178&lt;&gt;"","Closed",IF(H178="","Awaiting dev. close",IF(AsOf&gt;P178,"Overdue","Open")))))</f>
        <v/>
      </c>
      <c r="R178" s="27" t="str">
        <f aca="false">IF(J178="","",IF(COUNTIFS($D$5:$D$400,D178,$F$5:$F$400,F178,$B$5:$B$400,"&gt;"&amp;J178,$B$5:$B$400,"&lt;="&amp;(J178+EffWin))&gt;0,"Ineffective",IF(AsOf-J178&gt;=EffWin,"Effective","Check pending")))</f>
        <v/>
      </c>
      <c r="S178" s="36" t="str">
        <f aca="false">IF(A178="","",DATE(YEAR(B178),MONTH(B178),1))</f>
        <v/>
      </c>
      <c r="T178" s="36" t="str">
        <f aca="false">IF(H178="","",DATE(YEAR(H178),MONTH(H178),1))</f>
        <v/>
      </c>
      <c r="U178" s="27" t="str">
        <f aca="false">IF(H178="","",IF(AsOf-H178&lt;=90,L178,""))</f>
        <v/>
      </c>
      <c r="V178" s="27" t="str">
        <f aca="false">IF(H178="","",IF(AND(AsOf-H178&gt;90,AsOf-H178&lt;=270),L178,""))</f>
        <v/>
      </c>
    </row>
    <row r="179" customFormat="false" ht="15" hidden="false" customHeight="false" outlineLevel="0" collapsed="false">
      <c r="A179" s="2"/>
      <c r="B179" s="37"/>
      <c r="C179" s="2"/>
      <c r="D179" s="2"/>
      <c r="E179" s="2"/>
      <c r="F179" s="2"/>
      <c r="G179" s="2"/>
      <c r="H179" s="37"/>
      <c r="I179" s="2"/>
      <c r="J179" s="37"/>
      <c r="K179" s="27" t="str">
        <f aca="false">IF(A179="","",IF(H179="","Open","Closed"))</f>
        <v/>
      </c>
      <c r="L179" s="27" t="str">
        <f aca="false">IF(A179="","",IF(H179="",AsOf-B179,H179-B179))</f>
        <v/>
      </c>
      <c r="M179" s="27" t="str">
        <f aca="false">IF(A179="","",IF(AND(K179="Open",L179&gt;Target),"Yes","No"))</f>
        <v/>
      </c>
      <c r="N179" s="27" t="str">
        <f aca="false">IF(K179&lt;&gt;"Open","",IF(L179&lt;=30,"0-30",IF(L179&lt;=60,"31-60",IF(L179&lt;=90,"61-90","90+"))))</f>
        <v/>
      </c>
      <c r="O179" s="27" t="str">
        <f aca="false">IF(A179="","",IF(COUNTIFS($D$5:$D$400,D179,$F$5:$F$400,F179,$B$5:$B$400,"&gt;="&amp;(B179-RepeatWin),$B$5:$B$400,"&lt;"&amp;B179)&gt;0,"Yes","No"))</f>
        <v/>
      </c>
      <c r="P179" s="35" t="str">
        <f aca="false">IF(OR(I179="",H179=""),"",H179+CapaDue)</f>
        <v/>
      </c>
      <c r="Q179" s="27" t="str">
        <f aca="false">IF(A179="","",IF(I179="","Not required",IF(J179&lt;&gt;"","Closed",IF(H179="","Awaiting dev. close",IF(AsOf&gt;P179,"Overdue","Open")))))</f>
        <v/>
      </c>
      <c r="R179" s="27" t="str">
        <f aca="false">IF(J179="","",IF(COUNTIFS($D$5:$D$400,D179,$F$5:$F$400,F179,$B$5:$B$400,"&gt;"&amp;J179,$B$5:$B$400,"&lt;="&amp;(J179+EffWin))&gt;0,"Ineffective",IF(AsOf-J179&gt;=EffWin,"Effective","Check pending")))</f>
        <v/>
      </c>
      <c r="S179" s="36" t="str">
        <f aca="false">IF(A179="","",DATE(YEAR(B179),MONTH(B179),1))</f>
        <v/>
      </c>
      <c r="T179" s="36" t="str">
        <f aca="false">IF(H179="","",DATE(YEAR(H179),MONTH(H179),1))</f>
        <v/>
      </c>
      <c r="U179" s="27" t="str">
        <f aca="false">IF(H179="","",IF(AsOf-H179&lt;=90,L179,""))</f>
        <v/>
      </c>
      <c r="V179" s="27" t="str">
        <f aca="false">IF(H179="","",IF(AND(AsOf-H179&gt;90,AsOf-H179&lt;=270),L179,""))</f>
        <v/>
      </c>
    </row>
    <row r="180" customFormat="false" ht="15" hidden="false" customHeight="false" outlineLevel="0" collapsed="false">
      <c r="A180" s="2"/>
      <c r="B180" s="37"/>
      <c r="C180" s="2"/>
      <c r="D180" s="2"/>
      <c r="E180" s="2"/>
      <c r="F180" s="2"/>
      <c r="G180" s="2"/>
      <c r="H180" s="37"/>
      <c r="I180" s="2"/>
      <c r="J180" s="37"/>
      <c r="K180" s="27" t="str">
        <f aca="false">IF(A180="","",IF(H180="","Open","Closed"))</f>
        <v/>
      </c>
      <c r="L180" s="27" t="str">
        <f aca="false">IF(A180="","",IF(H180="",AsOf-B180,H180-B180))</f>
        <v/>
      </c>
      <c r="M180" s="27" t="str">
        <f aca="false">IF(A180="","",IF(AND(K180="Open",L180&gt;Target),"Yes","No"))</f>
        <v/>
      </c>
      <c r="N180" s="27" t="str">
        <f aca="false">IF(K180&lt;&gt;"Open","",IF(L180&lt;=30,"0-30",IF(L180&lt;=60,"31-60",IF(L180&lt;=90,"61-90","90+"))))</f>
        <v/>
      </c>
      <c r="O180" s="27" t="str">
        <f aca="false">IF(A180="","",IF(COUNTIFS($D$5:$D$400,D180,$F$5:$F$400,F180,$B$5:$B$400,"&gt;="&amp;(B180-RepeatWin),$B$5:$B$400,"&lt;"&amp;B180)&gt;0,"Yes","No"))</f>
        <v/>
      </c>
      <c r="P180" s="35" t="str">
        <f aca="false">IF(OR(I180="",H180=""),"",H180+CapaDue)</f>
        <v/>
      </c>
      <c r="Q180" s="27" t="str">
        <f aca="false">IF(A180="","",IF(I180="","Not required",IF(J180&lt;&gt;"","Closed",IF(H180="","Awaiting dev. close",IF(AsOf&gt;P180,"Overdue","Open")))))</f>
        <v/>
      </c>
      <c r="R180" s="27" t="str">
        <f aca="false">IF(J180="","",IF(COUNTIFS($D$5:$D$400,D180,$F$5:$F$400,F180,$B$5:$B$400,"&gt;"&amp;J180,$B$5:$B$400,"&lt;="&amp;(J180+EffWin))&gt;0,"Ineffective",IF(AsOf-J180&gt;=EffWin,"Effective","Check pending")))</f>
        <v/>
      </c>
      <c r="S180" s="36" t="str">
        <f aca="false">IF(A180="","",DATE(YEAR(B180),MONTH(B180),1))</f>
        <v/>
      </c>
      <c r="T180" s="36" t="str">
        <f aca="false">IF(H180="","",DATE(YEAR(H180),MONTH(H180),1))</f>
        <v/>
      </c>
      <c r="U180" s="27" t="str">
        <f aca="false">IF(H180="","",IF(AsOf-H180&lt;=90,L180,""))</f>
        <v/>
      </c>
      <c r="V180" s="27" t="str">
        <f aca="false">IF(H180="","",IF(AND(AsOf-H180&gt;90,AsOf-H180&lt;=270),L180,""))</f>
        <v/>
      </c>
    </row>
    <row r="181" customFormat="false" ht="15" hidden="false" customHeight="false" outlineLevel="0" collapsed="false">
      <c r="A181" s="2"/>
      <c r="B181" s="37"/>
      <c r="C181" s="2"/>
      <c r="D181" s="2"/>
      <c r="E181" s="2"/>
      <c r="F181" s="2"/>
      <c r="G181" s="2"/>
      <c r="H181" s="37"/>
      <c r="I181" s="2"/>
      <c r="J181" s="37"/>
      <c r="K181" s="27" t="str">
        <f aca="false">IF(A181="","",IF(H181="","Open","Closed"))</f>
        <v/>
      </c>
      <c r="L181" s="27" t="str">
        <f aca="false">IF(A181="","",IF(H181="",AsOf-B181,H181-B181))</f>
        <v/>
      </c>
      <c r="M181" s="27" t="str">
        <f aca="false">IF(A181="","",IF(AND(K181="Open",L181&gt;Target),"Yes","No"))</f>
        <v/>
      </c>
      <c r="N181" s="27" t="str">
        <f aca="false">IF(K181&lt;&gt;"Open","",IF(L181&lt;=30,"0-30",IF(L181&lt;=60,"31-60",IF(L181&lt;=90,"61-90","90+"))))</f>
        <v/>
      </c>
      <c r="O181" s="27" t="str">
        <f aca="false">IF(A181="","",IF(COUNTIFS($D$5:$D$400,D181,$F$5:$F$400,F181,$B$5:$B$400,"&gt;="&amp;(B181-RepeatWin),$B$5:$B$400,"&lt;"&amp;B181)&gt;0,"Yes","No"))</f>
        <v/>
      </c>
      <c r="P181" s="35" t="str">
        <f aca="false">IF(OR(I181="",H181=""),"",H181+CapaDue)</f>
        <v/>
      </c>
      <c r="Q181" s="27" t="str">
        <f aca="false">IF(A181="","",IF(I181="","Not required",IF(J181&lt;&gt;"","Closed",IF(H181="","Awaiting dev. close",IF(AsOf&gt;P181,"Overdue","Open")))))</f>
        <v/>
      </c>
      <c r="R181" s="27" t="str">
        <f aca="false">IF(J181="","",IF(COUNTIFS($D$5:$D$400,D181,$F$5:$F$400,F181,$B$5:$B$400,"&gt;"&amp;J181,$B$5:$B$400,"&lt;="&amp;(J181+EffWin))&gt;0,"Ineffective",IF(AsOf-J181&gt;=EffWin,"Effective","Check pending")))</f>
        <v/>
      </c>
      <c r="S181" s="36" t="str">
        <f aca="false">IF(A181="","",DATE(YEAR(B181),MONTH(B181),1))</f>
        <v/>
      </c>
      <c r="T181" s="36" t="str">
        <f aca="false">IF(H181="","",DATE(YEAR(H181),MONTH(H181),1))</f>
        <v/>
      </c>
      <c r="U181" s="27" t="str">
        <f aca="false">IF(H181="","",IF(AsOf-H181&lt;=90,L181,""))</f>
        <v/>
      </c>
      <c r="V181" s="27" t="str">
        <f aca="false">IF(H181="","",IF(AND(AsOf-H181&gt;90,AsOf-H181&lt;=270),L181,""))</f>
        <v/>
      </c>
    </row>
    <row r="182" customFormat="false" ht="15" hidden="false" customHeight="false" outlineLevel="0" collapsed="false">
      <c r="A182" s="2"/>
      <c r="B182" s="37"/>
      <c r="C182" s="2"/>
      <c r="D182" s="2"/>
      <c r="E182" s="2"/>
      <c r="F182" s="2"/>
      <c r="G182" s="2"/>
      <c r="H182" s="37"/>
      <c r="I182" s="2"/>
      <c r="J182" s="37"/>
      <c r="K182" s="27" t="str">
        <f aca="false">IF(A182="","",IF(H182="","Open","Closed"))</f>
        <v/>
      </c>
      <c r="L182" s="27" t="str">
        <f aca="false">IF(A182="","",IF(H182="",AsOf-B182,H182-B182))</f>
        <v/>
      </c>
      <c r="M182" s="27" t="str">
        <f aca="false">IF(A182="","",IF(AND(K182="Open",L182&gt;Target),"Yes","No"))</f>
        <v/>
      </c>
      <c r="N182" s="27" t="str">
        <f aca="false">IF(K182&lt;&gt;"Open","",IF(L182&lt;=30,"0-30",IF(L182&lt;=60,"31-60",IF(L182&lt;=90,"61-90","90+"))))</f>
        <v/>
      </c>
      <c r="O182" s="27" t="str">
        <f aca="false">IF(A182="","",IF(COUNTIFS($D$5:$D$400,D182,$F$5:$F$400,F182,$B$5:$B$400,"&gt;="&amp;(B182-RepeatWin),$B$5:$B$400,"&lt;"&amp;B182)&gt;0,"Yes","No"))</f>
        <v/>
      </c>
      <c r="P182" s="35" t="str">
        <f aca="false">IF(OR(I182="",H182=""),"",H182+CapaDue)</f>
        <v/>
      </c>
      <c r="Q182" s="27" t="str">
        <f aca="false">IF(A182="","",IF(I182="","Not required",IF(J182&lt;&gt;"","Closed",IF(H182="","Awaiting dev. close",IF(AsOf&gt;P182,"Overdue","Open")))))</f>
        <v/>
      </c>
      <c r="R182" s="27" t="str">
        <f aca="false">IF(J182="","",IF(COUNTIFS($D$5:$D$400,D182,$F$5:$F$400,F182,$B$5:$B$400,"&gt;"&amp;J182,$B$5:$B$400,"&lt;="&amp;(J182+EffWin))&gt;0,"Ineffective",IF(AsOf-J182&gt;=EffWin,"Effective","Check pending")))</f>
        <v/>
      </c>
      <c r="S182" s="36" t="str">
        <f aca="false">IF(A182="","",DATE(YEAR(B182),MONTH(B182),1))</f>
        <v/>
      </c>
      <c r="T182" s="36" t="str">
        <f aca="false">IF(H182="","",DATE(YEAR(H182),MONTH(H182),1))</f>
        <v/>
      </c>
      <c r="U182" s="27" t="str">
        <f aca="false">IF(H182="","",IF(AsOf-H182&lt;=90,L182,""))</f>
        <v/>
      </c>
      <c r="V182" s="27" t="str">
        <f aca="false">IF(H182="","",IF(AND(AsOf-H182&gt;90,AsOf-H182&lt;=270),L182,""))</f>
        <v/>
      </c>
    </row>
    <row r="183" customFormat="false" ht="15" hidden="false" customHeight="false" outlineLevel="0" collapsed="false">
      <c r="A183" s="2"/>
      <c r="B183" s="37"/>
      <c r="C183" s="2"/>
      <c r="D183" s="2"/>
      <c r="E183" s="2"/>
      <c r="F183" s="2"/>
      <c r="G183" s="2"/>
      <c r="H183" s="37"/>
      <c r="I183" s="2"/>
      <c r="J183" s="37"/>
      <c r="K183" s="27" t="str">
        <f aca="false">IF(A183="","",IF(H183="","Open","Closed"))</f>
        <v/>
      </c>
      <c r="L183" s="27" t="str">
        <f aca="false">IF(A183="","",IF(H183="",AsOf-B183,H183-B183))</f>
        <v/>
      </c>
      <c r="M183" s="27" t="str">
        <f aca="false">IF(A183="","",IF(AND(K183="Open",L183&gt;Target),"Yes","No"))</f>
        <v/>
      </c>
      <c r="N183" s="27" t="str">
        <f aca="false">IF(K183&lt;&gt;"Open","",IF(L183&lt;=30,"0-30",IF(L183&lt;=60,"31-60",IF(L183&lt;=90,"61-90","90+"))))</f>
        <v/>
      </c>
      <c r="O183" s="27" t="str">
        <f aca="false">IF(A183="","",IF(COUNTIFS($D$5:$D$400,D183,$F$5:$F$400,F183,$B$5:$B$400,"&gt;="&amp;(B183-RepeatWin),$B$5:$B$400,"&lt;"&amp;B183)&gt;0,"Yes","No"))</f>
        <v/>
      </c>
      <c r="P183" s="35" t="str">
        <f aca="false">IF(OR(I183="",H183=""),"",H183+CapaDue)</f>
        <v/>
      </c>
      <c r="Q183" s="27" t="str">
        <f aca="false">IF(A183="","",IF(I183="","Not required",IF(J183&lt;&gt;"","Closed",IF(H183="","Awaiting dev. close",IF(AsOf&gt;P183,"Overdue","Open")))))</f>
        <v/>
      </c>
      <c r="R183" s="27" t="str">
        <f aca="false">IF(J183="","",IF(COUNTIFS($D$5:$D$400,D183,$F$5:$F$400,F183,$B$5:$B$400,"&gt;"&amp;J183,$B$5:$B$400,"&lt;="&amp;(J183+EffWin))&gt;0,"Ineffective",IF(AsOf-J183&gt;=EffWin,"Effective","Check pending")))</f>
        <v/>
      </c>
      <c r="S183" s="36" t="str">
        <f aca="false">IF(A183="","",DATE(YEAR(B183),MONTH(B183),1))</f>
        <v/>
      </c>
      <c r="T183" s="36" t="str">
        <f aca="false">IF(H183="","",DATE(YEAR(H183),MONTH(H183),1))</f>
        <v/>
      </c>
      <c r="U183" s="27" t="str">
        <f aca="false">IF(H183="","",IF(AsOf-H183&lt;=90,L183,""))</f>
        <v/>
      </c>
      <c r="V183" s="27" t="str">
        <f aca="false">IF(H183="","",IF(AND(AsOf-H183&gt;90,AsOf-H183&lt;=270),L183,""))</f>
        <v/>
      </c>
    </row>
    <row r="184" customFormat="false" ht="15" hidden="false" customHeight="false" outlineLevel="0" collapsed="false">
      <c r="A184" s="2"/>
      <c r="B184" s="37"/>
      <c r="C184" s="2"/>
      <c r="D184" s="2"/>
      <c r="E184" s="2"/>
      <c r="F184" s="2"/>
      <c r="G184" s="2"/>
      <c r="H184" s="37"/>
      <c r="I184" s="2"/>
      <c r="J184" s="37"/>
      <c r="K184" s="27" t="str">
        <f aca="false">IF(A184="","",IF(H184="","Open","Closed"))</f>
        <v/>
      </c>
      <c r="L184" s="27" t="str">
        <f aca="false">IF(A184="","",IF(H184="",AsOf-B184,H184-B184))</f>
        <v/>
      </c>
      <c r="M184" s="27" t="str">
        <f aca="false">IF(A184="","",IF(AND(K184="Open",L184&gt;Target),"Yes","No"))</f>
        <v/>
      </c>
      <c r="N184" s="27" t="str">
        <f aca="false">IF(K184&lt;&gt;"Open","",IF(L184&lt;=30,"0-30",IF(L184&lt;=60,"31-60",IF(L184&lt;=90,"61-90","90+"))))</f>
        <v/>
      </c>
      <c r="O184" s="27" t="str">
        <f aca="false">IF(A184="","",IF(COUNTIFS($D$5:$D$400,D184,$F$5:$F$400,F184,$B$5:$B$400,"&gt;="&amp;(B184-RepeatWin),$B$5:$B$400,"&lt;"&amp;B184)&gt;0,"Yes","No"))</f>
        <v/>
      </c>
      <c r="P184" s="35" t="str">
        <f aca="false">IF(OR(I184="",H184=""),"",H184+CapaDue)</f>
        <v/>
      </c>
      <c r="Q184" s="27" t="str">
        <f aca="false">IF(A184="","",IF(I184="","Not required",IF(J184&lt;&gt;"","Closed",IF(H184="","Awaiting dev. close",IF(AsOf&gt;P184,"Overdue","Open")))))</f>
        <v/>
      </c>
      <c r="R184" s="27" t="str">
        <f aca="false">IF(J184="","",IF(COUNTIFS($D$5:$D$400,D184,$F$5:$F$400,F184,$B$5:$B$400,"&gt;"&amp;J184,$B$5:$B$400,"&lt;="&amp;(J184+EffWin))&gt;0,"Ineffective",IF(AsOf-J184&gt;=EffWin,"Effective","Check pending")))</f>
        <v/>
      </c>
      <c r="S184" s="36" t="str">
        <f aca="false">IF(A184="","",DATE(YEAR(B184),MONTH(B184),1))</f>
        <v/>
      </c>
      <c r="T184" s="36" t="str">
        <f aca="false">IF(H184="","",DATE(YEAR(H184),MONTH(H184),1))</f>
        <v/>
      </c>
      <c r="U184" s="27" t="str">
        <f aca="false">IF(H184="","",IF(AsOf-H184&lt;=90,L184,""))</f>
        <v/>
      </c>
      <c r="V184" s="27" t="str">
        <f aca="false">IF(H184="","",IF(AND(AsOf-H184&gt;90,AsOf-H184&lt;=270),L184,""))</f>
        <v/>
      </c>
    </row>
    <row r="185" customFormat="false" ht="15" hidden="false" customHeight="false" outlineLevel="0" collapsed="false">
      <c r="A185" s="2"/>
      <c r="B185" s="37"/>
      <c r="C185" s="2"/>
      <c r="D185" s="2"/>
      <c r="E185" s="2"/>
      <c r="F185" s="2"/>
      <c r="G185" s="2"/>
      <c r="H185" s="37"/>
      <c r="I185" s="2"/>
      <c r="J185" s="37"/>
      <c r="K185" s="27" t="str">
        <f aca="false">IF(A185="","",IF(H185="","Open","Closed"))</f>
        <v/>
      </c>
      <c r="L185" s="27" t="str">
        <f aca="false">IF(A185="","",IF(H185="",AsOf-B185,H185-B185))</f>
        <v/>
      </c>
      <c r="M185" s="27" t="str">
        <f aca="false">IF(A185="","",IF(AND(K185="Open",L185&gt;Target),"Yes","No"))</f>
        <v/>
      </c>
      <c r="N185" s="27" t="str">
        <f aca="false">IF(K185&lt;&gt;"Open","",IF(L185&lt;=30,"0-30",IF(L185&lt;=60,"31-60",IF(L185&lt;=90,"61-90","90+"))))</f>
        <v/>
      </c>
      <c r="O185" s="27" t="str">
        <f aca="false">IF(A185="","",IF(COUNTIFS($D$5:$D$400,D185,$F$5:$F$400,F185,$B$5:$B$400,"&gt;="&amp;(B185-RepeatWin),$B$5:$B$400,"&lt;"&amp;B185)&gt;0,"Yes","No"))</f>
        <v/>
      </c>
      <c r="P185" s="35" t="str">
        <f aca="false">IF(OR(I185="",H185=""),"",H185+CapaDue)</f>
        <v/>
      </c>
      <c r="Q185" s="27" t="str">
        <f aca="false">IF(A185="","",IF(I185="","Not required",IF(J185&lt;&gt;"","Closed",IF(H185="","Awaiting dev. close",IF(AsOf&gt;P185,"Overdue","Open")))))</f>
        <v/>
      </c>
      <c r="R185" s="27" t="str">
        <f aca="false">IF(J185="","",IF(COUNTIFS($D$5:$D$400,D185,$F$5:$F$400,F185,$B$5:$B$400,"&gt;"&amp;J185,$B$5:$B$400,"&lt;="&amp;(J185+EffWin))&gt;0,"Ineffective",IF(AsOf-J185&gt;=EffWin,"Effective","Check pending")))</f>
        <v/>
      </c>
      <c r="S185" s="36" t="str">
        <f aca="false">IF(A185="","",DATE(YEAR(B185),MONTH(B185),1))</f>
        <v/>
      </c>
      <c r="T185" s="36" t="str">
        <f aca="false">IF(H185="","",DATE(YEAR(H185),MONTH(H185),1))</f>
        <v/>
      </c>
      <c r="U185" s="27" t="str">
        <f aca="false">IF(H185="","",IF(AsOf-H185&lt;=90,L185,""))</f>
        <v/>
      </c>
      <c r="V185" s="27" t="str">
        <f aca="false">IF(H185="","",IF(AND(AsOf-H185&gt;90,AsOf-H185&lt;=270),L185,""))</f>
        <v/>
      </c>
    </row>
    <row r="186" customFormat="false" ht="15" hidden="false" customHeight="false" outlineLevel="0" collapsed="false">
      <c r="A186" s="2"/>
      <c r="B186" s="37"/>
      <c r="C186" s="2"/>
      <c r="D186" s="2"/>
      <c r="E186" s="2"/>
      <c r="F186" s="2"/>
      <c r="G186" s="2"/>
      <c r="H186" s="37"/>
      <c r="I186" s="2"/>
      <c r="J186" s="37"/>
      <c r="K186" s="27" t="str">
        <f aca="false">IF(A186="","",IF(H186="","Open","Closed"))</f>
        <v/>
      </c>
      <c r="L186" s="27" t="str">
        <f aca="false">IF(A186="","",IF(H186="",AsOf-B186,H186-B186))</f>
        <v/>
      </c>
      <c r="M186" s="27" t="str">
        <f aca="false">IF(A186="","",IF(AND(K186="Open",L186&gt;Target),"Yes","No"))</f>
        <v/>
      </c>
      <c r="N186" s="27" t="str">
        <f aca="false">IF(K186&lt;&gt;"Open","",IF(L186&lt;=30,"0-30",IF(L186&lt;=60,"31-60",IF(L186&lt;=90,"61-90","90+"))))</f>
        <v/>
      </c>
      <c r="O186" s="27" t="str">
        <f aca="false">IF(A186="","",IF(COUNTIFS($D$5:$D$400,D186,$F$5:$F$400,F186,$B$5:$B$400,"&gt;="&amp;(B186-RepeatWin),$B$5:$B$400,"&lt;"&amp;B186)&gt;0,"Yes","No"))</f>
        <v/>
      </c>
      <c r="P186" s="35" t="str">
        <f aca="false">IF(OR(I186="",H186=""),"",H186+CapaDue)</f>
        <v/>
      </c>
      <c r="Q186" s="27" t="str">
        <f aca="false">IF(A186="","",IF(I186="","Not required",IF(J186&lt;&gt;"","Closed",IF(H186="","Awaiting dev. close",IF(AsOf&gt;P186,"Overdue","Open")))))</f>
        <v/>
      </c>
      <c r="R186" s="27" t="str">
        <f aca="false">IF(J186="","",IF(COUNTIFS($D$5:$D$400,D186,$F$5:$F$400,F186,$B$5:$B$400,"&gt;"&amp;J186,$B$5:$B$400,"&lt;="&amp;(J186+EffWin))&gt;0,"Ineffective",IF(AsOf-J186&gt;=EffWin,"Effective","Check pending")))</f>
        <v/>
      </c>
      <c r="S186" s="36" t="str">
        <f aca="false">IF(A186="","",DATE(YEAR(B186),MONTH(B186),1))</f>
        <v/>
      </c>
      <c r="T186" s="36" t="str">
        <f aca="false">IF(H186="","",DATE(YEAR(H186),MONTH(H186),1))</f>
        <v/>
      </c>
      <c r="U186" s="27" t="str">
        <f aca="false">IF(H186="","",IF(AsOf-H186&lt;=90,L186,""))</f>
        <v/>
      </c>
      <c r="V186" s="27" t="str">
        <f aca="false">IF(H186="","",IF(AND(AsOf-H186&gt;90,AsOf-H186&lt;=270),L186,""))</f>
        <v/>
      </c>
    </row>
    <row r="187" customFormat="false" ht="15" hidden="false" customHeight="false" outlineLevel="0" collapsed="false">
      <c r="A187" s="2"/>
      <c r="B187" s="37"/>
      <c r="C187" s="2"/>
      <c r="D187" s="2"/>
      <c r="E187" s="2"/>
      <c r="F187" s="2"/>
      <c r="G187" s="2"/>
      <c r="H187" s="37"/>
      <c r="I187" s="2"/>
      <c r="J187" s="37"/>
      <c r="K187" s="27" t="str">
        <f aca="false">IF(A187="","",IF(H187="","Open","Closed"))</f>
        <v/>
      </c>
      <c r="L187" s="27" t="str">
        <f aca="false">IF(A187="","",IF(H187="",AsOf-B187,H187-B187))</f>
        <v/>
      </c>
      <c r="M187" s="27" t="str">
        <f aca="false">IF(A187="","",IF(AND(K187="Open",L187&gt;Target),"Yes","No"))</f>
        <v/>
      </c>
      <c r="N187" s="27" t="str">
        <f aca="false">IF(K187&lt;&gt;"Open","",IF(L187&lt;=30,"0-30",IF(L187&lt;=60,"31-60",IF(L187&lt;=90,"61-90","90+"))))</f>
        <v/>
      </c>
      <c r="O187" s="27" t="str">
        <f aca="false">IF(A187="","",IF(COUNTIFS($D$5:$D$400,D187,$F$5:$F$400,F187,$B$5:$B$400,"&gt;="&amp;(B187-RepeatWin),$B$5:$B$400,"&lt;"&amp;B187)&gt;0,"Yes","No"))</f>
        <v/>
      </c>
      <c r="P187" s="35" t="str">
        <f aca="false">IF(OR(I187="",H187=""),"",H187+CapaDue)</f>
        <v/>
      </c>
      <c r="Q187" s="27" t="str">
        <f aca="false">IF(A187="","",IF(I187="","Not required",IF(J187&lt;&gt;"","Closed",IF(H187="","Awaiting dev. close",IF(AsOf&gt;P187,"Overdue","Open")))))</f>
        <v/>
      </c>
      <c r="R187" s="27" t="str">
        <f aca="false">IF(J187="","",IF(COUNTIFS($D$5:$D$400,D187,$F$5:$F$400,F187,$B$5:$B$400,"&gt;"&amp;J187,$B$5:$B$400,"&lt;="&amp;(J187+EffWin))&gt;0,"Ineffective",IF(AsOf-J187&gt;=EffWin,"Effective","Check pending")))</f>
        <v/>
      </c>
      <c r="S187" s="36" t="str">
        <f aca="false">IF(A187="","",DATE(YEAR(B187),MONTH(B187),1))</f>
        <v/>
      </c>
      <c r="T187" s="36" t="str">
        <f aca="false">IF(H187="","",DATE(YEAR(H187),MONTH(H187),1))</f>
        <v/>
      </c>
      <c r="U187" s="27" t="str">
        <f aca="false">IF(H187="","",IF(AsOf-H187&lt;=90,L187,""))</f>
        <v/>
      </c>
      <c r="V187" s="27" t="str">
        <f aca="false">IF(H187="","",IF(AND(AsOf-H187&gt;90,AsOf-H187&lt;=270),L187,""))</f>
        <v/>
      </c>
    </row>
    <row r="188" customFormat="false" ht="15" hidden="false" customHeight="false" outlineLevel="0" collapsed="false">
      <c r="A188" s="2"/>
      <c r="B188" s="37"/>
      <c r="C188" s="2"/>
      <c r="D188" s="2"/>
      <c r="E188" s="2"/>
      <c r="F188" s="2"/>
      <c r="G188" s="2"/>
      <c r="H188" s="37"/>
      <c r="I188" s="2"/>
      <c r="J188" s="37"/>
      <c r="K188" s="27" t="str">
        <f aca="false">IF(A188="","",IF(H188="","Open","Closed"))</f>
        <v/>
      </c>
      <c r="L188" s="27" t="str">
        <f aca="false">IF(A188="","",IF(H188="",AsOf-B188,H188-B188))</f>
        <v/>
      </c>
      <c r="M188" s="27" t="str">
        <f aca="false">IF(A188="","",IF(AND(K188="Open",L188&gt;Target),"Yes","No"))</f>
        <v/>
      </c>
      <c r="N188" s="27" t="str">
        <f aca="false">IF(K188&lt;&gt;"Open","",IF(L188&lt;=30,"0-30",IF(L188&lt;=60,"31-60",IF(L188&lt;=90,"61-90","90+"))))</f>
        <v/>
      </c>
      <c r="O188" s="27" t="str">
        <f aca="false">IF(A188="","",IF(COUNTIFS($D$5:$D$400,D188,$F$5:$F$400,F188,$B$5:$B$400,"&gt;="&amp;(B188-RepeatWin),$B$5:$B$400,"&lt;"&amp;B188)&gt;0,"Yes","No"))</f>
        <v/>
      </c>
      <c r="P188" s="35" t="str">
        <f aca="false">IF(OR(I188="",H188=""),"",H188+CapaDue)</f>
        <v/>
      </c>
      <c r="Q188" s="27" t="str">
        <f aca="false">IF(A188="","",IF(I188="","Not required",IF(J188&lt;&gt;"","Closed",IF(H188="","Awaiting dev. close",IF(AsOf&gt;P188,"Overdue","Open")))))</f>
        <v/>
      </c>
      <c r="R188" s="27" t="str">
        <f aca="false">IF(J188="","",IF(COUNTIFS($D$5:$D$400,D188,$F$5:$F$400,F188,$B$5:$B$400,"&gt;"&amp;J188,$B$5:$B$400,"&lt;="&amp;(J188+EffWin))&gt;0,"Ineffective",IF(AsOf-J188&gt;=EffWin,"Effective","Check pending")))</f>
        <v/>
      </c>
      <c r="S188" s="36" t="str">
        <f aca="false">IF(A188="","",DATE(YEAR(B188),MONTH(B188),1))</f>
        <v/>
      </c>
      <c r="T188" s="36" t="str">
        <f aca="false">IF(H188="","",DATE(YEAR(H188),MONTH(H188),1))</f>
        <v/>
      </c>
      <c r="U188" s="27" t="str">
        <f aca="false">IF(H188="","",IF(AsOf-H188&lt;=90,L188,""))</f>
        <v/>
      </c>
      <c r="V188" s="27" t="str">
        <f aca="false">IF(H188="","",IF(AND(AsOf-H188&gt;90,AsOf-H188&lt;=270),L188,""))</f>
        <v/>
      </c>
    </row>
    <row r="189" customFormat="false" ht="15" hidden="false" customHeight="false" outlineLevel="0" collapsed="false">
      <c r="A189" s="2"/>
      <c r="B189" s="37"/>
      <c r="C189" s="2"/>
      <c r="D189" s="2"/>
      <c r="E189" s="2"/>
      <c r="F189" s="2"/>
      <c r="G189" s="2"/>
      <c r="H189" s="37"/>
      <c r="I189" s="2"/>
      <c r="J189" s="37"/>
      <c r="K189" s="27" t="str">
        <f aca="false">IF(A189="","",IF(H189="","Open","Closed"))</f>
        <v/>
      </c>
      <c r="L189" s="27" t="str">
        <f aca="false">IF(A189="","",IF(H189="",AsOf-B189,H189-B189))</f>
        <v/>
      </c>
      <c r="M189" s="27" t="str">
        <f aca="false">IF(A189="","",IF(AND(K189="Open",L189&gt;Target),"Yes","No"))</f>
        <v/>
      </c>
      <c r="N189" s="27" t="str">
        <f aca="false">IF(K189&lt;&gt;"Open","",IF(L189&lt;=30,"0-30",IF(L189&lt;=60,"31-60",IF(L189&lt;=90,"61-90","90+"))))</f>
        <v/>
      </c>
      <c r="O189" s="27" t="str">
        <f aca="false">IF(A189="","",IF(COUNTIFS($D$5:$D$400,D189,$F$5:$F$400,F189,$B$5:$B$400,"&gt;="&amp;(B189-RepeatWin),$B$5:$B$400,"&lt;"&amp;B189)&gt;0,"Yes","No"))</f>
        <v/>
      </c>
      <c r="P189" s="35" t="str">
        <f aca="false">IF(OR(I189="",H189=""),"",H189+CapaDue)</f>
        <v/>
      </c>
      <c r="Q189" s="27" t="str">
        <f aca="false">IF(A189="","",IF(I189="","Not required",IF(J189&lt;&gt;"","Closed",IF(H189="","Awaiting dev. close",IF(AsOf&gt;P189,"Overdue","Open")))))</f>
        <v/>
      </c>
      <c r="R189" s="27" t="str">
        <f aca="false">IF(J189="","",IF(COUNTIFS($D$5:$D$400,D189,$F$5:$F$400,F189,$B$5:$B$400,"&gt;"&amp;J189,$B$5:$B$400,"&lt;="&amp;(J189+EffWin))&gt;0,"Ineffective",IF(AsOf-J189&gt;=EffWin,"Effective","Check pending")))</f>
        <v/>
      </c>
      <c r="S189" s="36" t="str">
        <f aca="false">IF(A189="","",DATE(YEAR(B189),MONTH(B189),1))</f>
        <v/>
      </c>
      <c r="T189" s="36" t="str">
        <f aca="false">IF(H189="","",DATE(YEAR(H189),MONTH(H189),1))</f>
        <v/>
      </c>
      <c r="U189" s="27" t="str">
        <f aca="false">IF(H189="","",IF(AsOf-H189&lt;=90,L189,""))</f>
        <v/>
      </c>
      <c r="V189" s="27" t="str">
        <f aca="false">IF(H189="","",IF(AND(AsOf-H189&gt;90,AsOf-H189&lt;=270),L189,""))</f>
        <v/>
      </c>
    </row>
    <row r="190" customFormat="false" ht="15" hidden="false" customHeight="false" outlineLevel="0" collapsed="false">
      <c r="A190" s="2"/>
      <c r="B190" s="37"/>
      <c r="C190" s="2"/>
      <c r="D190" s="2"/>
      <c r="E190" s="2"/>
      <c r="F190" s="2"/>
      <c r="G190" s="2"/>
      <c r="H190" s="37"/>
      <c r="I190" s="2"/>
      <c r="J190" s="37"/>
      <c r="K190" s="27" t="str">
        <f aca="false">IF(A190="","",IF(H190="","Open","Closed"))</f>
        <v/>
      </c>
      <c r="L190" s="27" t="str">
        <f aca="false">IF(A190="","",IF(H190="",AsOf-B190,H190-B190))</f>
        <v/>
      </c>
      <c r="M190" s="27" t="str">
        <f aca="false">IF(A190="","",IF(AND(K190="Open",L190&gt;Target),"Yes","No"))</f>
        <v/>
      </c>
      <c r="N190" s="27" t="str">
        <f aca="false">IF(K190&lt;&gt;"Open","",IF(L190&lt;=30,"0-30",IF(L190&lt;=60,"31-60",IF(L190&lt;=90,"61-90","90+"))))</f>
        <v/>
      </c>
      <c r="O190" s="27" t="str">
        <f aca="false">IF(A190="","",IF(COUNTIFS($D$5:$D$400,D190,$F$5:$F$400,F190,$B$5:$B$400,"&gt;="&amp;(B190-RepeatWin),$B$5:$B$400,"&lt;"&amp;B190)&gt;0,"Yes","No"))</f>
        <v/>
      </c>
      <c r="P190" s="35" t="str">
        <f aca="false">IF(OR(I190="",H190=""),"",H190+CapaDue)</f>
        <v/>
      </c>
      <c r="Q190" s="27" t="str">
        <f aca="false">IF(A190="","",IF(I190="","Not required",IF(J190&lt;&gt;"","Closed",IF(H190="","Awaiting dev. close",IF(AsOf&gt;P190,"Overdue","Open")))))</f>
        <v/>
      </c>
      <c r="R190" s="27" t="str">
        <f aca="false">IF(J190="","",IF(COUNTIFS($D$5:$D$400,D190,$F$5:$F$400,F190,$B$5:$B$400,"&gt;"&amp;J190,$B$5:$B$400,"&lt;="&amp;(J190+EffWin))&gt;0,"Ineffective",IF(AsOf-J190&gt;=EffWin,"Effective","Check pending")))</f>
        <v/>
      </c>
      <c r="S190" s="36" t="str">
        <f aca="false">IF(A190="","",DATE(YEAR(B190),MONTH(B190),1))</f>
        <v/>
      </c>
      <c r="T190" s="36" t="str">
        <f aca="false">IF(H190="","",DATE(YEAR(H190),MONTH(H190),1))</f>
        <v/>
      </c>
      <c r="U190" s="27" t="str">
        <f aca="false">IF(H190="","",IF(AsOf-H190&lt;=90,L190,""))</f>
        <v/>
      </c>
      <c r="V190" s="27" t="str">
        <f aca="false">IF(H190="","",IF(AND(AsOf-H190&gt;90,AsOf-H190&lt;=270),L190,""))</f>
        <v/>
      </c>
    </row>
    <row r="191" customFormat="false" ht="15" hidden="false" customHeight="false" outlineLevel="0" collapsed="false">
      <c r="A191" s="2"/>
      <c r="B191" s="37"/>
      <c r="C191" s="2"/>
      <c r="D191" s="2"/>
      <c r="E191" s="2"/>
      <c r="F191" s="2"/>
      <c r="G191" s="2"/>
      <c r="H191" s="37"/>
      <c r="I191" s="2"/>
      <c r="J191" s="37"/>
      <c r="K191" s="27" t="str">
        <f aca="false">IF(A191="","",IF(H191="","Open","Closed"))</f>
        <v/>
      </c>
      <c r="L191" s="27" t="str">
        <f aca="false">IF(A191="","",IF(H191="",AsOf-B191,H191-B191))</f>
        <v/>
      </c>
      <c r="M191" s="27" t="str">
        <f aca="false">IF(A191="","",IF(AND(K191="Open",L191&gt;Target),"Yes","No"))</f>
        <v/>
      </c>
      <c r="N191" s="27" t="str">
        <f aca="false">IF(K191&lt;&gt;"Open","",IF(L191&lt;=30,"0-30",IF(L191&lt;=60,"31-60",IF(L191&lt;=90,"61-90","90+"))))</f>
        <v/>
      </c>
      <c r="O191" s="27" t="str">
        <f aca="false">IF(A191="","",IF(COUNTIFS($D$5:$D$400,D191,$F$5:$F$400,F191,$B$5:$B$400,"&gt;="&amp;(B191-RepeatWin),$B$5:$B$400,"&lt;"&amp;B191)&gt;0,"Yes","No"))</f>
        <v/>
      </c>
      <c r="P191" s="35" t="str">
        <f aca="false">IF(OR(I191="",H191=""),"",H191+CapaDue)</f>
        <v/>
      </c>
      <c r="Q191" s="27" t="str">
        <f aca="false">IF(A191="","",IF(I191="","Not required",IF(J191&lt;&gt;"","Closed",IF(H191="","Awaiting dev. close",IF(AsOf&gt;P191,"Overdue","Open")))))</f>
        <v/>
      </c>
      <c r="R191" s="27" t="str">
        <f aca="false">IF(J191="","",IF(COUNTIFS($D$5:$D$400,D191,$F$5:$F$400,F191,$B$5:$B$400,"&gt;"&amp;J191,$B$5:$B$400,"&lt;="&amp;(J191+EffWin))&gt;0,"Ineffective",IF(AsOf-J191&gt;=EffWin,"Effective","Check pending")))</f>
        <v/>
      </c>
      <c r="S191" s="36" t="str">
        <f aca="false">IF(A191="","",DATE(YEAR(B191),MONTH(B191),1))</f>
        <v/>
      </c>
      <c r="T191" s="36" t="str">
        <f aca="false">IF(H191="","",DATE(YEAR(H191),MONTH(H191),1))</f>
        <v/>
      </c>
      <c r="U191" s="27" t="str">
        <f aca="false">IF(H191="","",IF(AsOf-H191&lt;=90,L191,""))</f>
        <v/>
      </c>
      <c r="V191" s="27" t="str">
        <f aca="false">IF(H191="","",IF(AND(AsOf-H191&gt;90,AsOf-H191&lt;=270),L191,""))</f>
        <v/>
      </c>
    </row>
    <row r="192" customFormat="false" ht="15" hidden="false" customHeight="false" outlineLevel="0" collapsed="false">
      <c r="A192" s="2"/>
      <c r="B192" s="37"/>
      <c r="C192" s="2"/>
      <c r="D192" s="2"/>
      <c r="E192" s="2"/>
      <c r="F192" s="2"/>
      <c r="G192" s="2"/>
      <c r="H192" s="37"/>
      <c r="I192" s="2"/>
      <c r="J192" s="37"/>
      <c r="K192" s="27" t="str">
        <f aca="false">IF(A192="","",IF(H192="","Open","Closed"))</f>
        <v/>
      </c>
      <c r="L192" s="27" t="str">
        <f aca="false">IF(A192="","",IF(H192="",AsOf-B192,H192-B192))</f>
        <v/>
      </c>
      <c r="M192" s="27" t="str">
        <f aca="false">IF(A192="","",IF(AND(K192="Open",L192&gt;Target),"Yes","No"))</f>
        <v/>
      </c>
      <c r="N192" s="27" t="str">
        <f aca="false">IF(K192&lt;&gt;"Open","",IF(L192&lt;=30,"0-30",IF(L192&lt;=60,"31-60",IF(L192&lt;=90,"61-90","90+"))))</f>
        <v/>
      </c>
      <c r="O192" s="27" t="str">
        <f aca="false">IF(A192="","",IF(COUNTIFS($D$5:$D$400,D192,$F$5:$F$400,F192,$B$5:$B$400,"&gt;="&amp;(B192-RepeatWin),$B$5:$B$400,"&lt;"&amp;B192)&gt;0,"Yes","No"))</f>
        <v/>
      </c>
      <c r="P192" s="35" t="str">
        <f aca="false">IF(OR(I192="",H192=""),"",H192+CapaDue)</f>
        <v/>
      </c>
      <c r="Q192" s="27" t="str">
        <f aca="false">IF(A192="","",IF(I192="","Not required",IF(J192&lt;&gt;"","Closed",IF(H192="","Awaiting dev. close",IF(AsOf&gt;P192,"Overdue","Open")))))</f>
        <v/>
      </c>
      <c r="R192" s="27" t="str">
        <f aca="false">IF(J192="","",IF(COUNTIFS($D$5:$D$400,D192,$F$5:$F$400,F192,$B$5:$B$400,"&gt;"&amp;J192,$B$5:$B$400,"&lt;="&amp;(J192+EffWin))&gt;0,"Ineffective",IF(AsOf-J192&gt;=EffWin,"Effective","Check pending")))</f>
        <v/>
      </c>
      <c r="S192" s="36" t="str">
        <f aca="false">IF(A192="","",DATE(YEAR(B192),MONTH(B192),1))</f>
        <v/>
      </c>
      <c r="T192" s="36" t="str">
        <f aca="false">IF(H192="","",DATE(YEAR(H192),MONTH(H192),1))</f>
        <v/>
      </c>
      <c r="U192" s="27" t="str">
        <f aca="false">IF(H192="","",IF(AsOf-H192&lt;=90,L192,""))</f>
        <v/>
      </c>
      <c r="V192" s="27" t="str">
        <f aca="false">IF(H192="","",IF(AND(AsOf-H192&gt;90,AsOf-H192&lt;=270),L192,""))</f>
        <v/>
      </c>
    </row>
    <row r="193" customFormat="false" ht="15" hidden="false" customHeight="false" outlineLevel="0" collapsed="false">
      <c r="A193" s="2"/>
      <c r="B193" s="37"/>
      <c r="C193" s="2"/>
      <c r="D193" s="2"/>
      <c r="E193" s="2"/>
      <c r="F193" s="2"/>
      <c r="G193" s="2"/>
      <c r="H193" s="37"/>
      <c r="I193" s="2"/>
      <c r="J193" s="37"/>
      <c r="K193" s="27" t="str">
        <f aca="false">IF(A193="","",IF(H193="","Open","Closed"))</f>
        <v/>
      </c>
      <c r="L193" s="27" t="str">
        <f aca="false">IF(A193="","",IF(H193="",AsOf-B193,H193-B193))</f>
        <v/>
      </c>
      <c r="M193" s="27" t="str">
        <f aca="false">IF(A193="","",IF(AND(K193="Open",L193&gt;Target),"Yes","No"))</f>
        <v/>
      </c>
      <c r="N193" s="27" t="str">
        <f aca="false">IF(K193&lt;&gt;"Open","",IF(L193&lt;=30,"0-30",IF(L193&lt;=60,"31-60",IF(L193&lt;=90,"61-90","90+"))))</f>
        <v/>
      </c>
      <c r="O193" s="27" t="str">
        <f aca="false">IF(A193="","",IF(COUNTIFS($D$5:$D$400,D193,$F$5:$F$400,F193,$B$5:$B$400,"&gt;="&amp;(B193-RepeatWin),$B$5:$B$400,"&lt;"&amp;B193)&gt;0,"Yes","No"))</f>
        <v/>
      </c>
      <c r="P193" s="35" t="str">
        <f aca="false">IF(OR(I193="",H193=""),"",H193+CapaDue)</f>
        <v/>
      </c>
      <c r="Q193" s="27" t="str">
        <f aca="false">IF(A193="","",IF(I193="","Not required",IF(J193&lt;&gt;"","Closed",IF(H193="","Awaiting dev. close",IF(AsOf&gt;P193,"Overdue","Open")))))</f>
        <v/>
      </c>
      <c r="R193" s="27" t="str">
        <f aca="false">IF(J193="","",IF(COUNTIFS($D$5:$D$400,D193,$F$5:$F$400,F193,$B$5:$B$400,"&gt;"&amp;J193,$B$5:$B$400,"&lt;="&amp;(J193+EffWin))&gt;0,"Ineffective",IF(AsOf-J193&gt;=EffWin,"Effective","Check pending")))</f>
        <v/>
      </c>
      <c r="S193" s="36" t="str">
        <f aca="false">IF(A193="","",DATE(YEAR(B193),MONTH(B193),1))</f>
        <v/>
      </c>
      <c r="T193" s="36" t="str">
        <f aca="false">IF(H193="","",DATE(YEAR(H193),MONTH(H193),1))</f>
        <v/>
      </c>
      <c r="U193" s="27" t="str">
        <f aca="false">IF(H193="","",IF(AsOf-H193&lt;=90,L193,""))</f>
        <v/>
      </c>
      <c r="V193" s="27" t="str">
        <f aca="false">IF(H193="","",IF(AND(AsOf-H193&gt;90,AsOf-H193&lt;=270),L193,""))</f>
        <v/>
      </c>
    </row>
    <row r="194" customFormat="false" ht="15" hidden="false" customHeight="false" outlineLevel="0" collapsed="false">
      <c r="A194" s="2"/>
      <c r="B194" s="37"/>
      <c r="C194" s="2"/>
      <c r="D194" s="2"/>
      <c r="E194" s="2"/>
      <c r="F194" s="2"/>
      <c r="G194" s="2"/>
      <c r="H194" s="37"/>
      <c r="I194" s="2"/>
      <c r="J194" s="37"/>
      <c r="K194" s="27" t="str">
        <f aca="false">IF(A194="","",IF(H194="","Open","Closed"))</f>
        <v/>
      </c>
      <c r="L194" s="27" t="str">
        <f aca="false">IF(A194="","",IF(H194="",AsOf-B194,H194-B194))</f>
        <v/>
      </c>
      <c r="M194" s="27" t="str">
        <f aca="false">IF(A194="","",IF(AND(K194="Open",L194&gt;Target),"Yes","No"))</f>
        <v/>
      </c>
      <c r="N194" s="27" t="str">
        <f aca="false">IF(K194&lt;&gt;"Open","",IF(L194&lt;=30,"0-30",IF(L194&lt;=60,"31-60",IF(L194&lt;=90,"61-90","90+"))))</f>
        <v/>
      </c>
      <c r="O194" s="27" t="str">
        <f aca="false">IF(A194="","",IF(COUNTIFS($D$5:$D$400,D194,$F$5:$F$400,F194,$B$5:$B$400,"&gt;="&amp;(B194-RepeatWin),$B$5:$B$400,"&lt;"&amp;B194)&gt;0,"Yes","No"))</f>
        <v/>
      </c>
      <c r="P194" s="35" t="str">
        <f aca="false">IF(OR(I194="",H194=""),"",H194+CapaDue)</f>
        <v/>
      </c>
      <c r="Q194" s="27" t="str">
        <f aca="false">IF(A194="","",IF(I194="","Not required",IF(J194&lt;&gt;"","Closed",IF(H194="","Awaiting dev. close",IF(AsOf&gt;P194,"Overdue","Open")))))</f>
        <v/>
      </c>
      <c r="R194" s="27" t="str">
        <f aca="false">IF(J194="","",IF(COUNTIFS($D$5:$D$400,D194,$F$5:$F$400,F194,$B$5:$B$400,"&gt;"&amp;J194,$B$5:$B$400,"&lt;="&amp;(J194+EffWin))&gt;0,"Ineffective",IF(AsOf-J194&gt;=EffWin,"Effective","Check pending")))</f>
        <v/>
      </c>
      <c r="S194" s="36" t="str">
        <f aca="false">IF(A194="","",DATE(YEAR(B194),MONTH(B194),1))</f>
        <v/>
      </c>
      <c r="T194" s="36" t="str">
        <f aca="false">IF(H194="","",DATE(YEAR(H194),MONTH(H194),1))</f>
        <v/>
      </c>
      <c r="U194" s="27" t="str">
        <f aca="false">IF(H194="","",IF(AsOf-H194&lt;=90,L194,""))</f>
        <v/>
      </c>
      <c r="V194" s="27" t="str">
        <f aca="false">IF(H194="","",IF(AND(AsOf-H194&gt;90,AsOf-H194&lt;=270),L194,""))</f>
        <v/>
      </c>
    </row>
    <row r="195" customFormat="false" ht="15" hidden="false" customHeight="false" outlineLevel="0" collapsed="false">
      <c r="A195" s="2"/>
      <c r="B195" s="37"/>
      <c r="C195" s="2"/>
      <c r="D195" s="2"/>
      <c r="E195" s="2"/>
      <c r="F195" s="2"/>
      <c r="G195" s="2"/>
      <c r="H195" s="37"/>
      <c r="I195" s="2"/>
      <c r="J195" s="37"/>
      <c r="K195" s="27" t="str">
        <f aca="false">IF(A195="","",IF(H195="","Open","Closed"))</f>
        <v/>
      </c>
      <c r="L195" s="27" t="str">
        <f aca="false">IF(A195="","",IF(H195="",AsOf-B195,H195-B195))</f>
        <v/>
      </c>
      <c r="M195" s="27" t="str">
        <f aca="false">IF(A195="","",IF(AND(K195="Open",L195&gt;Target),"Yes","No"))</f>
        <v/>
      </c>
      <c r="N195" s="27" t="str">
        <f aca="false">IF(K195&lt;&gt;"Open","",IF(L195&lt;=30,"0-30",IF(L195&lt;=60,"31-60",IF(L195&lt;=90,"61-90","90+"))))</f>
        <v/>
      </c>
      <c r="O195" s="27" t="str">
        <f aca="false">IF(A195="","",IF(COUNTIFS($D$5:$D$400,D195,$F$5:$F$400,F195,$B$5:$B$400,"&gt;="&amp;(B195-RepeatWin),$B$5:$B$400,"&lt;"&amp;B195)&gt;0,"Yes","No"))</f>
        <v/>
      </c>
      <c r="P195" s="35" t="str">
        <f aca="false">IF(OR(I195="",H195=""),"",H195+CapaDue)</f>
        <v/>
      </c>
      <c r="Q195" s="27" t="str">
        <f aca="false">IF(A195="","",IF(I195="","Not required",IF(J195&lt;&gt;"","Closed",IF(H195="","Awaiting dev. close",IF(AsOf&gt;P195,"Overdue","Open")))))</f>
        <v/>
      </c>
      <c r="R195" s="27" t="str">
        <f aca="false">IF(J195="","",IF(COUNTIFS($D$5:$D$400,D195,$F$5:$F$400,F195,$B$5:$B$400,"&gt;"&amp;J195,$B$5:$B$400,"&lt;="&amp;(J195+EffWin))&gt;0,"Ineffective",IF(AsOf-J195&gt;=EffWin,"Effective","Check pending")))</f>
        <v/>
      </c>
      <c r="S195" s="36" t="str">
        <f aca="false">IF(A195="","",DATE(YEAR(B195),MONTH(B195),1))</f>
        <v/>
      </c>
      <c r="T195" s="36" t="str">
        <f aca="false">IF(H195="","",DATE(YEAR(H195),MONTH(H195),1))</f>
        <v/>
      </c>
      <c r="U195" s="27" t="str">
        <f aca="false">IF(H195="","",IF(AsOf-H195&lt;=90,L195,""))</f>
        <v/>
      </c>
      <c r="V195" s="27" t="str">
        <f aca="false">IF(H195="","",IF(AND(AsOf-H195&gt;90,AsOf-H195&lt;=270),L195,""))</f>
        <v/>
      </c>
    </row>
    <row r="196" customFormat="false" ht="15" hidden="false" customHeight="false" outlineLevel="0" collapsed="false">
      <c r="A196" s="2"/>
      <c r="B196" s="37"/>
      <c r="C196" s="2"/>
      <c r="D196" s="2"/>
      <c r="E196" s="2"/>
      <c r="F196" s="2"/>
      <c r="G196" s="2"/>
      <c r="H196" s="37"/>
      <c r="I196" s="2"/>
      <c r="J196" s="37"/>
      <c r="K196" s="27" t="str">
        <f aca="false">IF(A196="","",IF(H196="","Open","Closed"))</f>
        <v/>
      </c>
      <c r="L196" s="27" t="str">
        <f aca="false">IF(A196="","",IF(H196="",AsOf-B196,H196-B196))</f>
        <v/>
      </c>
      <c r="M196" s="27" t="str">
        <f aca="false">IF(A196="","",IF(AND(K196="Open",L196&gt;Target),"Yes","No"))</f>
        <v/>
      </c>
      <c r="N196" s="27" t="str">
        <f aca="false">IF(K196&lt;&gt;"Open","",IF(L196&lt;=30,"0-30",IF(L196&lt;=60,"31-60",IF(L196&lt;=90,"61-90","90+"))))</f>
        <v/>
      </c>
      <c r="O196" s="27" t="str">
        <f aca="false">IF(A196="","",IF(COUNTIFS($D$5:$D$400,D196,$F$5:$F$400,F196,$B$5:$B$400,"&gt;="&amp;(B196-RepeatWin),$B$5:$B$400,"&lt;"&amp;B196)&gt;0,"Yes","No"))</f>
        <v/>
      </c>
      <c r="P196" s="35" t="str">
        <f aca="false">IF(OR(I196="",H196=""),"",H196+CapaDue)</f>
        <v/>
      </c>
      <c r="Q196" s="27" t="str">
        <f aca="false">IF(A196="","",IF(I196="","Not required",IF(J196&lt;&gt;"","Closed",IF(H196="","Awaiting dev. close",IF(AsOf&gt;P196,"Overdue","Open")))))</f>
        <v/>
      </c>
      <c r="R196" s="27" t="str">
        <f aca="false">IF(J196="","",IF(COUNTIFS($D$5:$D$400,D196,$F$5:$F$400,F196,$B$5:$B$400,"&gt;"&amp;J196,$B$5:$B$400,"&lt;="&amp;(J196+EffWin))&gt;0,"Ineffective",IF(AsOf-J196&gt;=EffWin,"Effective","Check pending")))</f>
        <v/>
      </c>
      <c r="S196" s="36" t="str">
        <f aca="false">IF(A196="","",DATE(YEAR(B196),MONTH(B196),1))</f>
        <v/>
      </c>
      <c r="T196" s="36" t="str">
        <f aca="false">IF(H196="","",DATE(YEAR(H196),MONTH(H196),1))</f>
        <v/>
      </c>
      <c r="U196" s="27" t="str">
        <f aca="false">IF(H196="","",IF(AsOf-H196&lt;=90,L196,""))</f>
        <v/>
      </c>
      <c r="V196" s="27" t="str">
        <f aca="false">IF(H196="","",IF(AND(AsOf-H196&gt;90,AsOf-H196&lt;=270),L196,""))</f>
        <v/>
      </c>
    </row>
    <row r="197" customFormat="false" ht="15" hidden="false" customHeight="false" outlineLevel="0" collapsed="false">
      <c r="A197" s="2"/>
      <c r="B197" s="37"/>
      <c r="C197" s="2"/>
      <c r="D197" s="2"/>
      <c r="E197" s="2"/>
      <c r="F197" s="2"/>
      <c r="G197" s="2"/>
      <c r="H197" s="37"/>
      <c r="I197" s="2"/>
      <c r="J197" s="37"/>
      <c r="K197" s="27" t="str">
        <f aca="false">IF(A197="","",IF(H197="","Open","Closed"))</f>
        <v/>
      </c>
      <c r="L197" s="27" t="str">
        <f aca="false">IF(A197="","",IF(H197="",AsOf-B197,H197-B197))</f>
        <v/>
      </c>
      <c r="M197" s="27" t="str">
        <f aca="false">IF(A197="","",IF(AND(K197="Open",L197&gt;Target),"Yes","No"))</f>
        <v/>
      </c>
      <c r="N197" s="27" t="str">
        <f aca="false">IF(K197&lt;&gt;"Open","",IF(L197&lt;=30,"0-30",IF(L197&lt;=60,"31-60",IF(L197&lt;=90,"61-90","90+"))))</f>
        <v/>
      </c>
      <c r="O197" s="27" t="str">
        <f aca="false">IF(A197="","",IF(COUNTIFS($D$5:$D$400,D197,$F$5:$F$400,F197,$B$5:$B$400,"&gt;="&amp;(B197-RepeatWin),$B$5:$B$400,"&lt;"&amp;B197)&gt;0,"Yes","No"))</f>
        <v/>
      </c>
      <c r="P197" s="35" t="str">
        <f aca="false">IF(OR(I197="",H197=""),"",H197+CapaDue)</f>
        <v/>
      </c>
      <c r="Q197" s="27" t="str">
        <f aca="false">IF(A197="","",IF(I197="","Not required",IF(J197&lt;&gt;"","Closed",IF(H197="","Awaiting dev. close",IF(AsOf&gt;P197,"Overdue","Open")))))</f>
        <v/>
      </c>
      <c r="R197" s="27" t="str">
        <f aca="false">IF(J197="","",IF(COUNTIFS($D$5:$D$400,D197,$F$5:$F$400,F197,$B$5:$B$400,"&gt;"&amp;J197,$B$5:$B$400,"&lt;="&amp;(J197+EffWin))&gt;0,"Ineffective",IF(AsOf-J197&gt;=EffWin,"Effective","Check pending")))</f>
        <v/>
      </c>
      <c r="S197" s="36" t="str">
        <f aca="false">IF(A197="","",DATE(YEAR(B197),MONTH(B197),1))</f>
        <v/>
      </c>
      <c r="T197" s="36" t="str">
        <f aca="false">IF(H197="","",DATE(YEAR(H197),MONTH(H197),1))</f>
        <v/>
      </c>
      <c r="U197" s="27" t="str">
        <f aca="false">IF(H197="","",IF(AsOf-H197&lt;=90,L197,""))</f>
        <v/>
      </c>
      <c r="V197" s="27" t="str">
        <f aca="false">IF(H197="","",IF(AND(AsOf-H197&gt;90,AsOf-H197&lt;=270),L197,""))</f>
        <v/>
      </c>
    </row>
    <row r="198" customFormat="false" ht="15" hidden="false" customHeight="false" outlineLevel="0" collapsed="false">
      <c r="A198" s="2"/>
      <c r="B198" s="37"/>
      <c r="C198" s="2"/>
      <c r="D198" s="2"/>
      <c r="E198" s="2"/>
      <c r="F198" s="2"/>
      <c r="G198" s="2"/>
      <c r="H198" s="37"/>
      <c r="I198" s="2"/>
      <c r="J198" s="37"/>
      <c r="K198" s="27" t="str">
        <f aca="false">IF(A198="","",IF(H198="","Open","Closed"))</f>
        <v/>
      </c>
      <c r="L198" s="27" t="str">
        <f aca="false">IF(A198="","",IF(H198="",AsOf-B198,H198-B198))</f>
        <v/>
      </c>
      <c r="M198" s="27" t="str">
        <f aca="false">IF(A198="","",IF(AND(K198="Open",L198&gt;Target),"Yes","No"))</f>
        <v/>
      </c>
      <c r="N198" s="27" t="str">
        <f aca="false">IF(K198&lt;&gt;"Open","",IF(L198&lt;=30,"0-30",IF(L198&lt;=60,"31-60",IF(L198&lt;=90,"61-90","90+"))))</f>
        <v/>
      </c>
      <c r="O198" s="27" t="str">
        <f aca="false">IF(A198="","",IF(COUNTIFS($D$5:$D$400,D198,$F$5:$F$400,F198,$B$5:$B$400,"&gt;="&amp;(B198-RepeatWin),$B$5:$B$400,"&lt;"&amp;B198)&gt;0,"Yes","No"))</f>
        <v/>
      </c>
      <c r="P198" s="35" t="str">
        <f aca="false">IF(OR(I198="",H198=""),"",H198+CapaDue)</f>
        <v/>
      </c>
      <c r="Q198" s="27" t="str">
        <f aca="false">IF(A198="","",IF(I198="","Not required",IF(J198&lt;&gt;"","Closed",IF(H198="","Awaiting dev. close",IF(AsOf&gt;P198,"Overdue","Open")))))</f>
        <v/>
      </c>
      <c r="R198" s="27" t="str">
        <f aca="false">IF(J198="","",IF(COUNTIFS($D$5:$D$400,D198,$F$5:$F$400,F198,$B$5:$B$400,"&gt;"&amp;J198,$B$5:$B$400,"&lt;="&amp;(J198+EffWin))&gt;0,"Ineffective",IF(AsOf-J198&gt;=EffWin,"Effective","Check pending")))</f>
        <v/>
      </c>
      <c r="S198" s="36" t="str">
        <f aca="false">IF(A198="","",DATE(YEAR(B198),MONTH(B198),1))</f>
        <v/>
      </c>
      <c r="T198" s="36" t="str">
        <f aca="false">IF(H198="","",DATE(YEAR(H198),MONTH(H198),1))</f>
        <v/>
      </c>
      <c r="U198" s="27" t="str">
        <f aca="false">IF(H198="","",IF(AsOf-H198&lt;=90,L198,""))</f>
        <v/>
      </c>
      <c r="V198" s="27" t="str">
        <f aca="false">IF(H198="","",IF(AND(AsOf-H198&gt;90,AsOf-H198&lt;=270),L198,""))</f>
        <v/>
      </c>
    </row>
    <row r="199" customFormat="false" ht="15" hidden="false" customHeight="false" outlineLevel="0" collapsed="false">
      <c r="A199" s="2"/>
      <c r="B199" s="37"/>
      <c r="C199" s="2"/>
      <c r="D199" s="2"/>
      <c r="E199" s="2"/>
      <c r="F199" s="2"/>
      <c r="G199" s="2"/>
      <c r="H199" s="37"/>
      <c r="I199" s="2"/>
      <c r="J199" s="37"/>
      <c r="K199" s="27" t="str">
        <f aca="false">IF(A199="","",IF(H199="","Open","Closed"))</f>
        <v/>
      </c>
      <c r="L199" s="27" t="str">
        <f aca="false">IF(A199="","",IF(H199="",AsOf-B199,H199-B199))</f>
        <v/>
      </c>
      <c r="M199" s="27" t="str">
        <f aca="false">IF(A199="","",IF(AND(K199="Open",L199&gt;Target),"Yes","No"))</f>
        <v/>
      </c>
      <c r="N199" s="27" t="str">
        <f aca="false">IF(K199&lt;&gt;"Open","",IF(L199&lt;=30,"0-30",IF(L199&lt;=60,"31-60",IF(L199&lt;=90,"61-90","90+"))))</f>
        <v/>
      </c>
      <c r="O199" s="27" t="str">
        <f aca="false">IF(A199="","",IF(COUNTIFS($D$5:$D$400,D199,$F$5:$F$400,F199,$B$5:$B$400,"&gt;="&amp;(B199-RepeatWin),$B$5:$B$400,"&lt;"&amp;B199)&gt;0,"Yes","No"))</f>
        <v/>
      </c>
      <c r="P199" s="35" t="str">
        <f aca="false">IF(OR(I199="",H199=""),"",H199+CapaDue)</f>
        <v/>
      </c>
      <c r="Q199" s="27" t="str">
        <f aca="false">IF(A199="","",IF(I199="","Not required",IF(J199&lt;&gt;"","Closed",IF(H199="","Awaiting dev. close",IF(AsOf&gt;P199,"Overdue","Open")))))</f>
        <v/>
      </c>
      <c r="R199" s="27" t="str">
        <f aca="false">IF(J199="","",IF(COUNTIFS($D$5:$D$400,D199,$F$5:$F$400,F199,$B$5:$B$400,"&gt;"&amp;J199,$B$5:$B$400,"&lt;="&amp;(J199+EffWin))&gt;0,"Ineffective",IF(AsOf-J199&gt;=EffWin,"Effective","Check pending")))</f>
        <v/>
      </c>
      <c r="S199" s="36" t="str">
        <f aca="false">IF(A199="","",DATE(YEAR(B199),MONTH(B199),1))</f>
        <v/>
      </c>
      <c r="T199" s="36" t="str">
        <f aca="false">IF(H199="","",DATE(YEAR(H199),MONTH(H199),1))</f>
        <v/>
      </c>
      <c r="U199" s="27" t="str">
        <f aca="false">IF(H199="","",IF(AsOf-H199&lt;=90,L199,""))</f>
        <v/>
      </c>
      <c r="V199" s="27" t="str">
        <f aca="false">IF(H199="","",IF(AND(AsOf-H199&gt;90,AsOf-H199&lt;=270),L199,""))</f>
        <v/>
      </c>
    </row>
    <row r="200" customFormat="false" ht="15" hidden="false" customHeight="false" outlineLevel="0" collapsed="false">
      <c r="A200" s="2"/>
      <c r="B200" s="37"/>
      <c r="C200" s="2"/>
      <c r="D200" s="2"/>
      <c r="E200" s="2"/>
      <c r="F200" s="2"/>
      <c r="G200" s="2"/>
      <c r="H200" s="37"/>
      <c r="I200" s="2"/>
      <c r="J200" s="37"/>
      <c r="K200" s="27" t="str">
        <f aca="false">IF(A200="","",IF(H200="","Open","Closed"))</f>
        <v/>
      </c>
      <c r="L200" s="27" t="str">
        <f aca="false">IF(A200="","",IF(H200="",AsOf-B200,H200-B200))</f>
        <v/>
      </c>
      <c r="M200" s="27" t="str">
        <f aca="false">IF(A200="","",IF(AND(K200="Open",L200&gt;Target),"Yes","No"))</f>
        <v/>
      </c>
      <c r="N200" s="27" t="str">
        <f aca="false">IF(K200&lt;&gt;"Open","",IF(L200&lt;=30,"0-30",IF(L200&lt;=60,"31-60",IF(L200&lt;=90,"61-90","90+"))))</f>
        <v/>
      </c>
      <c r="O200" s="27" t="str">
        <f aca="false">IF(A200="","",IF(COUNTIFS($D$5:$D$400,D200,$F$5:$F$400,F200,$B$5:$B$400,"&gt;="&amp;(B200-RepeatWin),$B$5:$B$400,"&lt;"&amp;B200)&gt;0,"Yes","No"))</f>
        <v/>
      </c>
      <c r="P200" s="35" t="str">
        <f aca="false">IF(OR(I200="",H200=""),"",H200+CapaDue)</f>
        <v/>
      </c>
      <c r="Q200" s="27" t="str">
        <f aca="false">IF(A200="","",IF(I200="","Not required",IF(J200&lt;&gt;"","Closed",IF(H200="","Awaiting dev. close",IF(AsOf&gt;P200,"Overdue","Open")))))</f>
        <v/>
      </c>
      <c r="R200" s="27" t="str">
        <f aca="false">IF(J200="","",IF(COUNTIFS($D$5:$D$400,D200,$F$5:$F$400,F200,$B$5:$B$400,"&gt;"&amp;J200,$B$5:$B$400,"&lt;="&amp;(J200+EffWin))&gt;0,"Ineffective",IF(AsOf-J200&gt;=EffWin,"Effective","Check pending")))</f>
        <v/>
      </c>
      <c r="S200" s="36" t="str">
        <f aca="false">IF(A200="","",DATE(YEAR(B200),MONTH(B200),1))</f>
        <v/>
      </c>
      <c r="T200" s="36" t="str">
        <f aca="false">IF(H200="","",DATE(YEAR(H200),MONTH(H200),1))</f>
        <v/>
      </c>
      <c r="U200" s="27" t="str">
        <f aca="false">IF(H200="","",IF(AsOf-H200&lt;=90,L200,""))</f>
        <v/>
      </c>
      <c r="V200" s="27" t="str">
        <f aca="false">IF(H200="","",IF(AND(AsOf-H200&gt;90,AsOf-H200&lt;=270),L200,""))</f>
        <v/>
      </c>
    </row>
    <row r="201" customFormat="false" ht="15" hidden="false" customHeight="false" outlineLevel="0" collapsed="false">
      <c r="A201" s="2"/>
      <c r="B201" s="37"/>
      <c r="C201" s="2"/>
      <c r="D201" s="2"/>
      <c r="E201" s="2"/>
      <c r="F201" s="2"/>
      <c r="G201" s="2"/>
      <c r="H201" s="37"/>
      <c r="I201" s="2"/>
      <c r="J201" s="37"/>
      <c r="K201" s="27" t="str">
        <f aca="false">IF(A201="","",IF(H201="","Open","Closed"))</f>
        <v/>
      </c>
      <c r="L201" s="27" t="str">
        <f aca="false">IF(A201="","",IF(H201="",AsOf-B201,H201-B201))</f>
        <v/>
      </c>
      <c r="M201" s="27" t="str">
        <f aca="false">IF(A201="","",IF(AND(K201="Open",L201&gt;Target),"Yes","No"))</f>
        <v/>
      </c>
      <c r="N201" s="27" t="str">
        <f aca="false">IF(K201&lt;&gt;"Open","",IF(L201&lt;=30,"0-30",IF(L201&lt;=60,"31-60",IF(L201&lt;=90,"61-90","90+"))))</f>
        <v/>
      </c>
      <c r="O201" s="27" t="str">
        <f aca="false">IF(A201="","",IF(COUNTIFS($D$5:$D$400,D201,$F$5:$F$400,F201,$B$5:$B$400,"&gt;="&amp;(B201-RepeatWin),$B$5:$B$400,"&lt;"&amp;B201)&gt;0,"Yes","No"))</f>
        <v/>
      </c>
      <c r="P201" s="35" t="str">
        <f aca="false">IF(OR(I201="",H201=""),"",H201+CapaDue)</f>
        <v/>
      </c>
      <c r="Q201" s="27" t="str">
        <f aca="false">IF(A201="","",IF(I201="","Not required",IF(J201&lt;&gt;"","Closed",IF(H201="","Awaiting dev. close",IF(AsOf&gt;P201,"Overdue","Open")))))</f>
        <v/>
      </c>
      <c r="R201" s="27" t="str">
        <f aca="false">IF(J201="","",IF(COUNTIFS($D$5:$D$400,D201,$F$5:$F$400,F201,$B$5:$B$400,"&gt;"&amp;J201,$B$5:$B$400,"&lt;="&amp;(J201+EffWin))&gt;0,"Ineffective",IF(AsOf-J201&gt;=EffWin,"Effective","Check pending")))</f>
        <v/>
      </c>
      <c r="S201" s="36" t="str">
        <f aca="false">IF(A201="","",DATE(YEAR(B201),MONTH(B201),1))</f>
        <v/>
      </c>
      <c r="T201" s="36" t="str">
        <f aca="false">IF(H201="","",DATE(YEAR(H201),MONTH(H201),1))</f>
        <v/>
      </c>
      <c r="U201" s="27" t="str">
        <f aca="false">IF(H201="","",IF(AsOf-H201&lt;=90,L201,""))</f>
        <v/>
      </c>
      <c r="V201" s="27" t="str">
        <f aca="false">IF(H201="","",IF(AND(AsOf-H201&gt;90,AsOf-H201&lt;=270),L201,""))</f>
        <v/>
      </c>
    </row>
    <row r="202" customFormat="false" ht="15" hidden="false" customHeight="false" outlineLevel="0" collapsed="false">
      <c r="A202" s="2"/>
      <c r="B202" s="37"/>
      <c r="C202" s="2"/>
      <c r="D202" s="2"/>
      <c r="E202" s="2"/>
      <c r="F202" s="2"/>
      <c r="G202" s="2"/>
      <c r="H202" s="37"/>
      <c r="I202" s="2"/>
      <c r="J202" s="37"/>
      <c r="K202" s="27" t="str">
        <f aca="false">IF(A202="","",IF(H202="","Open","Closed"))</f>
        <v/>
      </c>
      <c r="L202" s="27" t="str">
        <f aca="false">IF(A202="","",IF(H202="",AsOf-B202,H202-B202))</f>
        <v/>
      </c>
      <c r="M202" s="27" t="str">
        <f aca="false">IF(A202="","",IF(AND(K202="Open",L202&gt;Target),"Yes","No"))</f>
        <v/>
      </c>
      <c r="N202" s="27" t="str">
        <f aca="false">IF(K202&lt;&gt;"Open","",IF(L202&lt;=30,"0-30",IF(L202&lt;=60,"31-60",IF(L202&lt;=90,"61-90","90+"))))</f>
        <v/>
      </c>
      <c r="O202" s="27" t="str">
        <f aca="false">IF(A202="","",IF(COUNTIFS($D$5:$D$400,D202,$F$5:$F$400,F202,$B$5:$B$400,"&gt;="&amp;(B202-RepeatWin),$B$5:$B$400,"&lt;"&amp;B202)&gt;0,"Yes","No"))</f>
        <v/>
      </c>
      <c r="P202" s="35" t="str">
        <f aca="false">IF(OR(I202="",H202=""),"",H202+CapaDue)</f>
        <v/>
      </c>
      <c r="Q202" s="27" t="str">
        <f aca="false">IF(A202="","",IF(I202="","Not required",IF(J202&lt;&gt;"","Closed",IF(H202="","Awaiting dev. close",IF(AsOf&gt;P202,"Overdue","Open")))))</f>
        <v/>
      </c>
      <c r="R202" s="27" t="str">
        <f aca="false">IF(J202="","",IF(COUNTIFS($D$5:$D$400,D202,$F$5:$F$400,F202,$B$5:$B$400,"&gt;"&amp;J202,$B$5:$B$400,"&lt;="&amp;(J202+EffWin))&gt;0,"Ineffective",IF(AsOf-J202&gt;=EffWin,"Effective","Check pending")))</f>
        <v/>
      </c>
      <c r="S202" s="36" t="str">
        <f aca="false">IF(A202="","",DATE(YEAR(B202),MONTH(B202),1))</f>
        <v/>
      </c>
      <c r="T202" s="36" t="str">
        <f aca="false">IF(H202="","",DATE(YEAR(H202),MONTH(H202),1))</f>
        <v/>
      </c>
      <c r="U202" s="27" t="str">
        <f aca="false">IF(H202="","",IF(AsOf-H202&lt;=90,L202,""))</f>
        <v/>
      </c>
      <c r="V202" s="27" t="str">
        <f aca="false">IF(H202="","",IF(AND(AsOf-H202&gt;90,AsOf-H202&lt;=270),L202,""))</f>
        <v/>
      </c>
    </row>
    <row r="203" customFormat="false" ht="15" hidden="false" customHeight="false" outlineLevel="0" collapsed="false">
      <c r="A203" s="2"/>
      <c r="B203" s="37"/>
      <c r="C203" s="2"/>
      <c r="D203" s="2"/>
      <c r="E203" s="2"/>
      <c r="F203" s="2"/>
      <c r="G203" s="2"/>
      <c r="H203" s="37"/>
      <c r="I203" s="2"/>
      <c r="J203" s="37"/>
      <c r="K203" s="27" t="str">
        <f aca="false">IF(A203="","",IF(H203="","Open","Closed"))</f>
        <v/>
      </c>
      <c r="L203" s="27" t="str">
        <f aca="false">IF(A203="","",IF(H203="",AsOf-B203,H203-B203))</f>
        <v/>
      </c>
      <c r="M203" s="27" t="str">
        <f aca="false">IF(A203="","",IF(AND(K203="Open",L203&gt;Target),"Yes","No"))</f>
        <v/>
      </c>
      <c r="N203" s="27" t="str">
        <f aca="false">IF(K203&lt;&gt;"Open","",IF(L203&lt;=30,"0-30",IF(L203&lt;=60,"31-60",IF(L203&lt;=90,"61-90","90+"))))</f>
        <v/>
      </c>
      <c r="O203" s="27" t="str">
        <f aca="false">IF(A203="","",IF(COUNTIFS($D$5:$D$400,D203,$F$5:$F$400,F203,$B$5:$B$400,"&gt;="&amp;(B203-RepeatWin),$B$5:$B$400,"&lt;"&amp;B203)&gt;0,"Yes","No"))</f>
        <v/>
      </c>
      <c r="P203" s="35" t="str">
        <f aca="false">IF(OR(I203="",H203=""),"",H203+CapaDue)</f>
        <v/>
      </c>
      <c r="Q203" s="27" t="str">
        <f aca="false">IF(A203="","",IF(I203="","Not required",IF(J203&lt;&gt;"","Closed",IF(H203="","Awaiting dev. close",IF(AsOf&gt;P203,"Overdue","Open")))))</f>
        <v/>
      </c>
      <c r="R203" s="27" t="str">
        <f aca="false">IF(J203="","",IF(COUNTIFS($D$5:$D$400,D203,$F$5:$F$400,F203,$B$5:$B$400,"&gt;"&amp;J203,$B$5:$B$400,"&lt;="&amp;(J203+EffWin))&gt;0,"Ineffective",IF(AsOf-J203&gt;=EffWin,"Effective","Check pending")))</f>
        <v/>
      </c>
      <c r="S203" s="36" t="str">
        <f aca="false">IF(A203="","",DATE(YEAR(B203),MONTH(B203),1))</f>
        <v/>
      </c>
      <c r="T203" s="36" t="str">
        <f aca="false">IF(H203="","",DATE(YEAR(H203),MONTH(H203),1))</f>
        <v/>
      </c>
      <c r="U203" s="27" t="str">
        <f aca="false">IF(H203="","",IF(AsOf-H203&lt;=90,L203,""))</f>
        <v/>
      </c>
      <c r="V203" s="27" t="str">
        <f aca="false">IF(H203="","",IF(AND(AsOf-H203&gt;90,AsOf-H203&lt;=270),L203,""))</f>
        <v/>
      </c>
    </row>
    <row r="204" customFormat="false" ht="15" hidden="false" customHeight="false" outlineLevel="0" collapsed="false">
      <c r="A204" s="2"/>
      <c r="B204" s="37"/>
      <c r="C204" s="2"/>
      <c r="D204" s="2"/>
      <c r="E204" s="2"/>
      <c r="F204" s="2"/>
      <c r="G204" s="2"/>
      <c r="H204" s="37"/>
      <c r="I204" s="2"/>
      <c r="J204" s="37"/>
      <c r="K204" s="27" t="str">
        <f aca="false">IF(A204="","",IF(H204="","Open","Closed"))</f>
        <v/>
      </c>
      <c r="L204" s="27" t="str">
        <f aca="false">IF(A204="","",IF(H204="",AsOf-B204,H204-B204))</f>
        <v/>
      </c>
      <c r="M204" s="27" t="str">
        <f aca="false">IF(A204="","",IF(AND(K204="Open",L204&gt;Target),"Yes","No"))</f>
        <v/>
      </c>
      <c r="N204" s="27" t="str">
        <f aca="false">IF(K204&lt;&gt;"Open","",IF(L204&lt;=30,"0-30",IF(L204&lt;=60,"31-60",IF(L204&lt;=90,"61-90","90+"))))</f>
        <v/>
      </c>
      <c r="O204" s="27" t="str">
        <f aca="false">IF(A204="","",IF(COUNTIFS($D$5:$D$400,D204,$F$5:$F$400,F204,$B$5:$B$400,"&gt;="&amp;(B204-RepeatWin),$B$5:$B$400,"&lt;"&amp;B204)&gt;0,"Yes","No"))</f>
        <v/>
      </c>
      <c r="P204" s="35" t="str">
        <f aca="false">IF(OR(I204="",H204=""),"",H204+CapaDue)</f>
        <v/>
      </c>
      <c r="Q204" s="27" t="str">
        <f aca="false">IF(A204="","",IF(I204="","Not required",IF(J204&lt;&gt;"","Closed",IF(H204="","Awaiting dev. close",IF(AsOf&gt;P204,"Overdue","Open")))))</f>
        <v/>
      </c>
      <c r="R204" s="27" t="str">
        <f aca="false">IF(J204="","",IF(COUNTIFS($D$5:$D$400,D204,$F$5:$F$400,F204,$B$5:$B$400,"&gt;"&amp;J204,$B$5:$B$400,"&lt;="&amp;(J204+EffWin))&gt;0,"Ineffective",IF(AsOf-J204&gt;=EffWin,"Effective","Check pending")))</f>
        <v/>
      </c>
      <c r="S204" s="36" t="str">
        <f aca="false">IF(A204="","",DATE(YEAR(B204),MONTH(B204),1))</f>
        <v/>
      </c>
      <c r="T204" s="36" t="str">
        <f aca="false">IF(H204="","",DATE(YEAR(H204),MONTH(H204),1))</f>
        <v/>
      </c>
      <c r="U204" s="27" t="str">
        <f aca="false">IF(H204="","",IF(AsOf-H204&lt;=90,L204,""))</f>
        <v/>
      </c>
      <c r="V204" s="27" t="str">
        <f aca="false">IF(H204="","",IF(AND(AsOf-H204&gt;90,AsOf-H204&lt;=270),L204,""))</f>
        <v/>
      </c>
    </row>
    <row r="205" customFormat="false" ht="15" hidden="false" customHeight="false" outlineLevel="0" collapsed="false">
      <c r="A205" s="2"/>
      <c r="B205" s="37"/>
      <c r="C205" s="2"/>
      <c r="D205" s="2"/>
      <c r="E205" s="2"/>
      <c r="F205" s="2"/>
      <c r="G205" s="2"/>
      <c r="H205" s="37"/>
      <c r="I205" s="2"/>
      <c r="J205" s="37"/>
      <c r="K205" s="27" t="str">
        <f aca="false">IF(A205="","",IF(H205="","Open","Closed"))</f>
        <v/>
      </c>
      <c r="L205" s="27" t="str">
        <f aca="false">IF(A205="","",IF(H205="",AsOf-B205,H205-B205))</f>
        <v/>
      </c>
      <c r="M205" s="27" t="str">
        <f aca="false">IF(A205="","",IF(AND(K205="Open",L205&gt;Target),"Yes","No"))</f>
        <v/>
      </c>
      <c r="N205" s="27" t="str">
        <f aca="false">IF(K205&lt;&gt;"Open","",IF(L205&lt;=30,"0-30",IF(L205&lt;=60,"31-60",IF(L205&lt;=90,"61-90","90+"))))</f>
        <v/>
      </c>
      <c r="O205" s="27" t="str">
        <f aca="false">IF(A205="","",IF(COUNTIFS($D$5:$D$400,D205,$F$5:$F$400,F205,$B$5:$B$400,"&gt;="&amp;(B205-RepeatWin),$B$5:$B$400,"&lt;"&amp;B205)&gt;0,"Yes","No"))</f>
        <v/>
      </c>
      <c r="P205" s="35" t="str">
        <f aca="false">IF(OR(I205="",H205=""),"",H205+CapaDue)</f>
        <v/>
      </c>
      <c r="Q205" s="27" t="str">
        <f aca="false">IF(A205="","",IF(I205="","Not required",IF(J205&lt;&gt;"","Closed",IF(H205="","Awaiting dev. close",IF(AsOf&gt;P205,"Overdue","Open")))))</f>
        <v/>
      </c>
      <c r="R205" s="27" t="str">
        <f aca="false">IF(J205="","",IF(COUNTIFS($D$5:$D$400,D205,$F$5:$F$400,F205,$B$5:$B$400,"&gt;"&amp;J205,$B$5:$B$400,"&lt;="&amp;(J205+EffWin))&gt;0,"Ineffective",IF(AsOf-J205&gt;=EffWin,"Effective","Check pending")))</f>
        <v/>
      </c>
      <c r="S205" s="36" t="str">
        <f aca="false">IF(A205="","",DATE(YEAR(B205),MONTH(B205),1))</f>
        <v/>
      </c>
      <c r="T205" s="36" t="str">
        <f aca="false">IF(H205="","",DATE(YEAR(H205),MONTH(H205),1))</f>
        <v/>
      </c>
      <c r="U205" s="27" t="str">
        <f aca="false">IF(H205="","",IF(AsOf-H205&lt;=90,L205,""))</f>
        <v/>
      </c>
      <c r="V205" s="27" t="str">
        <f aca="false">IF(H205="","",IF(AND(AsOf-H205&gt;90,AsOf-H205&lt;=270),L205,""))</f>
        <v/>
      </c>
    </row>
    <row r="206" customFormat="false" ht="15" hidden="false" customHeight="false" outlineLevel="0" collapsed="false">
      <c r="A206" s="2"/>
      <c r="B206" s="37"/>
      <c r="C206" s="2"/>
      <c r="D206" s="2"/>
      <c r="E206" s="2"/>
      <c r="F206" s="2"/>
      <c r="G206" s="2"/>
      <c r="H206" s="37"/>
      <c r="I206" s="2"/>
      <c r="J206" s="37"/>
      <c r="K206" s="27" t="str">
        <f aca="false">IF(A206="","",IF(H206="","Open","Closed"))</f>
        <v/>
      </c>
      <c r="L206" s="27" t="str">
        <f aca="false">IF(A206="","",IF(H206="",AsOf-B206,H206-B206))</f>
        <v/>
      </c>
      <c r="M206" s="27" t="str">
        <f aca="false">IF(A206="","",IF(AND(K206="Open",L206&gt;Target),"Yes","No"))</f>
        <v/>
      </c>
      <c r="N206" s="27" t="str">
        <f aca="false">IF(K206&lt;&gt;"Open","",IF(L206&lt;=30,"0-30",IF(L206&lt;=60,"31-60",IF(L206&lt;=90,"61-90","90+"))))</f>
        <v/>
      </c>
      <c r="O206" s="27" t="str">
        <f aca="false">IF(A206="","",IF(COUNTIFS($D$5:$D$400,D206,$F$5:$F$400,F206,$B$5:$B$400,"&gt;="&amp;(B206-RepeatWin),$B$5:$B$400,"&lt;"&amp;B206)&gt;0,"Yes","No"))</f>
        <v/>
      </c>
      <c r="P206" s="35" t="str">
        <f aca="false">IF(OR(I206="",H206=""),"",H206+CapaDue)</f>
        <v/>
      </c>
      <c r="Q206" s="27" t="str">
        <f aca="false">IF(A206="","",IF(I206="","Not required",IF(J206&lt;&gt;"","Closed",IF(H206="","Awaiting dev. close",IF(AsOf&gt;P206,"Overdue","Open")))))</f>
        <v/>
      </c>
      <c r="R206" s="27" t="str">
        <f aca="false">IF(J206="","",IF(COUNTIFS($D$5:$D$400,D206,$F$5:$F$400,F206,$B$5:$B$400,"&gt;"&amp;J206,$B$5:$B$400,"&lt;="&amp;(J206+EffWin))&gt;0,"Ineffective",IF(AsOf-J206&gt;=EffWin,"Effective","Check pending")))</f>
        <v/>
      </c>
      <c r="S206" s="36" t="str">
        <f aca="false">IF(A206="","",DATE(YEAR(B206),MONTH(B206),1))</f>
        <v/>
      </c>
      <c r="T206" s="36" t="str">
        <f aca="false">IF(H206="","",DATE(YEAR(H206),MONTH(H206),1))</f>
        <v/>
      </c>
      <c r="U206" s="27" t="str">
        <f aca="false">IF(H206="","",IF(AsOf-H206&lt;=90,L206,""))</f>
        <v/>
      </c>
      <c r="V206" s="27" t="str">
        <f aca="false">IF(H206="","",IF(AND(AsOf-H206&gt;90,AsOf-H206&lt;=270),L206,""))</f>
        <v/>
      </c>
    </row>
    <row r="207" customFormat="false" ht="15" hidden="false" customHeight="false" outlineLevel="0" collapsed="false">
      <c r="A207" s="2"/>
      <c r="B207" s="37"/>
      <c r="C207" s="2"/>
      <c r="D207" s="2"/>
      <c r="E207" s="2"/>
      <c r="F207" s="2"/>
      <c r="G207" s="2"/>
      <c r="H207" s="37"/>
      <c r="I207" s="2"/>
      <c r="J207" s="37"/>
      <c r="K207" s="27" t="str">
        <f aca="false">IF(A207="","",IF(H207="","Open","Closed"))</f>
        <v/>
      </c>
      <c r="L207" s="27" t="str">
        <f aca="false">IF(A207="","",IF(H207="",AsOf-B207,H207-B207))</f>
        <v/>
      </c>
      <c r="M207" s="27" t="str">
        <f aca="false">IF(A207="","",IF(AND(K207="Open",L207&gt;Target),"Yes","No"))</f>
        <v/>
      </c>
      <c r="N207" s="27" t="str">
        <f aca="false">IF(K207&lt;&gt;"Open","",IF(L207&lt;=30,"0-30",IF(L207&lt;=60,"31-60",IF(L207&lt;=90,"61-90","90+"))))</f>
        <v/>
      </c>
      <c r="O207" s="27" t="str">
        <f aca="false">IF(A207="","",IF(COUNTIFS($D$5:$D$400,D207,$F$5:$F$400,F207,$B$5:$B$400,"&gt;="&amp;(B207-RepeatWin),$B$5:$B$400,"&lt;"&amp;B207)&gt;0,"Yes","No"))</f>
        <v/>
      </c>
      <c r="P207" s="35" t="str">
        <f aca="false">IF(OR(I207="",H207=""),"",H207+CapaDue)</f>
        <v/>
      </c>
      <c r="Q207" s="27" t="str">
        <f aca="false">IF(A207="","",IF(I207="","Not required",IF(J207&lt;&gt;"","Closed",IF(H207="","Awaiting dev. close",IF(AsOf&gt;P207,"Overdue","Open")))))</f>
        <v/>
      </c>
      <c r="R207" s="27" t="str">
        <f aca="false">IF(J207="","",IF(COUNTIFS($D$5:$D$400,D207,$F$5:$F$400,F207,$B$5:$B$400,"&gt;"&amp;J207,$B$5:$B$400,"&lt;="&amp;(J207+EffWin))&gt;0,"Ineffective",IF(AsOf-J207&gt;=EffWin,"Effective","Check pending")))</f>
        <v/>
      </c>
      <c r="S207" s="36" t="str">
        <f aca="false">IF(A207="","",DATE(YEAR(B207),MONTH(B207),1))</f>
        <v/>
      </c>
      <c r="T207" s="36" t="str">
        <f aca="false">IF(H207="","",DATE(YEAR(H207),MONTH(H207),1))</f>
        <v/>
      </c>
      <c r="U207" s="27" t="str">
        <f aca="false">IF(H207="","",IF(AsOf-H207&lt;=90,L207,""))</f>
        <v/>
      </c>
      <c r="V207" s="27" t="str">
        <f aca="false">IF(H207="","",IF(AND(AsOf-H207&gt;90,AsOf-H207&lt;=270),L207,""))</f>
        <v/>
      </c>
    </row>
    <row r="208" customFormat="false" ht="15" hidden="false" customHeight="false" outlineLevel="0" collapsed="false">
      <c r="A208" s="2"/>
      <c r="B208" s="37"/>
      <c r="C208" s="2"/>
      <c r="D208" s="2"/>
      <c r="E208" s="2"/>
      <c r="F208" s="2"/>
      <c r="G208" s="2"/>
      <c r="H208" s="37"/>
      <c r="I208" s="2"/>
      <c r="J208" s="37"/>
      <c r="K208" s="27" t="str">
        <f aca="false">IF(A208="","",IF(H208="","Open","Closed"))</f>
        <v/>
      </c>
      <c r="L208" s="27" t="str">
        <f aca="false">IF(A208="","",IF(H208="",AsOf-B208,H208-B208))</f>
        <v/>
      </c>
      <c r="M208" s="27" t="str">
        <f aca="false">IF(A208="","",IF(AND(K208="Open",L208&gt;Target),"Yes","No"))</f>
        <v/>
      </c>
      <c r="N208" s="27" t="str">
        <f aca="false">IF(K208&lt;&gt;"Open","",IF(L208&lt;=30,"0-30",IF(L208&lt;=60,"31-60",IF(L208&lt;=90,"61-90","90+"))))</f>
        <v/>
      </c>
      <c r="O208" s="27" t="str">
        <f aca="false">IF(A208="","",IF(COUNTIFS($D$5:$D$400,D208,$F$5:$F$400,F208,$B$5:$B$400,"&gt;="&amp;(B208-RepeatWin),$B$5:$B$400,"&lt;"&amp;B208)&gt;0,"Yes","No"))</f>
        <v/>
      </c>
      <c r="P208" s="35" t="str">
        <f aca="false">IF(OR(I208="",H208=""),"",H208+CapaDue)</f>
        <v/>
      </c>
      <c r="Q208" s="27" t="str">
        <f aca="false">IF(A208="","",IF(I208="","Not required",IF(J208&lt;&gt;"","Closed",IF(H208="","Awaiting dev. close",IF(AsOf&gt;P208,"Overdue","Open")))))</f>
        <v/>
      </c>
      <c r="R208" s="27" t="str">
        <f aca="false">IF(J208="","",IF(COUNTIFS($D$5:$D$400,D208,$F$5:$F$400,F208,$B$5:$B$400,"&gt;"&amp;J208,$B$5:$B$400,"&lt;="&amp;(J208+EffWin))&gt;0,"Ineffective",IF(AsOf-J208&gt;=EffWin,"Effective","Check pending")))</f>
        <v/>
      </c>
      <c r="S208" s="36" t="str">
        <f aca="false">IF(A208="","",DATE(YEAR(B208),MONTH(B208),1))</f>
        <v/>
      </c>
      <c r="T208" s="36" t="str">
        <f aca="false">IF(H208="","",DATE(YEAR(H208),MONTH(H208),1))</f>
        <v/>
      </c>
      <c r="U208" s="27" t="str">
        <f aca="false">IF(H208="","",IF(AsOf-H208&lt;=90,L208,""))</f>
        <v/>
      </c>
      <c r="V208" s="27" t="str">
        <f aca="false">IF(H208="","",IF(AND(AsOf-H208&gt;90,AsOf-H208&lt;=270),L208,""))</f>
        <v/>
      </c>
    </row>
    <row r="209" customFormat="false" ht="15" hidden="false" customHeight="false" outlineLevel="0" collapsed="false">
      <c r="A209" s="2"/>
      <c r="B209" s="37"/>
      <c r="C209" s="2"/>
      <c r="D209" s="2"/>
      <c r="E209" s="2"/>
      <c r="F209" s="2"/>
      <c r="G209" s="2"/>
      <c r="H209" s="37"/>
      <c r="I209" s="2"/>
      <c r="J209" s="37"/>
      <c r="K209" s="27" t="str">
        <f aca="false">IF(A209="","",IF(H209="","Open","Closed"))</f>
        <v/>
      </c>
      <c r="L209" s="27" t="str">
        <f aca="false">IF(A209="","",IF(H209="",AsOf-B209,H209-B209))</f>
        <v/>
      </c>
      <c r="M209" s="27" t="str">
        <f aca="false">IF(A209="","",IF(AND(K209="Open",L209&gt;Target),"Yes","No"))</f>
        <v/>
      </c>
      <c r="N209" s="27" t="str">
        <f aca="false">IF(K209&lt;&gt;"Open","",IF(L209&lt;=30,"0-30",IF(L209&lt;=60,"31-60",IF(L209&lt;=90,"61-90","90+"))))</f>
        <v/>
      </c>
      <c r="O209" s="27" t="str">
        <f aca="false">IF(A209="","",IF(COUNTIFS($D$5:$D$400,D209,$F$5:$F$400,F209,$B$5:$B$400,"&gt;="&amp;(B209-RepeatWin),$B$5:$B$400,"&lt;"&amp;B209)&gt;0,"Yes","No"))</f>
        <v/>
      </c>
      <c r="P209" s="35" t="str">
        <f aca="false">IF(OR(I209="",H209=""),"",H209+CapaDue)</f>
        <v/>
      </c>
      <c r="Q209" s="27" t="str">
        <f aca="false">IF(A209="","",IF(I209="","Not required",IF(J209&lt;&gt;"","Closed",IF(H209="","Awaiting dev. close",IF(AsOf&gt;P209,"Overdue","Open")))))</f>
        <v/>
      </c>
      <c r="R209" s="27" t="str">
        <f aca="false">IF(J209="","",IF(COUNTIFS($D$5:$D$400,D209,$F$5:$F$400,F209,$B$5:$B$400,"&gt;"&amp;J209,$B$5:$B$400,"&lt;="&amp;(J209+EffWin))&gt;0,"Ineffective",IF(AsOf-J209&gt;=EffWin,"Effective","Check pending")))</f>
        <v/>
      </c>
      <c r="S209" s="36" t="str">
        <f aca="false">IF(A209="","",DATE(YEAR(B209),MONTH(B209),1))</f>
        <v/>
      </c>
      <c r="T209" s="36" t="str">
        <f aca="false">IF(H209="","",DATE(YEAR(H209),MONTH(H209),1))</f>
        <v/>
      </c>
      <c r="U209" s="27" t="str">
        <f aca="false">IF(H209="","",IF(AsOf-H209&lt;=90,L209,""))</f>
        <v/>
      </c>
      <c r="V209" s="27" t="str">
        <f aca="false">IF(H209="","",IF(AND(AsOf-H209&gt;90,AsOf-H209&lt;=270),L209,""))</f>
        <v/>
      </c>
    </row>
    <row r="210" customFormat="false" ht="15" hidden="false" customHeight="false" outlineLevel="0" collapsed="false">
      <c r="A210" s="2"/>
      <c r="B210" s="37"/>
      <c r="C210" s="2"/>
      <c r="D210" s="2"/>
      <c r="E210" s="2"/>
      <c r="F210" s="2"/>
      <c r="G210" s="2"/>
      <c r="H210" s="37"/>
      <c r="I210" s="2"/>
      <c r="J210" s="37"/>
      <c r="K210" s="27" t="str">
        <f aca="false">IF(A210="","",IF(H210="","Open","Closed"))</f>
        <v/>
      </c>
      <c r="L210" s="27" t="str">
        <f aca="false">IF(A210="","",IF(H210="",AsOf-B210,H210-B210))</f>
        <v/>
      </c>
      <c r="M210" s="27" t="str">
        <f aca="false">IF(A210="","",IF(AND(K210="Open",L210&gt;Target),"Yes","No"))</f>
        <v/>
      </c>
      <c r="N210" s="27" t="str">
        <f aca="false">IF(K210&lt;&gt;"Open","",IF(L210&lt;=30,"0-30",IF(L210&lt;=60,"31-60",IF(L210&lt;=90,"61-90","90+"))))</f>
        <v/>
      </c>
      <c r="O210" s="27" t="str">
        <f aca="false">IF(A210="","",IF(COUNTIFS($D$5:$D$400,D210,$F$5:$F$400,F210,$B$5:$B$400,"&gt;="&amp;(B210-RepeatWin),$B$5:$B$400,"&lt;"&amp;B210)&gt;0,"Yes","No"))</f>
        <v/>
      </c>
      <c r="P210" s="35" t="str">
        <f aca="false">IF(OR(I210="",H210=""),"",H210+CapaDue)</f>
        <v/>
      </c>
      <c r="Q210" s="27" t="str">
        <f aca="false">IF(A210="","",IF(I210="","Not required",IF(J210&lt;&gt;"","Closed",IF(H210="","Awaiting dev. close",IF(AsOf&gt;P210,"Overdue","Open")))))</f>
        <v/>
      </c>
      <c r="R210" s="27" t="str">
        <f aca="false">IF(J210="","",IF(COUNTIFS($D$5:$D$400,D210,$F$5:$F$400,F210,$B$5:$B$400,"&gt;"&amp;J210,$B$5:$B$400,"&lt;="&amp;(J210+EffWin))&gt;0,"Ineffective",IF(AsOf-J210&gt;=EffWin,"Effective","Check pending")))</f>
        <v/>
      </c>
      <c r="S210" s="36" t="str">
        <f aca="false">IF(A210="","",DATE(YEAR(B210),MONTH(B210),1))</f>
        <v/>
      </c>
      <c r="T210" s="36" t="str">
        <f aca="false">IF(H210="","",DATE(YEAR(H210),MONTH(H210),1))</f>
        <v/>
      </c>
      <c r="U210" s="27" t="str">
        <f aca="false">IF(H210="","",IF(AsOf-H210&lt;=90,L210,""))</f>
        <v/>
      </c>
      <c r="V210" s="27" t="str">
        <f aca="false">IF(H210="","",IF(AND(AsOf-H210&gt;90,AsOf-H210&lt;=270),L210,""))</f>
        <v/>
      </c>
    </row>
    <row r="211" customFormat="false" ht="15" hidden="false" customHeight="false" outlineLevel="0" collapsed="false">
      <c r="A211" s="2"/>
      <c r="B211" s="37"/>
      <c r="C211" s="2"/>
      <c r="D211" s="2"/>
      <c r="E211" s="2"/>
      <c r="F211" s="2"/>
      <c r="G211" s="2"/>
      <c r="H211" s="37"/>
      <c r="I211" s="2"/>
      <c r="J211" s="37"/>
      <c r="K211" s="27" t="str">
        <f aca="false">IF(A211="","",IF(H211="","Open","Closed"))</f>
        <v/>
      </c>
      <c r="L211" s="27" t="str">
        <f aca="false">IF(A211="","",IF(H211="",AsOf-B211,H211-B211))</f>
        <v/>
      </c>
      <c r="M211" s="27" t="str">
        <f aca="false">IF(A211="","",IF(AND(K211="Open",L211&gt;Target),"Yes","No"))</f>
        <v/>
      </c>
      <c r="N211" s="27" t="str">
        <f aca="false">IF(K211&lt;&gt;"Open","",IF(L211&lt;=30,"0-30",IF(L211&lt;=60,"31-60",IF(L211&lt;=90,"61-90","90+"))))</f>
        <v/>
      </c>
      <c r="O211" s="27" t="str">
        <f aca="false">IF(A211="","",IF(COUNTIFS($D$5:$D$400,D211,$F$5:$F$400,F211,$B$5:$B$400,"&gt;="&amp;(B211-RepeatWin),$B$5:$B$400,"&lt;"&amp;B211)&gt;0,"Yes","No"))</f>
        <v/>
      </c>
      <c r="P211" s="35" t="str">
        <f aca="false">IF(OR(I211="",H211=""),"",H211+CapaDue)</f>
        <v/>
      </c>
      <c r="Q211" s="27" t="str">
        <f aca="false">IF(A211="","",IF(I211="","Not required",IF(J211&lt;&gt;"","Closed",IF(H211="","Awaiting dev. close",IF(AsOf&gt;P211,"Overdue","Open")))))</f>
        <v/>
      </c>
      <c r="R211" s="27" t="str">
        <f aca="false">IF(J211="","",IF(COUNTIFS($D$5:$D$400,D211,$F$5:$F$400,F211,$B$5:$B$400,"&gt;"&amp;J211,$B$5:$B$400,"&lt;="&amp;(J211+EffWin))&gt;0,"Ineffective",IF(AsOf-J211&gt;=EffWin,"Effective","Check pending")))</f>
        <v/>
      </c>
      <c r="S211" s="36" t="str">
        <f aca="false">IF(A211="","",DATE(YEAR(B211),MONTH(B211),1))</f>
        <v/>
      </c>
      <c r="T211" s="36" t="str">
        <f aca="false">IF(H211="","",DATE(YEAR(H211),MONTH(H211),1))</f>
        <v/>
      </c>
      <c r="U211" s="27" t="str">
        <f aca="false">IF(H211="","",IF(AsOf-H211&lt;=90,L211,""))</f>
        <v/>
      </c>
      <c r="V211" s="27" t="str">
        <f aca="false">IF(H211="","",IF(AND(AsOf-H211&gt;90,AsOf-H211&lt;=270),L211,""))</f>
        <v/>
      </c>
    </row>
    <row r="212" customFormat="false" ht="15" hidden="false" customHeight="false" outlineLevel="0" collapsed="false">
      <c r="A212" s="2"/>
      <c r="B212" s="37"/>
      <c r="C212" s="2"/>
      <c r="D212" s="2"/>
      <c r="E212" s="2"/>
      <c r="F212" s="2"/>
      <c r="G212" s="2"/>
      <c r="H212" s="37"/>
      <c r="I212" s="2"/>
      <c r="J212" s="37"/>
      <c r="K212" s="27" t="str">
        <f aca="false">IF(A212="","",IF(H212="","Open","Closed"))</f>
        <v/>
      </c>
      <c r="L212" s="27" t="str">
        <f aca="false">IF(A212="","",IF(H212="",AsOf-B212,H212-B212))</f>
        <v/>
      </c>
      <c r="M212" s="27" t="str">
        <f aca="false">IF(A212="","",IF(AND(K212="Open",L212&gt;Target),"Yes","No"))</f>
        <v/>
      </c>
      <c r="N212" s="27" t="str">
        <f aca="false">IF(K212&lt;&gt;"Open","",IF(L212&lt;=30,"0-30",IF(L212&lt;=60,"31-60",IF(L212&lt;=90,"61-90","90+"))))</f>
        <v/>
      </c>
      <c r="O212" s="27" t="str">
        <f aca="false">IF(A212="","",IF(COUNTIFS($D$5:$D$400,D212,$F$5:$F$400,F212,$B$5:$B$400,"&gt;="&amp;(B212-RepeatWin),$B$5:$B$400,"&lt;"&amp;B212)&gt;0,"Yes","No"))</f>
        <v/>
      </c>
      <c r="P212" s="35" t="str">
        <f aca="false">IF(OR(I212="",H212=""),"",H212+CapaDue)</f>
        <v/>
      </c>
      <c r="Q212" s="27" t="str">
        <f aca="false">IF(A212="","",IF(I212="","Not required",IF(J212&lt;&gt;"","Closed",IF(H212="","Awaiting dev. close",IF(AsOf&gt;P212,"Overdue","Open")))))</f>
        <v/>
      </c>
      <c r="R212" s="27" t="str">
        <f aca="false">IF(J212="","",IF(COUNTIFS($D$5:$D$400,D212,$F$5:$F$400,F212,$B$5:$B$400,"&gt;"&amp;J212,$B$5:$B$400,"&lt;="&amp;(J212+EffWin))&gt;0,"Ineffective",IF(AsOf-J212&gt;=EffWin,"Effective","Check pending")))</f>
        <v/>
      </c>
      <c r="S212" s="36" t="str">
        <f aca="false">IF(A212="","",DATE(YEAR(B212),MONTH(B212),1))</f>
        <v/>
      </c>
      <c r="T212" s="36" t="str">
        <f aca="false">IF(H212="","",DATE(YEAR(H212),MONTH(H212),1))</f>
        <v/>
      </c>
      <c r="U212" s="27" t="str">
        <f aca="false">IF(H212="","",IF(AsOf-H212&lt;=90,L212,""))</f>
        <v/>
      </c>
      <c r="V212" s="27" t="str">
        <f aca="false">IF(H212="","",IF(AND(AsOf-H212&gt;90,AsOf-H212&lt;=270),L212,""))</f>
        <v/>
      </c>
    </row>
    <row r="213" customFormat="false" ht="15" hidden="false" customHeight="false" outlineLevel="0" collapsed="false">
      <c r="A213" s="2"/>
      <c r="B213" s="37"/>
      <c r="C213" s="2"/>
      <c r="D213" s="2"/>
      <c r="E213" s="2"/>
      <c r="F213" s="2"/>
      <c r="G213" s="2"/>
      <c r="H213" s="37"/>
      <c r="I213" s="2"/>
      <c r="J213" s="37"/>
      <c r="K213" s="27" t="str">
        <f aca="false">IF(A213="","",IF(H213="","Open","Closed"))</f>
        <v/>
      </c>
      <c r="L213" s="27" t="str">
        <f aca="false">IF(A213="","",IF(H213="",AsOf-B213,H213-B213))</f>
        <v/>
      </c>
      <c r="M213" s="27" t="str">
        <f aca="false">IF(A213="","",IF(AND(K213="Open",L213&gt;Target),"Yes","No"))</f>
        <v/>
      </c>
      <c r="N213" s="27" t="str">
        <f aca="false">IF(K213&lt;&gt;"Open","",IF(L213&lt;=30,"0-30",IF(L213&lt;=60,"31-60",IF(L213&lt;=90,"61-90","90+"))))</f>
        <v/>
      </c>
      <c r="O213" s="27" t="str">
        <f aca="false">IF(A213="","",IF(COUNTIFS($D$5:$D$400,D213,$F$5:$F$400,F213,$B$5:$B$400,"&gt;="&amp;(B213-RepeatWin),$B$5:$B$400,"&lt;"&amp;B213)&gt;0,"Yes","No"))</f>
        <v/>
      </c>
      <c r="P213" s="35" t="str">
        <f aca="false">IF(OR(I213="",H213=""),"",H213+CapaDue)</f>
        <v/>
      </c>
      <c r="Q213" s="27" t="str">
        <f aca="false">IF(A213="","",IF(I213="","Not required",IF(J213&lt;&gt;"","Closed",IF(H213="","Awaiting dev. close",IF(AsOf&gt;P213,"Overdue","Open")))))</f>
        <v/>
      </c>
      <c r="R213" s="27" t="str">
        <f aca="false">IF(J213="","",IF(COUNTIFS($D$5:$D$400,D213,$F$5:$F$400,F213,$B$5:$B$400,"&gt;"&amp;J213,$B$5:$B$400,"&lt;="&amp;(J213+EffWin))&gt;0,"Ineffective",IF(AsOf-J213&gt;=EffWin,"Effective","Check pending")))</f>
        <v/>
      </c>
      <c r="S213" s="36" t="str">
        <f aca="false">IF(A213="","",DATE(YEAR(B213),MONTH(B213),1))</f>
        <v/>
      </c>
      <c r="T213" s="36" t="str">
        <f aca="false">IF(H213="","",DATE(YEAR(H213),MONTH(H213),1))</f>
        <v/>
      </c>
      <c r="U213" s="27" t="str">
        <f aca="false">IF(H213="","",IF(AsOf-H213&lt;=90,L213,""))</f>
        <v/>
      </c>
      <c r="V213" s="27" t="str">
        <f aca="false">IF(H213="","",IF(AND(AsOf-H213&gt;90,AsOf-H213&lt;=270),L213,""))</f>
        <v/>
      </c>
    </row>
    <row r="214" customFormat="false" ht="15" hidden="false" customHeight="false" outlineLevel="0" collapsed="false">
      <c r="A214" s="2"/>
      <c r="B214" s="37"/>
      <c r="C214" s="2"/>
      <c r="D214" s="2"/>
      <c r="E214" s="2"/>
      <c r="F214" s="2"/>
      <c r="G214" s="2"/>
      <c r="H214" s="37"/>
      <c r="I214" s="2"/>
      <c r="J214" s="37"/>
      <c r="K214" s="27" t="str">
        <f aca="false">IF(A214="","",IF(H214="","Open","Closed"))</f>
        <v/>
      </c>
      <c r="L214" s="27" t="str">
        <f aca="false">IF(A214="","",IF(H214="",AsOf-B214,H214-B214))</f>
        <v/>
      </c>
      <c r="M214" s="27" t="str">
        <f aca="false">IF(A214="","",IF(AND(K214="Open",L214&gt;Target),"Yes","No"))</f>
        <v/>
      </c>
      <c r="N214" s="27" t="str">
        <f aca="false">IF(K214&lt;&gt;"Open","",IF(L214&lt;=30,"0-30",IF(L214&lt;=60,"31-60",IF(L214&lt;=90,"61-90","90+"))))</f>
        <v/>
      </c>
      <c r="O214" s="27" t="str">
        <f aca="false">IF(A214="","",IF(COUNTIFS($D$5:$D$400,D214,$F$5:$F$400,F214,$B$5:$B$400,"&gt;="&amp;(B214-RepeatWin),$B$5:$B$400,"&lt;"&amp;B214)&gt;0,"Yes","No"))</f>
        <v/>
      </c>
      <c r="P214" s="35" t="str">
        <f aca="false">IF(OR(I214="",H214=""),"",H214+CapaDue)</f>
        <v/>
      </c>
      <c r="Q214" s="27" t="str">
        <f aca="false">IF(A214="","",IF(I214="","Not required",IF(J214&lt;&gt;"","Closed",IF(H214="","Awaiting dev. close",IF(AsOf&gt;P214,"Overdue","Open")))))</f>
        <v/>
      </c>
      <c r="R214" s="27" t="str">
        <f aca="false">IF(J214="","",IF(COUNTIFS($D$5:$D$400,D214,$F$5:$F$400,F214,$B$5:$B$400,"&gt;"&amp;J214,$B$5:$B$400,"&lt;="&amp;(J214+EffWin))&gt;0,"Ineffective",IF(AsOf-J214&gt;=EffWin,"Effective","Check pending")))</f>
        <v/>
      </c>
      <c r="S214" s="36" t="str">
        <f aca="false">IF(A214="","",DATE(YEAR(B214),MONTH(B214),1))</f>
        <v/>
      </c>
      <c r="T214" s="36" t="str">
        <f aca="false">IF(H214="","",DATE(YEAR(H214),MONTH(H214),1))</f>
        <v/>
      </c>
      <c r="U214" s="27" t="str">
        <f aca="false">IF(H214="","",IF(AsOf-H214&lt;=90,L214,""))</f>
        <v/>
      </c>
      <c r="V214" s="27" t="str">
        <f aca="false">IF(H214="","",IF(AND(AsOf-H214&gt;90,AsOf-H214&lt;=270),L214,""))</f>
        <v/>
      </c>
    </row>
    <row r="215" customFormat="false" ht="15" hidden="false" customHeight="false" outlineLevel="0" collapsed="false">
      <c r="A215" s="2"/>
      <c r="B215" s="37"/>
      <c r="C215" s="2"/>
      <c r="D215" s="2"/>
      <c r="E215" s="2"/>
      <c r="F215" s="2"/>
      <c r="G215" s="2"/>
      <c r="H215" s="37"/>
      <c r="I215" s="2"/>
      <c r="J215" s="37"/>
      <c r="K215" s="27" t="str">
        <f aca="false">IF(A215="","",IF(H215="","Open","Closed"))</f>
        <v/>
      </c>
      <c r="L215" s="27" t="str">
        <f aca="false">IF(A215="","",IF(H215="",AsOf-B215,H215-B215))</f>
        <v/>
      </c>
      <c r="M215" s="27" t="str">
        <f aca="false">IF(A215="","",IF(AND(K215="Open",L215&gt;Target),"Yes","No"))</f>
        <v/>
      </c>
      <c r="N215" s="27" t="str">
        <f aca="false">IF(K215&lt;&gt;"Open","",IF(L215&lt;=30,"0-30",IF(L215&lt;=60,"31-60",IF(L215&lt;=90,"61-90","90+"))))</f>
        <v/>
      </c>
      <c r="O215" s="27" t="str">
        <f aca="false">IF(A215="","",IF(COUNTIFS($D$5:$D$400,D215,$F$5:$F$400,F215,$B$5:$B$400,"&gt;="&amp;(B215-RepeatWin),$B$5:$B$400,"&lt;"&amp;B215)&gt;0,"Yes","No"))</f>
        <v/>
      </c>
      <c r="P215" s="35" t="str">
        <f aca="false">IF(OR(I215="",H215=""),"",H215+CapaDue)</f>
        <v/>
      </c>
      <c r="Q215" s="27" t="str">
        <f aca="false">IF(A215="","",IF(I215="","Not required",IF(J215&lt;&gt;"","Closed",IF(H215="","Awaiting dev. close",IF(AsOf&gt;P215,"Overdue","Open")))))</f>
        <v/>
      </c>
      <c r="R215" s="27" t="str">
        <f aca="false">IF(J215="","",IF(COUNTIFS($D$5:$D$400,D215,$F$5:$F$400,F215,$B$5:$B$400,"&gt;"&amp;J215,$B$5:$B$400,"&lt;="&amp;(J215+EffWin))&gt;0,"Ineffective",IF(AsOf-J215&gt;=EffWin,"Effective","Check pending")))</f>
        <v/>
      </c>
      <c r="S215" s="36" t="str">
        <f aca="false">IF(A215="","",DATE(YEAR(B215),MONTH(B215),1))</f>
        <v/>
      </c>
      <c r="T215" s="36" t="str">
        <f aca="false">IF(H215="","",DATE(YEAR(H215),MONTH(H215),1))</f>
        <v/>
      </c>
      <c r="U215" s="27" t="str">
        <f aca="false">IF(H215="","",IF(AsOf-H215&lt;=90,L215,""))</f>
        <v/>
      </c>
      <c r="V215" s="27" t="str">
        <f aca="false">IF(H215="","",IF(AND(AsOf-H215&gt;90,AsOf-H215&lt;=270),L215,""))</f>
        <v/>
      </c>
    </row>
    <row r="216" customFormat="false" ht="15" hidden="false" customHeight="false" outlineLevel="0" collapsed="false">
      <c r="A216" s="2"/>
      <c r="B216" s="37"/>
      <c r="C216" s="2"/>
      <c r="D216" s="2"/>
      <c r="E216" s="2"/>
      <c r="F216" s="2"/>
      <c r="G216" s="2"/>
      <c r="H216" s="37"/>
      <c r="I216" s="2"/>
      <c r="J216" s="37"/>
      <c r="K216" s="27" t="str">
        <f aca="false">IF(A216="","",IF(H216="","Open","Closed"))</f>
        <v/>
      </c>
      <c r="L216" s="27" t="str">
        <f aca="false">IF(A216="","",IF(H216="",AsOf-B216,H216-B216))</f>
        <v/>
      </c>
      <c r="M216" s="27" t="str">
        <f aca="false">IF(A216="","",IF(AND(K216="Open",L216&gt;Target),"Yes","No"))</f>
        <v/>
      </c>
      <c r="N216" s="27" t="str">
        <f aca="false">IF(K216&lt;&gt;"Open","",IF(L216&lt;=30,"0-30",IF(L216&lt;=60,"31-60",IF(L216&lt;=90,"61-90","90+"))))</f>
        <v/>
      </c>
      <c r="O216" s="27" t="str">
        <f aca="false">IF(A216="","",IF(COUNTIFS($D$5:$D$400,D216,$F$5:$F$400,F216,$B$5:$B$400,"&gt;="&amp;(B216-RepeatWin),$B$5:$B$400,"&lt;"&amp;B216)&gt;0,"Yes","No"))</f>
        <v/>
      </c>
      <c r="P216" s="35" t="str">
        <f aca="false">IF(OR(I216="",H216=""),"",H216+CapaDue)</f>
        <v/>
      </c>
      <c r="Q216" s="27" t="str">
        <f aca="false">IF(A216="","",IF(I216="","Not required",IF(J216&lt;&gt;"","Closed",IF(H216="","Awaiting dev. close",IF(AsOf&gt;P216,"Overdue","Open")))))</f>
        <v/>
      </c>
      <c r="R216" s="27" t="str">
        <f aca="false">IF(J216="","",IF(COUNTIFS($D$5:$D$400,D216,$F$5:$F$400,F216,$B$5:$B$400,"&gt;"&amp;J216,$B$5:$B$400,"&lt;="&amp;(J216+EffWin))&gt;0,"Ineffective",IF(AsOf-J216&gt;=EffWin,"Effective","Check pending")))</f>
        <v/>
      </c>
      <c r="S216" s="36" t="str">
        <f aca="false">IF(A216="","",DATE(YEAR(B216),MONTH(B216),1))</f>
        <v/>
      </c>
      <c r="T216" s="36" t="str">
        <f aca="false">IF(H216="","",DATE(YEAR(H216),MONTH(H216),1))</f>
        <v/>
      </c>
      <c r="U216" s="27" t="str">
        <f aca="false">IF(H216="","",IF(AsOf-H216&lt;=90,L216,""))</f>
        <v/>
      </c>
      <c r="V216" s="27" t="str">
        <f aca="false">IF(H216="","",IF(AND(AsOf-H216&gt;90,AsOf-H216&lt;=270),L216,""))</f>
        <v/>
      </c>
    </row>
    <row r="217" customFormat="false" ht="15" hidden="false" customHeight="false" outlineLevel="0" collapsed="false">
      <c r="A217" s="2"/>
      <c r="B217" s="37"/>
      <c r="C217" s="2"/>
      <c r="D217" s="2"/>
      <c r="E217" s="2"/>
      <c r="F217" s="2"/>
      <c r="G217" s="2"/>
      <c r="H217" s="37"/>
      <c r="I217" s="2"/>
      <c r="J217" s="37"/>
      <c r="K217" s="27" t="str">
        <f aca="false">IF(A217="","",IF(H217="","Open","Closed"))</f>
        <v/>
      </c>
      <c r="L217" s="27" t="str">
        <f aca="false">IF(A217="","",IF(H217="",AsOf-B217,H217-B217))</f>
        <v/>
      </c>
      <c r="M217" s="27" t="str">
        <f aca="false">IF(A217="","",IF(AND(K217="Open",L217&gt;Target),"Yes","No"))</f>
        <v/>
      </c>
      <c r="N217" s="27" t="str">
        <f aca="false">IF(K217&lt;&gt;"Open","",IF(L217&lt;=30,"0-30",IF(L217&lt;=60,"31-60",IF(L217&lt;=90,"61-90","90+"))))</f>
        <v/>
      </c>
      <c r="O217" s="27" t="str">
        <f aca="false">IF(A217="","",IF(COUNTIFS($D$5:$D$400,D217,$F$5:$F$400,F217,$B$5:$B$400,"&gt;="&amp;(B217-RepeatWin),$B$5:$B$400,"&lt;"&amp;B217)&gt;0,"Yes","No"))</f>
        <v/>
      </c>
      <c r="P217" s="35" t="str">
        <f aca="false">IF(OR(I217="",H217=""),"",H217+CapaDue)</f>
        <v/>
      </c>
      <c r="Q217" s="27" t="str">
        <f aca="false">IF(A217="","",IF(I217="","Not required",IF(J217&lt;&gt;"","Closed",IF(H217="","Awaiting dev. close",IF(AsOf&gt;P217,"Overdue","Open")))))</f>
        <v/>
      </c>
      <c r="R217" s="27" t="str">
        <f aca="false">IF(J217="","",IF(COUNTIFS($D$5:$D$400,D217,$F$5:$F$400,F217,$B$5:$B$400,"&gt;"&amp;J217,$B$5:$B$400,"&lt;="&amp;(J217+EffWin))&gt;0,"Ineffective",IF(AsOf-J217&gt;=EffWin,"Effective","Check pending")))</f>
        <v/>
      </c>
      <c r="S217" s="36" t="str">
        <f aca="false">IF(A217="","",DATE(YEAR(B217),MONTH(B217),1))</f>
        <v/>
      </c>
      <c r="T217" s="36" t="str">
        <f aca="false">IF(H217="","",DATE(YEAR(H217),MONTH(H217),1))</f>
        <v/>
      </c>
      <c r="U217" s="27" t="str">
        <f aca="false">IF(H217="","",IF(AsOf-H217&lt;=90,L217,""))</f>
        <v/>
      </c>
      <c r="V217" s="27" t="str">
        <f aca="false">IF(H217="","",IF(AND(AsOf-H217&gt;90,AsOf-H217&lt;=270),L217,""))</f>
        <v/>
      </c>
    </row>
    <row r="218" customFormat="false" ht="15" hidden="false" customHeight="false" outlineLevel="0" collapsed="false">
      <c r="A218" s="2"/>
      <c r="B218" s="37"/>
      <c r="C218" s="2"/>
      <c r="D218" s="2"/>
      <c r="E218" s="2"/>
      <c r="F218" s="2"/>
      <c r="G218" s="2"/>
      <c r="H218" s="37"/>
      <c r="I218" s="2"/>
      <c r="J218" s="37"/>
      <c r="K218" s="27" t="str">
        <f aca="false">IF(A218="","",IF(H218="","Open","Closed"))</f>
        <v/>
      </c>
      <c r="L218" s="27" t="str">
        <f aca="false">IF(A218="","",IF(H218="",AsOf-B218,H218-B218))</f>
        <v/>
      </c>
      <c r="M218" s="27" t="str">
        <f aca="false">IF(A218="","",IF(AND(K218="Open",L218&gt;Target),"Yes","No"))</f>
        <v/>
      </c>
      <c r="N218" s="27" t="str">
        <f aca="false">IF(K218&lt;&gt;"Open","",IF(L218&lt;=30,"0-30",IF(L218&lt;=60,"31-60",IF(L218&lt;=90,"61-90","90+"))))</f>
        <v/>
      </c>
      <c r="O218" s="27" t="str">
        <f aca="false">IF(A218="","",IF(COUNTIFS($D$5:$D$400,D218,$F$5:$F$400,F218,$B$5:$B$400,"&gt;="&amp;(B218-RepeatWin),$B$5:$B$400,"&lt;"&amp;B218)&gt;0,"Yes","No"))</f>
        <v/>
      </c>
      <c r="P218" s="35" t="str">
        <f aca="false">IF(OR(I218="",H218=""),"",H218+CapaDue)</f>
        <v/>
      </c>
      <c r="Q218" s="27" t="str">
        <f aca="false">IF(A218="","",IF(I218="","Not required",IF(J218&lt;&gt;"","Closed",IF(H218="","Awaiting dev. close",IF(AsOf&gt;P218,"Overdue","Open")))))</f>
        <v/>
      </c>
      <c r="R218" s="27" t="str">
        <f aca="false">IF(J218="","",IF(COUNTIFS($D$5:$D$400,D218,$F$5:$F$400,F218,$B$5:$B$400,"&gt;"&amp;J218,$B$5:$B$400,"&lt;="&amp;(J218+EffWin))&gt;0,"Ineffective",IF(AsOf-J218&gt;=EffWin,"Effective","Check pending")))</f>
        <v/>
      </c>
      <c r="S218" s="36" t="str">
        <f aca="false">IF(A218="","",DATE(YEAR(B218),MONTH(B218),1))</f>
        <v/>
      </c>
      <c r="T218" s="36" t="str">
        <f aca="false">IF(H218="","",DATE(YEAR(H218),MONTH(H218),1))</f>
        <v/>
      </c>
      <c r="U218" s="27" t="str">
        <f aca="false">IF(H218="","",IF(AsOf-H218&lt;=90,L218,""))</f>
        <v/>
      </c>
      <c r="V218" s="27" t="str">
        <f aca="false">IF(H218="","",IF(AND(AsOf-H218&gt;90,AsOf-H218&lt;=270),L218,""))</f>
        <v/>
      </c>
    </row>
    <row r="219" customFormat="false" ht="15" hidden="false" customHeight="false" outlineLevel="0" collapsed="false">
      <c r="A219" s="2"/>
      <c r="B219" s="37"/>
      <c r="C219" s="2"/>
      <c r="D219" s="2"/>
      <c r="E219" s="2"/>
      <c r="F219" s="2"/>
      <c r="G219" s="2"/>
      <c r="H219" s="37"/>
      <c r="I219" s="2"/>
      <c r="J219" s="37"/>
      <c r="K219" s="27" t="str">
        <f aca="false">IF(A219="","",IF(H219="","Open","Closed"))</f>
        <v/>
      </c>
      <c r="L219" s="27" t="str">
        <f aca="false">IF(A219="","",IF(H219="",AsOf-B219,H219-B219))</f>
        <v/>
      </c>
      <c r="M219" s="27" t="str">
        <f aca="false">IF(A219="","",IF(AND(K219="Open",L219&gt;Target),"Yes","No"))</f>
        <v/>
      </c>
      <c r="N219" s="27" t="str">
        <f aca="false">IF(K219&lt;&gt;"Open","",IF(L219&lt;=30,"0-30",IF(L219&lt;=60,"31-60",IF(L219&lt;=90,"61-90","90+"))))</f>
        <v/>
      </c>
      <c r="O219" s="27" t="str">
        <f aca="false">IF(A219="","",IF(COUNTIFS($D$5:$D$400,D219,$F$5:$F$400,F219,$B$5:$B$400,"&gt;="&amp;(B219-RepeatWin),$B$5:$B$400,"&lt;"&amp;B219)&gt;0,"Yes","No"))</f>
        <v/>
      </c>
      <c r="P219" s="35" t="str">
        <f aca="false">IF(OR(I219="",H219=""),"",H219+CapaDue)</f>
        <v/>
      </c>
      <c r="Q219" s="27" t="str">
        <f aca="false">IF(A219="","",IF(I219="","Not required",IF(J219&lt;&gt;"","Closed",IF(H219="","Awaiting dev. close",IF(AsOf&gt;P219,"Overdue","Open")))))</f>
        <v/>
      </c>
      <c r="R219" s="27" t="str">
        <f aca="false">IF(J219="","",IF(COUNTIFS($D$5:$D$400,D219,$F$5:$F$400,F219,$B$5:$B$400,"&gt;"&amp;J219,$B$5:$B$400,"&lt;="&amp;(J219+EffWin))&gt;0,"Ineffective",IF(AsOf-J219&gt;=EffWin,"Effective","Check pending")))</f>
        <v/>
      </c>
      <c r="S219" s="36" t="str">
        <f aca="false">IF(A219="","",DATE(YEAR(B219),MONTH(B219),1))</f>
        <v/>
      </c>
      <c r="T219" s="36" t="str">
        <f aca="false">IF(H219="","",DATE(YEAR(H219),MONTH(H219),1))</f>
        <v/>
      </c>
      <c r="U219" s="27" t="str">
        <f aca="false">IF(H219="","",IF(AsOf-H219&lt;=90,L219,""))</f>
        <v/>
      </c>
      <c r="V219" s="27" t="str">
        <f aca="false">IF(H219="","",IF(AND(AsOf-H219&gt;90,AsOf-H219&lt;=270),L219,""))</f>
        <v/>
      </c>
    </row>
    <row r="220" customFormat="false" ht="15" hidden="false" customHeight="false" outlineLevel="0" collapsed="false">
      <c r="A220" s="2"/>
      <c r="B220" s="37"/>
      <c r="C220" s="2"/>
      <c r="D220" s="2"/>
      <c r="E220" s="2"/>
      <c r="F220" s="2"/>
      <c r="G220" s="2"/>
      <c r="H220" s="37"/>
      <c r="I220" s="2"/>
      <c r="J220" s="37"/>
      <c r="K220" s="27" t="str">
        <f aca="false">IF(A220="","",IF(H220="","Open","Closed"))</f>
        <v/>
      </c>
      <c r="L220" s="27" t="str">
        <f aca="false">IF(A220="","",IF(H220="",AsOf-B220,H220-B220))</f>
        <v/>
      </c>
      <c r="M220" s="27" t="str">
        <f aca="false">IF(A220="","",IF(AND(K220="Open",L220&gt;Target),"Yes","No"))</f>
        <v/>
      </c>
      <c r="N220" s="27" t="str">
        <f aca="false">IF(K220&lt;&gt;"Open","",IF(L220&lt;=30,"0-30",IF(L220&lt;=60,"31-60",IF(L220&lt;=90,"61-90","90+"))))</f>
        <v/>
      </c>
      <c r="O220" s="27" t="str">
        <f aca="false">IF(A220="","",IF(COUNTIFS($D$5:$D$400,D220,$F$5:$F$400,F220,$B$5:$B$400,"&gt;="&amp;(B220-RepeatWin),$B$5:$B$400,"&lt;"&amp;B220)&gt;0,"Yes","No"))</f>
        <v/>
      </c>
      <c r="P220" s="35" t="str">
        <f aca="false">IF(OR(I220="",H220=""),"",H220+CapaDue)</f>
        <v/>
      </c>
      <c r="Q220" s="27" t="str">
        <f aca="false">IF(A220="","",IF(I220="","Not required",IF(J220&lt;&gt;"","Closed",IF(H220="","Awaiting dev. close",IF(AsOf&gt;P220,"Overdue","Open")))))</f>
        <v/>
      </c>
      <c r="R220" s="27" t="str">
        <f aca="false">IF(J220="","",IF(COUNTIFS($D$5:$D$400,D220,$F$5:$F$400,F220,$B$5:$B$400,"&gt;"&amp;J220,$B$5:$B$400,"&lt;="&amp;(J220+EffWin))&gt;0,"Ineffective",IF(AsOf-J220&gt;=EffWin,"Effective","Check pending")))</f>
        <v/>
      </c>
      <c r="S220" s="36" t="str">
        <f aca="false">IF(A220="","",DATE(YEAR(B220),MONTH(B220),1))</f>
        <v/>
      </c>
      <c r="T220" s="36" t="str">
        <f aca="false">IF(H220="","",DATE(YEAR(H220),MONTH(H220),1))</f>
        <v/>
      </c>
      <c r="U220" s="27" t="str">
        <f aca="false">IF(H220="","",IF(AsOf-H220&lt;=90,L220,""))</f>
        <v/>
      </c>
      <c r="V220" s="27" t="str">
        <f aca="false">IF(H220="","",IF(AND(AsOf-H220&gt;90,AsOf-H220&lt;=270),L220,""))</f>
        <v/>
      </c>
    </row>
    <row r="221" customFormat="false" ht="15" hidden="false" customHeight="false" outlineLevel="0" collapsed="false">
      <c r="A221" s="2"/>
      <c r="B221" s="37"/>
      <c r="C221" s="2"/>
      <c r="D221" s="2"/>
      <c r="E221" s="2"/>
      <c r="F221" s="2"/>
      <c r="G221" s="2"/>
      <c r="H221" s="37"/>
      <c r="I221" s="2"/>
      <c r="J221" s="37"/>
      <c r="K221" s="27" t="str">
        <f aca="false">IF(A221="","",IF(H221="","Open","Closed"))</f>
        <v/>
      </c>
      <c r="L221" s="27" t="str">
        <f aca="false">IF(A221="","",IF(H221="",AsOf-B221,H221-B221))</f>
        <v/>
      </c>
      <c r="M221" s="27" t="str">
        <f aca="false">IF(A221="","",IF(AND(K221="Open",L221&gt;Target),"Yes","No"))</f>
        <v/>
      </c>
      <c r="N221" s="27" t="str">
        <f aca="false">IF(K221&lt;&gt;"Open","",IF(L221&lt;=30,"0-30",IF(L221&lt;=60,"31-60",IF(L221&lt;=90,"61-90","90+"))))</f>
        <v/>
      </c>
      <c r="O221" s="27" t="str">
        <f aca="false">IF(A221="","",IF(COUNTIFS($D$5:$D$400,D221,$F$5:$F$400,F221,$B$5:$B$400,"&gt;="&amp;(B221-RepeatWin),$B$5:$B$400,"&lt;"&amp;B221)&gt;0,"Yes","No"))</f>
        <v/>
      </c>
      <c r="P221" s="35" t="str">
        <f aca="false">IF(OR(I221="",H221=""),"",H221+CapaDue)</f>
        <v/>
      </c>
      <c r="Q221" s="27" t="str">
        <f aca="false">IF(A221="","",IF(I221="","Not required",IF(J221&lt;&gt;"","Closed",IF(H221="","Awaiting dev. close",IF(AsOf&gt;P221,"Overdue","Open")))))</f>
        <v/>
      </c>
      <c r="R221" s="27" t="str">
        <f aca="false">IF(J221="","",IF(COUNTIFS($D$5:$D$400,D221,$F$5:$F$400,F221,$B$5:$B$400,"&gt;"&amp;J221,$B$5:$B$400,"&lt;="&amp;(J221+EffWin))&gt;0,"Ineffective",IF(AsOf-J221&gt;=EffWin,"Effective","Check pending")))</f>
        <v/>
      </c>
      <c r="S221" s="36" t="str">
        <f aca="false">IF(A221="","",DATE(YEAR(B221),MONTH(B221),1))</f>
        <v/>
      </c>
      <c r="T221" s="36" t="str">
        <f aca="false">IF(H221="","",DATE(YEAR(H221),MONTH(H221),1))</f>
        <v/>
      </c>
      <c r="U221" s="27" t="str">
        <f aca="false">IF(H221="","",IF(AsOf-H221&lt;=90,L221,""))</f>
        <v/>
      </c>
      <c r="V221" s="27" t="str">
        <f aca="false">IF(H221="","",IF(AND(AsOf-H221&gt;90,AsOf-H221&lt;=270),L221,""))</f>
        <v/>
      </c>
    </row>
    <row r="222" customFormat="false" ht="15" hidden="false" customHeight="false" outlineLevel="0" collapsed="false">
      <c r="A222" s="2"/>
      <c r="B222" s="37"/>
      <c r="C222" s="2"/>
      <c r="D222" s="2"/>
      <c r="E222" s="2"/>
      <c r="F222" s="2"/>
      <c r="G222" s="2"/>
      <c r="H222" s="37"/>
      <c r="I222" s="2"/>
      <c r="J222" s="37"/>
      <c r="K222" s="27" t="str">
        <f aca="false">IF(A222="","",IF(H222="","Open","Closed"))</f>
        <v/>
      </c>
      <c r="L222" s="27" t="str">
        <f aca="false">IF(A222="","",IF(H222="",AsOf-B222,H222-B222))</f>
        <v/>
      </c>
      <c r="M222" s="27" t="str">
        <f aca="false">IF(A222="","",IF(AND(K222="Open",L222&gt;Target),"Yes","No"))</f>
        <v/>
      </c>
      <c r="N222" s="27" t="str">
        <f aca="false">IF(K222&lt;&gt;"Open","",IF(L222&lt;=30,"0-30",IF(L222&lt;=60,"31-60",IF(L222&lt;=90,"61-90","90+"))))</f>
        <v/>
      </c>
      <c r="O222" s="27" t="str">
        <f aca="false">IF(A222="","",IF(COUNTIFS($D$5:$D$400,D222,$F$5:$F$400,F222,$B$5:$B$400,"&gt;="&amp;(B222-RepeatWin),$B$5:$B$400,"&lt;"&amp;B222)&gt;0,"Yes","No"))</f>
        <v/>
      </c>
      <c r="P222" s="35" t="str">
        <f aca="false">IF(OR(I222="",H222=""),"",H222+CapaDue)</f>
        <v/>
      </c>
      <c r="Q222" s="27" t="str">
        <f aca="false">IF(A222="","",IF(I222="","Not required",IF(J222&lt;&gt;"","Closed",IF(H222="","Awaiting dev. close",IF(AsOf&gt;P222,"Overdue","Open")))))</f>
        <v/>
      </c>
      <c r="R222" s="27" t="str">
        <f aca="false">IF(J222="","",IF(COUNTIFS($D$5:$D$400,D222,$F$5:$F$400,F222,$B$5:$B$400,"&gt;"&amp;J222,$B$5:$B$400,"&lt;="&amp;(J222+EffWin))&gt;0,"Ineffective",IF(AsOf-J222&gt;=EffWin,"Effective","Check pending")))</f>
        <v/>
      </c>
      <c r="S222" s="36" t="str">
        <f aca="false">IF(A222="","",DATE(YEAR(B222),MONTH(B222),1))</f>
        <v/>
      </c>
      <c r="T222" s="36" t="str">
        <f aca="false">IF(H222="","",DATE(YEAR(H222),MONTH(H222),1))</f>
        <v/>
      </c>
      <c r="U222" s="27" t="str">
        <f aca="false">IF(H222="","",IF(AsOf-H222&lt;=90,L222,""))</f>
        <v/>
      </c>
      <c r="V222" s="27" t="str">
        <f aca="false">IF(H222="","",IF(AND(AsOf-H222&gt;90,AsOf-H222&lt;=270),L222,""))</f>
        <v/>
      </c>
    </row>
    <row r="223" customFormat="false" ht="15" hidden="false" customHeight="false" outlineLevel="0" collapsed="false">
      <c r="A223" s="2"/>
      <c r="B223" s="37"/>
      <c r="C223" s="2"/>
      <c r="D223" s="2"/>
      <c r="E223" s="2"/>
      <c r="F223" s="2"/>
      <c r="G223" s="2"/>
      <c r="H223" s="37"/>
      <c r="I223" s="2"/>
      <c r="J223" s="37"/>
      <c r="K223" s="27" t="str">
        <f aca="false">IF(A223="","",IF(H223="","Open","Closed"))</f>
        <v/>
      </c>
      <c r="L223" s="27" t="str">
        <f aca="false">IF(A223="","",IF(H223="",AsOf-B223,H223-B223))</f>
        <v/>
      </c>
      <c r="M223" s="27" t="str">
        <f aca="false">IF(A223="","",IF(AND(K223="Open",L223&gt;Target),"Yes","No"))</f>
        <v/>
      </c>
      <c r="N223" s="27" t="str">
        <f aca="false">IF(K223&lt;&gt;"Open","",IF(L223&lt;=30,"0-30",IF(L223&lt;=60,"31-60",IF(L223&lt;=90,"61-90","90+"))))</f>
        <v/>
      </c>
      <c r="O223" s="27" t="str">
        <f aca="false">IF(A223="","",IF(COUNTIFS($D$5:$D$400,D223,$F$5:$F$400,F223,$B$5:$B$400,"&gt;="&amp;(B223-RepeatWin),$B$5:$B$400,"&lt;"&amp;B223)&gt;0,"Yes","No"))</f>
        <v/>
      </c>
      <c r="P223" s="35" t="str">
        <f aca="false">IF(OR(I223="",H223=""),"",H223+CapaDue)</f>
        <v/>
      </c>
      <c r="Q223" s="27" t="str">
        <f aca="false">IF(A223="","",IF(I223="","Not required",IF(J223&lt;&gt;"","Closed",IF(H223="","Awaiting dev. close",IF(AsOf&gt;P223,"Overdue","Open")))))</f>
        <v/>
      </c>
      <c r="R223" s="27" t="str">
        <f aca="false">IF(J223="","",IF(COUNTIFS($D$5:$D$400,D223,$F$5:$F$400,F223,$B$5:$B$400,"&gt;"&amp;J223,$B$5:$B$400,"&lt;="&amp;(J223+EffWin))&gt;0,"Ineffective",IF(AsOf-J223&gt;=EffWin,"Effective","Check pending")))</f>
        <v/>
      </c>
      <c r="S223" s="36" t="str">
        <f aca="false">IF(A223="","",DATE(YEAR(B223),MONTH(B223),1))</f>
        <v/>
      </c>
      <c r="T223" s="36" t="str">
        <f aca="false">IF(H223="","",DATE(YEAR(H223),MONTH(H223),1))</f>
        <v/>
      </c>
      <c r="U223" s="27" t="str">
        <f aca="false">IF(H223="","",IF(AsOf-H223&lt;=90,L223,""))</f>
        <v/>
      </c>
      <c r="V223" s="27" t="str">
        <f aca="false">IF(H223="","",IF(AND(AsOf-H223&gt;90,AsOf-H223&lt;=270),L223,""))</f>
        <v/>
      </c>
    </row>
    <row r="224" customFormat="false" ht="15" hidden="false" customHeight="false" outlineLevel="0" collapsed="false">
      <c r="A224" s="2"/>
      <c r="B224" s="37"/>
      <c r="C224" s="2"/>
      <c r="D224" s="2"/>
      <c r="E224" s="2"/>
      <c r="F224" s="2"/>
      <c r="G224" s="2"/>
      <c r="H224" s="37"/>
      <c r="I224" s="2"/>
      <c r="J224" s="37"/>
      <c r="K224" s="27" t="str">
        <f aca="false">IF(A224="","",IF(H224="","Open","Closed"))</f>
        <v/>
      </c>
      <c r="L224" s="27" t="str">
        <f aca="false">IF(A224="","",IF(H224="",AsOf-B224,H224-B224))</f>
        <v/>
      </c>
      <c r="M224" s="27" t="str">
        <f aca="false">IF(A224="","",IF(AND(K224="Open",L224&gt;Target),"Yes","No"))</f>
        <v/>
      </c>
      <c r="N224" s="27" t="str">
        <f aca="false">IF(K224&lt;&gt;"Open","",IF(L224&lt;=30,"0-30",IF(L224&lt;=60,"31-60",IF(L224&lt;=90,"61-90","90+"))))</f>
        <v/>
      </c>
      <c r="O224" s="27" t="str">
        <f aca="false">IF(A224="","",IF(COUNTIFS($D$5:$D$400,D224,$F$5:$F$400,F224,$B$5:$B$400,"&gt;="&amp;(B224-RepeatWin),$B$5:$B$400,"&lt;"&amp;B224)&gt;0,"Yes","No"))</f>
        <v/>
      </c>
      <c r="P224" s="35" t="str">
        <f aca="false">IF(OR(I224="",H224=""),"",H224+CapaDue)</f>
        <v/>
      </c>
      <c r="Q224" s="27" t="str">
        <f aca="false">IF(A224="","",IF(I224="","Not required",IF(J224&lt;&gt;"","Closed",IF(H224="","Awaiting dev. close",IF(AsOf&gt;P224,"Overdue","Open")))))</f>
        <v/>
      </c>
      <c r="R224" s="27" t="str">
        <f aca="false">IF(J224="","",IF(COUNTIFS($D$5:$D$400,D224,$F$5:$F$400,F224,$B$5:$B$400,"&gt;"&amp;J224,$B$5:$B$400,"&lt;="&amp;(J224+EffWin))&gt;0,"Ineffective",IF(AsOf-J224&gt;=EffWin,"Effective","Check pending")))</f>
        <v/>
      </c>
      <c r="S224" s="36" t="str">
        <f aca="false">IF(A224="","",DATE(YEAR(B224),MONTH(B224),1))</f>
        <v/>
      </c>
      <c r="T224" s="36" t="str">
        <f aca="false">IF(H224="","",DATE(YEAR(H224),MONTH(H224),1))</f>
        <v/>
      </c>
      <c r="U224" s="27" t="str">
        <f aca="false">IF(H224="","",IF(AsOf-H224&lt;=90,L224,""))</f>
        <v/>
      </c>
      <c r="V224" s="27" t="str">
        <f aca="false">IF(H224="","",IF(AND(AsOf-H224&gt;90,AsOf-H224&lt;=270),L224,""))</f>
        <v/>
      </c>
    </row>
    <row r="225" customFormat="false" ht="15" hidden="false" customHeight="false" outlineLevel="0" collapsed="false">
      <c r="A225" s="2"/>
      <c r="B225" s="37"/>
      <c r="C225" s="2"/>
      <c r="D225" s="2"/>
      <c r="E225" s="2"/>
      <c r="F225" s="2"/>
      <c r="G225" s="2"/>
      <c r="H225" s="37"/>
      <c r="I225" s="2"/>
      <c r="J225" s="37"/>
      <c r="K225" s="27" t="str">
        <f aca="false">IF(A225="","",IF(H225="","Open","Closed"))</f>
        <v/>
      </c>
      <c r="L225" s="27" t="str">
        <f aca="false">IF(A225="","",IF(H225="",AsOf-B225,H225-B225))</f>
        <v/>
      </c>
      <c r="M225" s="27" t="str">
        <f aca="false">IF(A225="","",IF(AND(K225="Open",L225&gt;Target),"Yes","No"))</f>
        <v/>
      </c>
      <c r="N225" s="27" t="str">
        <f aca="false">IF(K225&lt;&gt;"Open","",IF(L225&lt;=30,"0-30",IF(L225&lt;=60,"31-60",IF(L225&lt;=90,"61-90","90+"))))</f>
        <v/>
      </c>
      <c r="O225" s="27" t="str">
        <f aca="false">IF(A225="","",IF(COUNTIFS($D$5:$D$400,D225,$F$5:$F$400,F225,$B$5:$B$400,"&gt;="&amp;(B225-RepeatWin),$B$5:$B$400,"&lt;"&amp;B225)&gt;0,"Yes","No"))</f>
        <v/>
      </c>
      <c r="P225" s="35" t="str">
        <f aca="false">IF(OR(I225="",H225=""),"",H225+CapaDue)</f>
        <v/>
      </c>
      <c r="Q225" s="27" t="str">
        <f aca="false">IF(A225="","",IF(I225="","Not required",IF(J225&lt;&gt;"","Closed",IF(H225="","Awaiting dev. close",IF(AsOf&gt;P225,"Overdue","Open")))))</f>
        <v/>
      </c>
      <c r="R225" s="27" t="str">
        <f aca="false">IF(J225="","",IF(COUNTIFS($D$5:$D$400,D225,$F$5:$F$400,F225,$B$5:$B$400,"&gt;"&amp;J225,$B$5:$B$400,"&lt;="&amp;(J225+EffWin))&gt;0,"Ineffective",IF(AsOf-J225&gt;=EffWin,"Effective","Check pending")))</f>
        <v/>
      </c>
      <c r="S225" s="36" t="str">
        <f aca="false">IF(A225="","",DATE(YEAR(B225),MONTH(B225),1))</f>
        <v/>
      </c>
      <c r="T225" s="36" t="str">
        <f aca="false">IF(H225="","",DATE(YEAR(H225),MONTH(H225),1))</f>
        <v/>
      </c>
      <c r="U225" s="27" t="str">
        <f aca="false">IF(H225="","",IF(AsOf-H225&lt;=90,L225,""))</f>
        <v/>
      </c>
      <c r="V225" s="27" t="str">
        <f aca="false">IF(H225="","",IF(AND(AsOf-H225&gt;90,AsOf-H225&lt;=270),L225,""))</f>
        <v/>
      </c>
    </row>
    <row r="226" customFormat="false" ht="15" hidden="false" customHeight="false" outlineLevel="0" collapsed="false">
      <c r="A226" s="2"/>
      <c r="B226" s="37"/>
      <c r="C226" s="2"/>
      <c r="D226" s="2"/>
      <c r="E226" s="2"/>
      <c r="F226" s="2"/>
      <c r="G226" s="2"/>
      <c r="H226" s="37"/>
      <c r="I226" s="2"/>
      <c r="J226" s="37"/>
      <c r="K226" s="27" t="str">
        <f aca="false">IF(A226="","",IF(H226="","Open","Closed"))</f>
        <v/>
      </c>
      <c r="L226" s="27" t="str">
        <f aca="false">IF(A226="","",IF(H226="",AsOf-B226,H226-B226))</f>
        <v/>
      </c>
      <c r="M226" s="27" t="str">
        <f aca="false">IF(A226="","",IF(AND(K226="Open",L226&gt;Target),"Yes","No"))</f>
        <v/>
      </c>
      <c r="N226" s="27" t="str">
        <f aca="false">IF(K226&lt;&gt;"Open","",IF(L226&lt;=30,"0-30",IF(L226&lt;=60,"31-60",IF(L226&lt;=90,"61-90","90+"))))</f>
        <v/>
      </c>
      <c r="O226" s="27" t="str">
        <f aca="false">IF(A226="","",IF(COUNTIFS($D$5:$D$400,D226,$F$5:$F$400,F226,$B$5:$B$400,"&gt;="&amp;(B226-RepeatWin),$B$5:$B$400,"&lt;"&amp;B226)&gt;0,"Yes","No"))</f>
        <v/>
      </c>
      <c r="P226" s="35" t="str">
        <f aca="false">IF(OR(I226="",H226=""),"",H226+CapaDue)</f>
        <v/>
      </c>
      <c r="Q226" s="27" t="str">
        <f aca="false">IF(A226="","",IF(I226="","Not required",IF(J226&lt;&gt;"","Closed",IF(H226="","Awaiting dev. close",IF(AsOf&gt;P226,"Overdue","Open")))))</f>
        <v/>
      </c>
      <c r="R226" s="27" t="str">
        <f aca="false">IF(J226="","",IF(COUNTIFS($D$5:$D$400,D226,$F$5:$F$400,F226,$B$5:$B$400,"&gt;"&amp;J226,$B$5:$B$400,"&lt;="&amp;(J226+EffWin))&gt;0,"Ineffective",IF(AsOf-J226&gt;=EffWin,"Effective","Check pending")))</f>
        <v/>
      </c>
      <c r="S226" s="36" t="str">
        <f aca="false">IF(A226="","",DATE(YEAR(B226),MONTH(B226),1))</f>
        <v/>
      </c>
      <c r="T226" s="36" t="str">
        <f aca="false">IF(H226="","",DATE(YEAR(H226),MONTH(H226),1))</f>
        <v/>
      </c>
      <c r="U226" s="27" t="str">
        <f aca="false">IF(H226="","",IF(AsOf-H226&lt;=90,L226,""))</f>
        <v/>
      </c>
      <c r="V226" s="27" t="str">
        <f aca="false">IF(H226="","",IF(AND(AsOf-H226&gt;90,AsOf-H226&lt;=270),L226,""))</f>
        <v/>
      </c>
    </row>
    <row r="227" customFormat="false" ht="15" hidden="false" customHeight="false" outlineLevel="0" collapsed="false">
      <c r="A227" s="2"/>
      <c r="B227" s="37"/>
      <c r="C227" s="2"/>
      <c r="D227" s="2"/>
      <c r="E227" s="2"/>
      <c r="F227" s="2"/>
      <c r="G227" s="2"/>
      <c r="H227" s="37"/>
      <c r="I227" s="2"/>
      <c r="J227" s="37"/>
      <c r="K227" s="27" t="str">
        <f aca="false">IF(A227="","",IF(H227="","Open","Closed"))</f>
        <v/>
      </c>
      <c r="L227" s="27" t="str">
        <f aca="false">IF(A227="","",IF(H227="",AsOf-B227,H227-B227))</f>
        <v/>
      </c>
      <c r="M227" s="27" t="str">
        <f aca="false">IF(A227="","",IF(AND(K227="Open",L227&gt;Target),"Yes","No"))</f>
        <v/>
      </c>
      <c r="N227" s="27" t="str">
        <f aca="false">IF(K227&lt;&gt;"Open","",IF(L227&lt;=30,"0-30",IF(L227&lt;=60,"31-60",IF(L227&lt;=90,"61-90","90+"))))</f>
        <v/>
      </c>
      <c r="O227" s="27" t="str">
        <f aca="false">IF(A227="","",IF(COUNTIFS($D$5:$D$400,D227,$F$5:$F$400,F227,$B$5:$B$400,"&gt;="&amp;(B227-RepeatWin),$B$5:$B$400,"&lt;"&amp;B227)&gt;0,"Yes","No"))</f>
        <v/>
      </c>
      <c r="P227" s="35" t="str">
        <f aca="false">IF(OR(I227="",H227=""),"",H227+CapaDue)</f>
        <v/>
      </c>
      <c r="Q227" s="27" t="str">
        <f aca="false">IF(A227="","",IF(I227="","Not required",IF(J227&lt;&gt;"","Closed",IF(H227="","Awaiting dev. close",IF(AsOf&gt;P227,"Overdue","Open")))))</f>
        <v/>
      </c>
      <c r="R227" s="27" t="str">
        <f aca="false">IF(J227="","",IF(COUNTIFS($D$5:$D$400,D227,$F$5:$F$400,F227,$B$5:$B$400,"&gt;"&amp;J227,$B$5:$B$400,"&lt;="&amp;(J227+EffWin))&gt;0,"Ineffective",IF(AsOf-J227&gt;=EffWin,"Effective","Check pending")))</f>
        <v/>
      </c>
      <c r="S227" s="36" t="str">
        <f aca="false">IF(A227="","",DATE(YEAR(B227),MONTH(B227),1))</f>
        <v/>
      </c>
      <c r="T227" s="36" t="str">
        <f aca="false">IF(H227="","",DATE(YEAR(H227),MONTH(H227),1))</f>
        <v/>
      </c>
      <c r="U227" s="27" t="str">
        <f aca="false">IF(H227="","",IF(AsOf-H227&lt;=90,L227,""))</f>
        <v/>
      </c>
      <c r="V227" s="27" t="str">
        <f aca="false">IF(H227="","",IF(AND(AsOf-H227&gt;90,AsOf-H227&lt;=270),L227,""))</f>
        <v/>
      </c>
    </row>
    <row r="228" customFormat="false" ht="15" hidden="false" customHeight="false" outlineLevel="0" collapsed="false">
      <c r="A228" s="2"/>
      <c r="B228" s="37"/>
      <c r="C228" s="2"/>
      <c r="D228" s="2"/>
      <c r="E228" s="2"/>
      <c r="F228" s="2"/>
      <c r="G228" s="2"/>
      <c r="H228" s="37"/>
      <c r="I228" s="2"/>
      <c r="J228" s="37"/>
      <c r="K228" s="27" t="str">
        <f aca="false">IF(A228="","",IF(H228="","Open","Closed"))</f>
        <v/>
      </c>
      <c r="L228" s="27" t="str">
        <f aca="false">IF(A228="","",IF(H228="",AsOf-B228,H228-B228))</f>
        <v/>
      </c>
      <c r="M228" s="27" t="str">
        <f aca="false">IF(A228="","",IF(AND(K228="Open",L228&gt;Target),"Yes","No"))</f>
        <v/>
      </c>
      <c r="N228" s="27" t="str">
        <f aca="false">IF(K228&lt;&gt;"Open","",IF(L228&lt;=30,"0-30",IF(L228&lt;=60,"31-60",IF(L228&lt;=90,"61-90","90+"))))</f>
        <v/>
      </c>
      <c r="O228" s="27" t="str">
        <f aca="false">IF(A228="","",IF(COUNTIFS($D$5:$D$400,D228,$F$5:$F$400,F228,$B$5:$B$400,"&gt;="&amp;(B228-RepeatWin),$B$5:$B$400,"&lt;"&amp;B228)&gt;0,"Yes","No"))</f>
        <v/>
      </c>
      <c r="P228" s="35" t="str">
        <f aca="false">IF(OR(I228="",H228=""),"",H228+CapaDue)</f>
        <v/>
      </c>
      <c r="Q228" s="27" t="str">
        <f aca="false">IF(A228="","",IF(I228="","Not required",IF(J228&lt;&gt;"","Closed",IF(H228="","Awaiting dev. close",IF(AsOf&gt;P228,"Overdue","Open")))))</f>
        <v/>
      </c>
      <c r="R228" s="27" t="str">
        <f aca="false">IF(J228="","",IF(COUNTIFS($D$5:$D$400,D228,$F$5:$F$400,F228,$B$5:$B$400,"&gt;"&amp;J228,$B$5:$B$400,"&lt;="&amp;(J228+EffWin))&gt;0,"Ineffective",IF(AsOf-J228&gt;=EffWin,"Effective","Check pending")))</f>
        <v/>
      </c>
      <c r="S228" s="36" t="str">
        <f aca="false">IF(A228="","",DATE(YEAR(B228),MONTH(B228),1))</f>
        <v/>
      </c>
      <c r="T228" s="36" t="str">
        <f aca="false">IF(H228="","",DATE(YEAR(H228),MONTH(H228),1))</f>
        <v/>
      </c>
      <c r="U228" s="27" t="str">
        <f aca="false">IF(H228="","",IF(AsOf-H228&lt;=90,L228,""))</f>
        <v/>
      </c>
      <c r="V228" s="27" t="str">
        <f aca="false">IF(H228="","",IF(AND(AsOf-H228&gt;90,AsOf-H228&lt;=270),L228,""))</f>
        <v/>
      </c>
    </row>
    <row r="229" customFormat="false" ht="15" hidden="false" customHeight="false" outlineLevel="0" collapsed="false">
      <c r="A229" s="2"/>
      <c r="B229" s="37"/>
      <c r="C229" s="2"/>
      <c r="D229" s="2"/>
      <c r="E229" s="2"/>
      <c r="F229" s="2"/>
      <c r="G229" s="2"/>
      <c r="H229" s="37"/>
      <c r="I229" s="2"/>
      <c r="J229" s="37"/>
      <c r="K229" s="27" t="str">
        <f aca="false">IF(A229="","",IF(H229="","Open","Closed"))</f>
        <v/>
      </c>
      <c r="L229" s="27" t="str">
        <f aca="false">IF(A229="","",IF(H229="",AsOf-B229,H229-B229))</f>
        <v/>
      </c>
      <c r="M229" s="27" t="str">
        <f aca="false">IF(A229="","",IF(AND(K229="Open",L229&gt;Target),"Yes","No"))</f>
        <v/>
      </c>
      <c r="N229" s="27" t="str">
        <f aca="false">IF(K229&lt;&gt;"Open","",IF(L229&lt;=30,"0-30",IF(L229&lt;=60,"31-60",IF(L229&lt;=90,"61-90","90+"))))</f>
        <v/>
      </c>
      <c r="O229" s="27" t="str">
        <f aca="false">IF(A229="","",IF(COUNTIFS($D$5:$D$400,D229,$F$5:$F$400,F229,$B$5:$B$400,"&gt;="&amp;(B229-RepeatWin),$B$5:$B$400,"&lt;"&amp;B229)&gt;0,"Yes","No"))</f>
        <v/>
      </c>
      <c r="P229" s="35" t="str">
        <f aca="false">IF(OR(I229="",H229=""),"",H229+CapaDue)</f>
        <v/>
      </c>
      <c r="Q229" s="27" t="str">
        <f aca="false">IF(A229="","",IF(I229="","Not required",IF(J229&lt;&gt;"","Closed",IF(H229="","Awaiting dev. close",IF(AsOf&gt;P229,"Overdue","Open")))))</f>
        <v/>
      </c>
      <c r="R229" s="27" t="str">
        <f aca="false">IF(J229="","",IF(COUNTIFS($D$5:$D$400,D229,$F$5:$F$400,F229,$B$5:$B$400,"&gt;"&amp;J229,$B$5:$B$400,"&lt;="&amp;(J229+EffWin))&gt;0,"Ineffective",IF(AsOf-J229&gt;=EffWin,"Effective","Check pending")))</f>
        <v/>
      </c>
      <c r="S229" s="36" t="str">
        <f aca="false">IF(A229="","",DATE(YEAR(B229),MONTH(B229),1))</f>
        <v/>
      </c>
      <c r="T229" s="36" t="str">
        <f aca="false">IF(H229="","",DATE(YEAR(H229),MONTH(H229),1))</f>
        <v/>
      </c>
      <c r="U229" s="27" t="str">
        <f aca="false">IF(H229="","",IF(AsOf-H229&lt;=90,L229,""))</f>
        <v/>
      </c>
      <c r="V229" s="27" t="str">
        <f aca="false">IF(H229="","",IF(AND(AsOf-H229&gt;90,AsOf-H229&lt;=270),L229,""))</f>
        <v/>
      </c>
    </row>
    <row r="230" customFormat="false" ht="15" hidden="false" customHeight="false" outlineLevel="0" collapsed="false">
      <c r="A230" s="2"/>
      <c r="B230" s="37"/>
      <c r="C230" s="2"/>
      <c r="D230" s="2"/>
      <c r="E230" s="2"/>
      <c r="F230" s="2"/>
      <c r="G230" s="2"/>
      <c r="H230" s="37"/>
      <c r="I230" s="2"/>
      <c r="J230" s="37"/>
      <c r="K230" s="27" t="str">
        <f aca="false">IF(A230="","",IF(H230="","Open","Closed"))</f>
        <v/>
      </c>
      <c r="L230" s="27" t="str">
        <f aca="false">IF(A230="","",IF(H230="",AsOf-B230,H230-B230))</f>
        <v/>
      </c>
      <c r="M230" s="27" t="str">
        <f aca="false">IF(A230="","",IF(AND(K230="Open",L230&gt;Target),"Yes","No"))</f>
        <v/>
      </c>
      <c r="N230" s="27" t="str">
        <f aca="false">IF(K230&lt;&gt;"Open","",IF(L230&lt;=30,"0-30",IF(L230&lt;=60,"31-60",IF(L230&lt;=90,"61-90","90+"))))</f>
        <v/>
      </c>
      <c r="O230" s="27" t="str">
        <f aca="false">IF(A230="","",IF(COUNTIFS($D$5:$D$400,D230,$F$5:$F$400,F230,$B$5:$B$400,"&gt;="&amp;(B230-RepeatWin),$B$5:$B$400,"&lt;"&amp;B230)&gt;0,"Yes","No"))</f>
        <v/>
      </c>
      <c r="P230" s="35" t="str">
        <f aca="false">IF(OR(I230="",H230=""),"",H230+CapaDue)</f>
        <v/>
      </c>
      <c r="Q230" s="27" t="str">
        <f aca="false">IF(A230="","",IF(I230="","Not required",IF(J230&lt;&gt;"","Closed",IF(H230="","Awaiting dev. close",IF(AsOf&gt;P230,"Overdue","Open")))))</f>
        <v/>
      </c>
      <c r="R230" s="27" t="str">
        <f aca="false">IF(J230="","",IF(COUNTIFS($D$5:$D$400,D230,$F$5:$F$400,F230,$B$5:$B$400,"&gt;"&amp;J230,$B$5:$B$400,"&lt;="&amp;(J230+EffWin))&gt;0,"Ineffective",IF(AsOf-J230&gt;=EffWin,"Effective","Check pending")))</f>
        <v/>
      </c>
      <c r="S230" s="36" t="str">
        <f aca="false">IF(A230="","",DATE(YEAR(B230),MONTH(B230),1))</f>
        <v/>
      </c>
      <c r="T230" s="36" t="str">
        <f aca="false">IF(H230="","",DATE(YEAR(H230),MONTH(H230),1))</f>
        <v/>
      </c>
      <c r="U230" s="27" t="str">
        <f aca="false">IF(H230="","",IF(AsOf-H230&lt;=90,L230,""))</f>
        <v/>
      </c>
      <c r="V230" s="27" t="str">
        <f aca="false">IF(H230="","",IF(AND(AsOf-H230&gt;90,AsOf-H230&lt;=270),L230,""))</f>
        <v/>
      </c>
    </row>
    <row r="231" customFormat="false" ht="15" hidden="false" customHeight="false" outlineLevel="0" collapsed="false">
      <c r="A231" s="2"/>
      <c r="B231" s="37"/>
      <c r="C231" s="2"/>
      <c r="D231" s="2"/>
      <c r="E231" s="2"/>
      <c r="F231" s="2"/>
      <c r="G231" s="2"/>
      <c r="H231" s="37"/>
      <c r="I231" s="2"/>
      <c r="J231" s="37"/>
      <c r="K231" s="27" t="str">
        <f aca="false">IF(A231="","",IF(H231="","Open","Closed"))</f>
        <v/>
      </c>
      <c r="L231" s="27" t="str">
        <f aca="false">IF(A231="","",IF(H231="",AsOf-B231,H231-B231))</f>
        <v/>
      </c>
      <c r="M231" s="27" t="str">
        <f aca="false">IF(A231="","",IF(AND(K231="Open",L231&gt;Target),"Yes","No"))</f>
        <v/>
      </c>
      <c r="N231" s="27" t="str">
        <f aca="false">IF(K231&lt;&gt;"Open","",IF(L231&lt;=30,"0-30",IF(L231&lt;=60,"31-60",IF(L231&lt;=90,"61-90","90+"))))</f>
        <v/>
      </c>
      <c r="O231" s="27" t="str">
        <f aca="false">IF(A231="","",IF(COUNTIFS($D$5:$D$400,D231,$F$5:$F$400,F231,$B$5:$B$400,"&gt;="&amp;(B231-RepeatWin),$B$5:$B$400,"&lt;"&amp;B231)&gt;0,"Yes","No"))</f>
        <v/>
      </c>
      <c r="P231" s="35" t="str">
        <f aca="false">IF(OR(I231="",H231=""),"",H231+CapaDue)</f>
        <v/>
      </c>
      <c r="Q231" s="27" t="str">
        <f aca="false">IF(A231="","",IF(I231="","Not required",IF(J231&lt;&gt;"","Closed",IF(H231="","Awaiting dev. close",IF(AsOf&gt;P231,"Overdue","Open")))))</f>
        <v/>
      </c>
      <c r="R231" s="27" t="str">
        <f aca="false">IF(J231="","",IF(COUNTIFS($D$5:$D$400,D231,$F$5:$F$400,F231,$B$5:$B$400,"&gt;"&amp;J231,$B$5:$B$400,"&lt;="&amp;(J231+EffWin))&gt;0,"Ineffective",IF(AsOf-J231&gt;=EffWin,"Effective","Check pending")))</f>
        <v/>
      </c>
      <c r="S231" s="36" t="str">
        <f aca="false">IF(A231="","",DATE(YEAR(B231),MONTH(B231),1))</f>
        <v/>
      </c>
      <c r="T231" s="36" t="str">
        <f aca="false">IF(H231="","",DATE(YEAR(H231),MONTH(H231),1))</f>
        <v/>
      </c>
      <c r="U231" s="27" t="str">
        <f aca="false">IF(H231="","",IF(AsOf-H231&lt;=90,L231,""))</f>
        <v/>
      </c>
      <c r="V231" s="27" t="str">
        <f aca="false">IF(H231="","",IF(AND(AsOf-H231&gt;90,AsOf-H231&lt;=270),L231,""))</f>
        <v/>
      </c>
    </row>
    <row r="232" customFormat="false" ht="15" hidden="false" customHeight="false" outlineLevel="0" collapsed="false">
      <c r="A232" s="2"/>
      <c r="B232" s="37"/>
      <c r="C232" s="2"/>
      <c r="D232" s="2"/>
      <c r="E232" s="2"/>
      <c r="F232" s="2"/>
      <c r="G232" s="2"/>
      <c r="H232" s="37"/>
      <c r="I232" s="2"/>
      <c r="J232" s="37"/>
      <c r="K232" s="27" t="str">
        <f aca="false">IF(A232="","",IF(H232="","Open","Closed"))</f>
        <v/>
      </c>
      <c r="L232" s="27" t="str">
        <f aca="false">IF(A232="","",IF(H232="",AsOf-B232,H232-B232))</f>
        <v/>
      </c>
      <c r="M232" s="27" t="str">
        <f aca="false">IF(A232="","",IF(AND(K232="Open",L232&gt;Target),"Yes","No"))</f>
        <v/>
      </c>
      <c r="N232" s="27" t="str">
        <f aca="false">IF(K232&lt;&gt;"Open","",IF(L232&lt;=30,"0-30",IF(L232&lt;=60,"31-60",IF(L232&lt;=90,"61-90","90+"))))</f>
        <v/>
      </c>
      <c r="O232" s="27" t="str">
        <f aca="false">IF(A232="","",IF(COUNTIFS($D$5:$D$400,D232,$F$5:$F$400,F232,$B$5:$B$400,"&gt;="&amp;(B232-RepeatWin),$B$5:$B$400,"&lt;"&amp;B232)&gt;0,"Yes","No"))</f>
        <v/>
      </c>
      <c r="P232" s="35" t="str">
        <f aca="false">IF(OR(I232="",H232=""),"",H232+CapaDue)</f>
        <v/>
      </c>
      <c r="Q232" s="27" t="str">
        <f aca="false">IF(A232="","",IF(I232="","Not required",IF(J232&lt;&gt;"","Closed",IF(H232="","Awaiting dev. close",IF(AsOf&gt;P232,"Overdue","Open")))))</f>
        <v/>
      </c>
      <c r="R232" s="27" t="str">
        <f aca="false">IF(J232="","",IF(COUNTIFS($D$5:$D$400,D232,$F$5:$F$400,F232,$B$5:$B$400,"&gt;"&amp;J232,$B$5:$B$400,"&lt;="&amp;(J232+EffWin))&gt;0,"Ineffective",IF(AsOf-J232&gt;=EffWin,"Effective","Check pending")))</f>
        <v/>
      </c>
      <c r="S232" s="36" t="str">
        <f aca="false">IF(A232="","",DATE(YEAR(B232),MONTH(B232),1))</f>
        <v/>
      </c>
      <c r="T232" s="36" t="str">
        <f aca="false">IF(H232="","",DATE(YEAR(H232),MONTH(H232),1))</f>
        <v/>
      </c>
      <c r="U232" s="27" t="str">
        <f aca="false">IF(H232="","",IF(AsOf-H232&lt;=90,L232,""))</f>
        <v/>
      </c>
      <c r="V232" s="27" t="str">
        <f aca="false">IF(H232="","",IF(AND(AsOf-H232&gt;90,AsOf-H232&lt;=270),L232,""))</f>
        <v/>
      </c>
    </row>
    <row r="233" customFormat="false" ht="15" hidden="false" customHeight="false" outlineLevel="0" collapsed="false">
      <c r="A233" s="2"/>
      <c r="B233" s="37"/>
      <c r="C233" s="2"/>
      <c r="D233" s="2"/>
      <c r="E233" s="2"/>
      <c r="F233" s="2"/>
      <c r="G233" s="2"/>
      <c r="H233" s="37"/>
      <c r="I233" s="2"/>
      <c r="J233" s="37"/>
      <c r="K233" s="27" t="str">
        <f aca="false">IF(A233="","",IF(H233="","Open","Closed"))</f>
        <v/>
      </c>
      <c r="L233" s="27" t="str">
        <f aca="false">IF(A233="","",IF(H233="",AsOf-B233,H233-B233))</f>
        <v/>
      </c>
      <c r="M233" s="27" t="str">
        <f aca="false">IF(A233="","",IF(AND(K233="Open",L233&gt;Target),"Yes","No"))</f>
        <v/>
      </c>
      <c r="N233" s="27" t="str">
        <f aca="false">IF(K233&lt;&gt;"Open","",IF(L233&lt;=30,"0-30",IF(L233&lt;=60,"31-60",IF(L233&lt;=90,"61-90","90+"))))</f>
        <v/>
      </c>
      <c r="O233" s="27" t="str">
        <f aca="false">IF(A233="","",IF(COUNTIFS($D$5:$D$400,D233,$F$5:$F$400,F233,$B$5:$B$400,"&gt;="&amp;(B233-RepeatWin),$B$5:$B$400,"&lt;"&amp;B233)&gt;0,"Yes","No"))</f>
        <v/>
      </c>
      <c r="P233" s="35" t="str">
        <f aca="false">IF(OR(I233="",H233=""),"",H233+CapaDue)</f>
        <v/>
      </c>
      <c r="Q233" s="27" t="str">
        <f aca="false">IF(A233="","",IF(I233="","Not required",IF(J233&lt;&gt;"","Closed",IF(H233="","Awaiting dev. close",IF(AsOf&gt;P233,"Overdue","Open")))))</f>
        <v/>
      </c>
      <c r="R233" s="27" t="str">
        <f aca="false">IF(J233="","",IF(COUNTIFS($D$5:$D$400,D233,$F$5:$F$400,F233,$B$5:$B$400,"&gt;"&amp;J233,$B$5:$B$400,"&lt;="&amp;(J233+EffWin))&gt;0,"Ineffective",IF(AsOf-J233&gt;=EffWin,"Effective","Check pending")))</f>
        <v/>
      </c>
      <c r="S233" s="36" t="str">
        <f aca="false">IF(A233="","",DATE(YEAR(B233),MONTH(B233),1))</f>
        <v/>
      </c>
      <c r="T233" s="36" t="str">
        <f aca="false">IF(H233="","",DATE(YEAR(H233),MONTH(H233),1))</f>
        <v/>
      </c>
      <c r="U233" s="27" t="str">
        <f aca="false">IF(H233="","",IF(AsOf-H233&lt;=90,L233,""))</f>
        <v/>
      </c>
      <c r="V233" s="27" t="str">
        <f aca="false">IF(H233="","",IF(AND(AsOf-H233&gt;90,AsOf-H233&lt;=270),L233,""))</f>
        <v/>
      </c>
    </row>
    <row r="234" customFormat="false" ht="15" hidden="false" customHeight="false" outlineLevel="0" collapsed="false">
      <c r="A234" s="2"/>
      <c r="B234" s="37"/>
      <c r="C234" s="2"/>
      <c r="D234" s="2"/>
      <c r="E234" s="2"/>
      <c r="F234" s="2"/>
      <c r="G234" s="2"/>
      <c r="H234" s="37"/>
      <c r="I234" s="2"/>
      <c r="J234" s="37"/>
      <c r="K234" s="27" t="str">
        <f aca="false">IF(A234="","",IF(H234="","Open","Closed"))</f>
        <v/>
      </c>
      <c r="L234" s="27" t="str">
        <f aca="false">IF(A234="","",IF(H234="",AsOf-B234,H234-B234))</f>
        <v/>
      </c>
      <c r="M234" s="27" t="str">
        <f aca="false">IF(A234="","",IF(AND(K234="Open",L234&gt;Target),"Yes","No"))</f>
        <v/>
      </c>
      <c r="N234" s="27" t="str">
        <f aca="false">IF(K234&lt;&gt;"Open","",IF(L234&lt;=30,"0-30",IF(L234&lt;=60,"31-60",IF(L234&lt;=90,"61-90","90+"))))</f>
        <v/>
      </c>
      <c r="O234" s="27" t="str">
        <f aca="false">IF(A234="","",IF(COUNTIFS($D$5:$D$400,D234,$F$5:$F$400,F234,$B$5:$B$400,"&gt;="&amp;(B234-RepeatWin),$B$5:$B$400,"&lt;"&amp;B234)&gt;0,"Yes","No"))</f>
        <v/>
      </c>
      <c r="P234" s="35" t="str">
        <f aca="false">IF(OR(I234="",H234=""),"",H234+CapaDue)</f>
        <v/>
      </c>
      <c r="Q234" s="27" t="str">
        <f aca="false">IF(A234="","",IF(I234="","Not required",IF(J234&lt;&gt;"","Closed",IF(H234="","Awaiting dev. close",IF(AsOf&gt;P234,"Overdue","Open")))))</f>
        <v/>
      </c>
      <c r="R234" s="27" t="str">
        <f aca="false">IF(J234="","",IF(COUNTIFS($D$5:$D$400,D234,$F$5:$F$400,F234,$B$5:$B$400,"&gt;"&amp;J234,$B$5:$B$400,"&lt;="&amp;(J234+EffWin))&gt;0,"Ineffective",IF(AsOf-J234&gt;=EffWin,"Effective","Check pending")))</f>
        <v/>
      </c>
      <c r="S234" s="36" t="str">
        <f aca="false">IF(A234="","",DATE(YEAR(B234),MONTH(B234),1))</f>
        <v/>
      </c>
      <c r="T234" s="36" t="str">
        <f aca="false">IF(H234="","",DATE(YEAR(H234),MONTH(H234),1))</f>
        <v/>
      </c>
      <c r="U234" s="27" t="str">
        <f aca="false">IF(H234="","",IF(AsOf-H234&lt;=90,L234,""))</f>
        <v/>
      </c>
      <c r="V234" s="27" t="str">
        <f aca="false">IF(H234="","",IF(AND(AsOf-H234&gt;90,AsOf-H234&lt;=270),L234,""))</f>
        <v/>
      </c>
    </row>
    <row r="235" customFormat="false" ht="15" hidden="false" customHeight="false" outlineLevel="0" collapsed="false">
      <c r="A235" s="2"/>
      <c r="B235" s="37"/>
      <c r="C235" s="2"/>
      <c r="D235" s="2"/>
      <c r="E235" s="2"/>
      <c r="F235" s="2"/>
      <c r="G235" s="2"/>
      <c r="H235" s="37"/>
      <c r="I235" s="2"/>
      <c r="J235" s="37"/>
      <c r="K235" s="27" t="str">
        <f aca="false">IF(A235="","",IF(H235="","Open","Closed"))</f>
        <v/>
      </c>
      <c r="L235" s="27" t="str">
        <f aca="false">IF(A235="","",IF(H235="",AsOf-B235,H235-B235))</f>
        <v/>
      </c>
      <c r="M235" s="27" t="str">
        <f aca="false">IF(A235="","",IF(AND(K235="Open",L235&gt;Target),"Yes","No"))</f>
        <v/>
      </c>
      <c r="N235" s="27" t="str">
        <f aca="false">IF(K235&lt;&gt;"Open","",IF(L235&lt;=30,"0-30",IF(L235&lt;=60,"31-60",IF(L235&lt;=90,"61-90","90+"))))</f>
        <v/>
      </c>
      <c r="O235" s="27" t="str">
        <f aca="false">IF(A235="","",IF(COUNTIFS($D$5:$D$400,D235,$F$5:$F$400,F235,$B$5:$B$400,"&gt;="&amp;(B235-RepeatWin),$B$5:$B$400,"&lt;"&amp;B235)&gt;0,"Yes","No"))</f>
        <v/>
      </c>
      <c r="P235" s="35" t="str">
        <f aca="false">IF(OR(I235="",H235=""),"",H235+CapaDue)</f>
        <v/>
      </c>
      <c r="Q235" s="27" t="str">
        <f aca="false">IF(A235="","",IF(I235="","Not required",IF(J235&lt;&gt;"","Closed",IF(H235="","Awaiting dev. close",IF(AsOf&gt;P235,"Overdue","Open")))))</f>
        <v/>
      </c>
      <c r="R235" s="27" t="str">
        <f aca="false">IF(J235="","",IF(COUNTIFS($D$5:$D$400,D235,$F$5:$F$400,F235,$B$5:$B$400,"&gt;"&amp;J235,$B$5:$B$400,"&lt;="&amp;(J235+EffWin))&gt;0,"Ineffective",IF(AsOf-J235&gt;=EffWin,"Effective","Check pending")))</f>
        <v/>
      </c>
      <c r="S235" s="36" t="str">
        <f aca="false">IF(A235="","",DATE(YEAR(B235),MONTH(B235),1))</f>
        <v/>
      </c>
      <c r="T235" s="36" t="str">
        <f aca="false">IF(H235="","",DATE(YEAR(H235),MONTH(H235),1))</f>
        <v/>
      </c>
      <c r="U235" s="27" t="str">
        <f aca="false">IF(H235="","",IF(AsOf-H235&lt;=90,L235,""))</f>
        <v/>
      </c>
      <c r="V235" s="27" t="str">
        <f aca="false">IF(H235="","",IF(AND(AsOf-H235&gt;90,AsOf-H235&lt;=270),L235,""))</f>
        <v/>
      </c>
    </row>
    <row r="236" customFormat="false" ht="15" hidden="false" customHeight="false" outlineLevel="0" collapsed="false">
      <c r="A236" s="2"/>
      <c r="B236" s="37"/>
      <c r="C236" s="2"/>
      <c r="D236" s="2"/>
      <c r="E236" s="2"/>
      <c r="F236" s="2"/>
      <c r="G236" s="2"/>
      <c r="H236" s="37"/>
      <c r="I236" s="2"/>
      <c r="J236" s="37"/>
      <c r="K236" s="27" t="str">
        <f aca="false">IF(A236="","",IF(H236="","Open","Closed"))</f>
        <v/>
      </c>
      <c r="L236" s="27" t="str">
        <f aca="false">IF(A236="","",IF(H236="",AsOf-B236,H236-B236))</f>
        <v/>
      </c>
      <c r="M236" s="27" t="str">
        <f aca="false">IF(A236="","",IF(AND(K236="Open",L236&gt;Target),"Yes","No"))</f>
        <v/>
      </c>
      <c r="N236" s="27" t="str">
        <f aca="false">IF(K236&lt;&gt;"Open","",IF(L236&lt;=30,"0-30",IF(L236&lt;=60,"31-60",IF(L236&lt;=90,"61-90","90+"))))</f>
        <v/>
      </c>
      <c r="O236" s="27" t="str">
        <f aca="false">IF(A236="","",IF(COUNTIFS($D$5:$D$400,D236,$F$5:$F$400,F236,$B$5:$B$400,"&gt;="&amp;(B236-RepeatWin),$B$5:$B$400,"&lt;"&amp;B236)&gt;0,"Yes","No"))</f>
        <v/>
      </c>
      <c r="P236" s="35" t="str">
        <f aca="false">IF(OR(I236="",H236=""),"",H236+CapaDue)</f>
        <v/>
      </c>
      <c r="Q236" s="27" t="str">
        <f aca="false">IF(A236="","",IF(I236="","Not required",IF(J236&lt;&gt;"","Closed",IF(H236="","Awaiting dev. close",IF(AsOf&gt;P236,"Overdue","Open")))))</f>
        <v/>
      </c>
      <c r="R236" s="27" t="str">
        <f aca="false">IF(J236="","",IF(COUNTIFS($D$5:$D$400,D236,$F$5:$F$400,F236,$B$5:$B$400,"&gt;"&amp;J236,$B$5:$B$400,"&lt;="&amp;(J236+EffWin))&gt;0,"Ineffective",IF(AsOf-J236&gt;=EffWin,"Effective","Check pending")))</f>
        <v/>
      </c>
      <c r="S236" s="36" t="str">
        <f aca="false">IF(A236="","",DATE(YEAR(B236),MONTH(B236),1))</f>
        <v/>
      </c>
      <c r="T236" s="36" t="str">
        <f aca="false">IF(H236="","",DATE(YEAR(H236),MONTH(H236),1))</f>
        <v/>
      </c>
      <c r="U236" s="27" t="str">
        <f aca="false">IF(H236="","",IF(AsOf-H236&lt;=90,L236,""))</f>
        <v/>
      </c>
      <c r="V236" s="27" t="str">
        <f aca="false">IF(H236="","",IF(AND(AsOf-H236&gt;90,AsOf-H236&lt;=270),L236,""))</f>
        <v/>
      </c>
    </row>
    <row r="237" customFormat="false" ht="15" hidden="false" customHeight="false" outlineLevel="0" collapsed="false">
      <c r="A237" s="2"/>
      <c r="B237" s="37"/>
      <c r="C237" s="2"/>
      <c r="D237" s="2"/>
      <c r="E237" s="2"/>
      <c r="F237" s="2"/>
      <c r="G237" s="2"/>
      <c r="H237" s="37"/>
      <c r="I237" s="2"/>
      <c r="J237" s="37"/>
      <c r="K237" s="27" t="str">
        <f aca="false">IF(A237="","",IF(H237="","Open","Closed"))</f>
        <v/>
      </c>
      <c r="L237" s="27" t="str">
        <f aca="false">IF(A237="","",IF(H237="",AsOf-B237,H237-B237))</f>
        <v/>
      </c>
      <c r="M237" s="27" t="str">
        <f aca="false">IF(A237="","",IF(AND(K237="Open",L237&gt;Target),"Yes","No"))</f>
        <v/>
      </c>
      <c r="N237" s="27" t="str">
        <f aca="false">IF(K237&lt;&gt;"Open","",IF(L237&lt;=30,"0-30",IF(L237&lt;=60,"31-60",IF(L237&lt;=90,"61-90","90+"))))</f>
        <v/>
      </c>
      <c r="O237" s="27" t="str">
        <f aca="false">IF(A237="","",IF(COUNTIFS($D$5:$D$400,D237,$F$5:$F$400,F237,$B$5:$B$400,"&gt;="&amp;(B237-RepeatWin),$B$5:$B$400,"&lt;"&amp;B237)&gt;0,"Yes","No"))</f>
        <v/>
      </c>
      <c r="P237" s="35" t="str">
        <f aca="false">IF(OR(I237="",H237=""),"",H237+CapaDue)</f>
        <v/>
      </c>
      <c r="Q237" s="27" t="str">
        <f aca="false">IF(A237="","",IF(I237="","Not required",IF(J237&lt;&gt;"","Closed",IF(H237="","Awaiting dev. close",IF(AsOf&gt;P237,"Overdue","Open")))))</f>
        <v/>
      </c>
      <c r="R237" s="27" t="str">
        <f aca="false">IF(J237="","",IF(COUNTIFS($D$5:$D$400,D237,$F$5:$F$400,F237,$B$5:$B$400,"&gt;"&amp;J237,$B$5:$B$400,"&lt;="&amp;(J237+EffWin))&gt;0,"Ineffective",IF(AsOf-J237&gt;=EffWin,"Effective","Check pending")))</f>
        <v/>
      </c>
      <c r="S237" s="36" t="str">
        <f aca="false">IF(A237="","",DATE(YEAR(B237),MONTH(B237),1))</f>
        <v/>
      </c>
      <c r="T237" s="36" t="str">
        <f aca="false">IF(H237="","",DATE(YEAR(H237),MONTH(H237),1))</f>
        <v/>
      </c>
      <c r="U237" s="27" t="str">
        <f aca="false">IF(H237="","",IF(AsOf-H237&lt;=90,L237,""))</f>
        <v/>
      </c>
      <c r="V237" s="27" t="str">
        <f aca="false">IF(H237="","",IF(AND(AsOf-H237&gt;90,AsOf-H237&lt;=270),L237,""))</f>
        <v/>
      </c>
    </row>
    <row r="238" customFormat="false" ht="15" hidden="false" customHeight="false" outlineLevel="0" collapsed="false">
      <c r="A238" s="2"/>
      <c r="B238" s="37"/>
      <c r="C238" s="2"/>
      <c r="D238" s="2"/>
      <c r="E238" s="2"/>
      <c r="F238" s="2"/>
      <c r="G238" s="2"/>
      <c r="H238" s="37"/>
      <c r="I238" s="2"/>
      <c r="J238" s="37"/>
      <c r="K238" s="27" t="str">
        <f aca="false">IF(A238="","",IF(H238="","Open","Closed"))</f>
        <v/>
      </c>
      <c r="L238" s="27" t="str">
        <f aca="false">IF(A238="","",IF(H238="",AsOf-B238,H238-B238))</f>
        <v/>
      </c>
      <c r="M238" s="27" t="str">
        <f aca="false">IF(A238="","",IF(AND(K238="Open",L238&gt;Target),"Yes","No"))</f>
        <v/>
      </c>
      <c r="N238" s="27" t="str">
        <f aca="false">IF(K238&lt;&gt;"Open","",IF(L238&lt;=30,"0-30",IF(L238&lt;=60,"31-60",IF(L238&lt;=90,"61-90","90+"))))</f>
        <v/>
      </c>
      <c r="O238" s="27" t="str">
        <f aca="false">IF(A238="","",IF(COUNTIFS($D$5:$D$400,D238,$F$5:$F$400,F238,$B$5:$B$400,"&gt;="&amp;(B238-RepeatWin),$B$5:$B$400,"&lt;"&amp;B238)&gt;0,"Yes","No"))</f>
        <v/>
      </c>
      <c r="P238" s="35" t="str">
        <f aca="false">IF(OR(I238="",H238=""),"",H238+CapaDue)</f>
        <v/>
      </c>
      <c r="Q238" s="27" t="str">
        <f aca="false">IF(A238="","",IF(I238="","Not required",IF(J238&lt;&gt;"","Closed",IF(H238="","Awaiting dev. close",IF(AsOf&gt;P238,"Overdue","Open")))))</f>
        <v/>
      </c>
      <c r="R238" s="27" t="str">
        <f aca="false">IF(J238="","",IF(COUNTIFS($D$5:$D$400,D238,$F$5:$F$400,F238,$B$5:$B$400,"&gt;"&amp;J238,$B$5:$B$400,"&lt;="&amp;(J238+EffWin))&gt;0,"Ineffective",IF(AsOf-J238&gt;=EffWin,"Effective","Check pending")))</f>
        <v/>
      </c>
      <c r="S238" s="36" t="str">
        <f aca="false">IF(A238="","",DATE(YEAR(B238),MONTH(B238),1))</f>
        <v/>
      </c>
      <c r="T238" s="36" t="str">
        <f aca="false">IF(H238="","",DATE(YEAR(H238),MONTH(H238),1))</f>
        <v/>
      </c>
      <c r="U238" s="27" t="str">
        <f aca="false">IF(H238="","",IF(AsOf-H238&lt;=90,L238,""))</f>
        <v/>
      </c>
      <c r="V238" s="27" t="str">
        <f aca="false">IF(H238="","",IF(AND(AsOf-H238&gt;90,AsOf-H238&lt;=270),L238,""))</f>
        <v/>
      </c>
    </row>
    <row r="239" customFormat="false" ht="15" hidden="false" customHeight="false" outlineLevel="0" collapsed="false">
      <c r="A239" s="2"/>
      <c r="B239" s="37"/>
      <c r="C239" s="2"/>
      <c r="D239" s="2"/>
      <c r="E239" s="2"/>
      <c r="F239" s="2"/>
      <c r="G239" s="2"/>
      <c r="H239" s="37"/>
      <c r="I239" s="2"/>
      <c r="J239" s="37"/>
      <c r="K239" s="27" t="str">
        <f aca="false">IF(A239="","",IF(H239="","Open","Closed"))</f>
        <v/>
      </c>
      <c r="L239" s="27" t="str">
        <f aca="false">IF(A239="","",IF(H239="",AsOf-B239,H239-B239))</f>
        <v/>
      </c>
      <c r="M239" s="27" t="str">
        <f aca="false">IF(A239="","",IF(AND(K239="Open",L239&gt;Target),"Yes","No"))</f>
        <v/>
      </c>
      <c r="N239" s="27" t="str">
        <f aca="false">IF(K239&lt;&gt;"Open","",IF(L239&lt;=30,"0-30",IF(L239&lt;=60,"31-60",IF(L239&lt;=90,"61-90","90+"))))</f>
        <v/>
      </c>
      <c r="O239" s="27" t="str">
        <f aca="false">IF(A239="","",IF(COUNTIFS($D$5:$D$400,D239,$F$5:$F$400,F239,$B$5:$B$400,"&gt;="&amp;(B239-RepeatWin),$B$5:$B$400,"&lt;"&amp;B239)&gt;0,"Yes","No"))</f>
        <v/>
      </c>
      <c r="P239" s="35" t="str">
        <f aca="false">IF(OR(I239="",H239=""),"",H239+CapaDue)</f>
        <v/>
      </c>
      <c r="Q239" s="27" t="str">
        <f aca="false">IF(A239="","",IF(I239="","Not required",IF(J239&lt;&gt;"","Closed",IF(H239="","Awaiting dev. close",IF(AsOf&gt;P239,"Overdue","Open")))))</f>
        <v/>
      </c>
      <c r="R239" s="27" t="str">
        <f aca="false">IF(J239="","",IF(COUNTIFS($D$5:$D$400,D239,$F$5:$F$400,F239,$B$5:$B$400,"&gt;"&amp;J239,$B$5:$B$400,"&lt;="&amp;(J239+EffWin))&gt;0,"Ineffective",IF(AsOf-J239&gt;=EffWin,"Effective","Check pending")))</f>
        <v/>
      </c>
      <c r="S239" s="36" t="str">
        <f aca="false">IF(A239="","",DATE(YEAR(B239),MONTH(B239),1))</f>
        <v/>
      </c>
      <c r="T239" s="36" t="str">
        <f aca="false">IF(H239="","",DATE(YEAR(H239),MONTH(H239),1))</f>
        <v/>
      </c>
      <c r="U239" s="27" t="str">
        <f aca="false">IF(H239="","",IF(AsOf-H239&lt;=90,L239,""))</f>
        <v/>
      </c>
      <c r="V239" s="27" t="str">
        <f aca="false">IF(H239="","",IF(AND(AsOf-H239&gt;90,AsOf-H239&lt;=270),L239,""))</f>
        <v/>
      </c>
    </row>
    <row r="240" customFormat="false" ht="15" hidden="false" customHeight="false" outlineLevel="0" collapsed="false">
      <c r="A240" s="2"/>
      <c r="B240" s="37"/>
      <c r="C240" s="2"/>
      <c r="D240" s="2"/>
      <c r="E240" s="2"/>
      <c r="F240" s="2"/>
      <c r="G240" s="2"/>
      <c r="H240" s="37"/>
      <c r="I240" s="2"/>
      <c r="J240" s="37"/>
      <c r="K240" s="27" t="str">
        <f aca="false">IF(A240="","",IF(H240="","Open","Closed"))</f>
        <v/>
      </c>
      <c r="L240" s="27" t="str">
        <f aca="false">IF(A240="","",IF(H240="",AsOf-B240,H240-B240))</f>
        <v/>
      </c>
      <c r="M240" s="27" t="str">
        <f aca="false">IF(A240="","",IF(AND(K240="Open",L240&gt;Target),"Yes","No"))</f>
        <v/>
      </c>
      <c r="N240" s="27" t="str">
        <f aca="false">IF(K240&lt;&gt;"Open","",IF(L240&lt;=30,"0-30",IF(L240&lt;=60,"31-60",IF(L240&lt;=90,"61-90","90+"))))</f>
        <v/>
      </c>
      <c r="O240" s="27" t="str">
        <f aca="false">IF(A240="","",IF(COUNTIFS($D$5:$D$400,D240,$F$5:$F$400,F240,$B$5:$B$400,"&gt;="&amp;(B240-RepeatWin),$B$5:$B$400,"&lt;"&amp;B240)&gt;0,"Yes","No"))</f>
        <v/>
      </c>
      <c r="P240" s="35" t="str">
        <f aca="false">IF(OR(I240="",H240=""),"",H240+CapaDue)</f>
        <v/>
      </c>
      <c r="Q240" s="27" t="str">
        <f aca="false">IF(A240="","",IF(I240="","Not required",IF(J240&lt;&gt;"","Closed",IF(H240="","Awaiting dev. close",IF(AsOf&gt;P240,"Overdue","Open")))))</f>
        <v/>
      </c>
      <c r="R240" s="27" t="str">
        <f aca="false">IF(J240="","",IF(COUNTIFS($D$5:$D$400,D240,$F$5:$F$400,F240,$B$5:$B$400,"&gt;"&amp;J240,$B$5:$B$400,"&lt;="&amp;(J240+EffWin))&gt;0,"Ineffective",IF(AsOf-J240&gt;=EffWin,"Effective","Check pending")))</f>
        <v/>
      </c>
      <c r="S240" s="36" t="str">
        <f aca="false">IF(A240="","",DATE(YEAR(B240),MONTH(B240),1))</f>
        <v/>
      </c>
      <c r="T240" s="36" t="str">
        <f aca="false">IF(H240="","",DATE(YEAR(H240),MONTH(H240),1))</f>
        <v/>
      </c>
      <c r="U240" s="27" t="str">
        <f aca="false">IF(H240="","",IF(AsOf-H240&lt;=90,L240,""))</f>
        <v/>
      </c>
      <c r="V240" s="27" t="str">
        <f aca="false">IF(H240="","",IF(AND(AsOf-H240&gt;90,AsOf-H240&lt;=270),L240,""))</f>
        <v/>
      </c>
    </row>
    <row r="241" customFormat="false" ht="15" hidden="false" customHeight="false" outlineLevel="0" collapsed="false">
      <c r="A241" s="2"/>
      <c r="B241" s="37"/>
      <c r="C241" s="2"/>
      <c r="D241" s="2"/>
      <c r="E241" s="2"/>
      <c r="F241" s="2"/>
      <c r="G241" s="2"/>
      <c r="H241" s="37"/>
      <c r="I241" s="2"/>
      <c r="J241" s="37"/>
      <c r="K241" s="27" t="str">
        <f aca="false">IF(A241="","",IF(H241="","Open","Closed"))</f>
        <v/>
      </c>
      <c r="L241" s="27" t="str">
        <f aca="false">IF(A241="","",IF(H241="",AsOf-B241,H241-B241))</f>
        <v/>
      </c>
      <c r="M241" s="27" t="str">
        <f aca="false">IF(A241="","",IF(AND(K241="Open",L241&gt;Target),"Yes","No"))</f>
        <v/>
      </c>
      <c r="N241" s="27" t="str">
        <f aca="false">IF(K241&lt;&gt;"Open","",IF(L241&lt;=30,"0-30",IF(L241&lt;=60,"31-60",IF(L241&lt;=90,"61-90","90+"))))</f>
        <v/>
      </c>
      <c r="O241" s="27" t="str">
        <f aca="false">IF(A241="","",IF(COUNTIFS($D$5:$D$400,D241,$F$5:$F$400,F241,$B$5:$B$400,"&gt;="&amp;(B241-RepeatWin),$B$5:$B$400,"&lt;"&amp;B241)&gt;0,"Yes","No"))</f>
        <v/>
      </c>
      <c r="P241" s="35" t="str">
        <f aca="false">IF(OR(I241="",H241=""),"",H241+CapaDue)</f>
        <v/>
      </c>
      <c r="Q241" s="27" t="str">
        <f aca="false">IF(A241="","",IF(I241="","Not required",IF(J241&lt;&gt;"","Closed",IF(H241="","Awaiting dev. close",IF(AsOf&gt;P241,"Overdue","Open")))))</f>
        <v/>
      </c>
      <c r="R241" s="27" t="str">
        <f aca="false">IF(J241="","",IF(COUNTIFS($D$5:$D$400,D241,$F$5:$F$400,F241,$B$5:$B$400,"&gt;"&amp;J241,$B$5:$B$400,"&lt;="&amp;(J241+EffWin))&gt;0,"Ineffective",IF(AsOf-J241&gt;=EffWin,"Effective","Check pending")))</f>
        <v/>
      </c>
      <c r="S241" s="36" t="str">
        <f aca="false">IF(A241="","",DATE(YEAR(B241),MONTH(B241),1))</f>
        <v/>
      </c>
      <c r="T241" s="36" t="str">
        <f aca="false">IF(H241="","",DATE(YEAR(H241),MONTH(H241),1))</f>
        <v/>
      </c>
      <c r="U241" s="27" t="str">
        <f aca="false">IF(H241="","",IF(AsOf-H241&lt;=90,L241,""))</f>
        <v/>
      </c>
      <c r="V241" s="27" t="str">
        <f aca="false">IF(H241="","",IF(AND(AsOf-H241&gt;90,AsOf-H241&lt;=270),L241,""))</f>
        <v/>
      </c>
    </row>
    <row r="242" customFormat="false" ht="15" hidden="false" customHeight="false" outlineLevel="0" collapsed="false">
      <c r="A242" s="2"/>
      <c r="B242" s="37"/>
      <c r="C242" s="2"/>
      <c r="D242" s="2"/>
      <c r="E242" s="2"/>
      <c r="F242" s="2"/>
      <c r="G242" s="2"/>
      <c r="H242" s="37"/>
      <c r="I242" s="2"/>
      <c r="J242" s="37"/>
      <c r="K242" s="27" t="str">
        <f aca="false">IF(A242="","",IF(H242="","Open","Closed"))</f>
        <v/>
      </c>
      <c r="L242" s="27" t="str">
        <f aca="false">IF(A242="","",IF(H242="",AsOf-B242,H242-B242))</f>
        <v/>
      </c>
      <c r="M242" s="27" t="str">
        <f aca="false">IF(A242="","",IF(AND(K242="Open",L242&gt;Target),"Yes","No"))</f>
        <v/>
      </c>
      <c r="N242" s="27" t="str">
        <f aca="false">IF(K242&lt;&gt;"Open","",IF(L242&lt;=30,"0-30",IF(L242&lt;=60,"31-60",IF(L242&lt;=90,"61-90","90+"))))</f>
        <v/>
      </c>
      <c r="O242" s="27" t="str">
        <f aca="false">IF(A242="","",IF(COUNTIFS($D$5:$D$400,D242,$F$5:$F$400,F242,$B$5:$B$400,"&gt;="&amp;(B242-RepeatWin),$B$5:$B$400,"&lt;"&amp;B242)&gt;0,"Yes","No"))</f>
        <v/>
      </c>
      <c r="P242" s="35" t="str">
        <f aca="false">IF(OR(I242="",H242=""),"",H242+CapaDue)</f>
        <v/>
      </c>
      <c r="Q242" s="27" t="str">
        <f aca="false">IF(A242="","",IF(I242="","Not required",IF(J242&lt;&gt;"","Closed",IF(H242="","Awaiting dev. close",IF(AsOf&gt;P242,"Overdue","Open")))))</f>
        <v/>
      </c>
      <c r="R242" s="27" t="str">
        <f aca="false">IF(J242="","",IF(COUNTIFS($D$5:$D$400,D242,$F$5:$F$400,F242,$B$5:$B$400,"&gt;"&amp;J242,$B$5:$B$400,"&lt;="&amp;(J242+EffWin))&gt;0,"Ineffective",IF(AsOf-J242&gt;=EffWin,"Effective","Check pending")))</f>
        <v/>
      </c>
      <c r="S242" s="36" t="str">
        <f aca="false">IF(A242="","",DATE(YEAR(B242),MONTH(B242),1))</f>
        <v/>
      </c>
      <c r="T242" s="36" t="str">
        <f aca="false">IF(H242="","",DATE(YEAR(H242),MONTH(H242),1))</f>
        <v/>
      </c>
      <c r="U242" s="27" t="str">
        <f aca="false">IF(H242="","",IF(AsOf-H242&lt;=90,L242,""))</f>
        <v/>
      </c>
      <c r="V242" s="27" t="str">
        <f aca="false">IF(H242="","",IF(AND(AsOf-H242&gt;90,AsOf-H242&lt;=270),L242,""))</f>
        <v/>
      </c>
    </row>
    <row r="243" customFormat="false" ht="15" hidden="false" customHeight="false" outlineLevel="0" collapsed="false">
      <c r="A243" s="2"/>
      <c r="B243" s="37"/>
      <c r="C243" s="2"/>
      <c r="D243" s="2"/>
      <c r="E243" s="2"/>
      <c r="F243" s="2"/>
      <c r="G243" s="2"/>
      <c r="H243" s="37"/>
      <c r="I243" s="2"/>
      <c r="J243" s="37"/>
      <c r="K243" s="27" t="str">
        <f aca="false">IF(A243="","",IF(H243="","Open","Closed"))</f>
        <v/>
      </c>
      <c r="L243" s="27" t="str">
        <f aca="false">IF(A243="","",IF(H243="",AsOf-B243,H243-B243))</f>
        <v/>
      </c>
      <c r="M243" s="27" t="str">
        <f aca="false">IF(A243="","",IF(AND(K243="Open",L243&gt;Target),"Yes","No"))</f>
        <v/>
      </c>
      <c r="N243" s="27" t="str">
        <f aca="false">IF(K243&lt;&gt;"Open","",IF(L243&lt;=30,"0-30",IF(L243&lt;=60,"31-60",IF(L243&lt;=90,"61-90","90+"))))</f>
        <v/>
      </c>
      <c r="O243" s="27" t="str">
        <f aca="false">IF(A243="","",IF(COUNTIFS($D$5:$D$400,D243,$F$5:$F$400,F243,$B$5:$B$400,"&gt;="&amp;(B243-RepeatWin),$B$5:$B$400,"&lt;"&amp;B243)&gt;0,"Yes","No"))</f>
        <v/>
      </c>
      <c r="P243" s="35" t="str">
        <f aca="false">IF(OR(I243="",H243=""),"",H243+CapaDue)</f>
        <v/>
      </c>
      <c r="Q243" s="27" t="str">
        <f aca="false">IF(A243="","",IF(I243="","Not required",IF(J243&lt;&gt;"","Closed",IF(H243="","Awaiting dev. close",IF(AsOf&gt;P243,"Overdue","Open")))))</f>
        <v/>
      </c>
      <c r="R243" s="27" t="str">
        <f aca="false">IF(J243="","",IF(COUNTIFS($D$5:$D$400,D243,$F$5:$F$400,F243,$B$5:$B$400,"&gt;"&amp;J243,$B$5:$B$400,"&lt;="&amp;(J243+EffWin))&gt;0,"Ineffective",IF(AsOf-J243&gt;=EffWin,"Effective","Check pending")))</f>
        <v/>
      </c>
      <c r="S243" s="36" t="str">
        <f aca="false">IF(A243="","",DATE(YEAR(B243),MONTH(B243),1))</f>
        <v/>
      </c>
      <c r="T243" s="36" t="str">
        <f aca="false">IF(H243="","",DATE(YEAR(H243),MONTH(H243),1))</f>
        <v/>
      </c>
      <c r="U243" s="27" t="str">
        <f aca="false">IF(H243="","",IF(AsOf-H243&lt;=90,L243,""))</f>
        <v/>
      </c>
      <c r="V243" s="27" t="str">
        <f aca="false">IF(H243="","",IF(AND(AsOf-H243&gt;90,AsOf-H243&lt;=270),L243,""))</f>
        <v/>
      </c>
    </row>
    <row r="244" customFormat="false" ht="15" hidden="false" customHeight="false" outlineLevel="0" collapsed="false">
      <c r="A244" s="2"/>
      <c r="B244" s="37"/>
      <c r="C244" s="2"/>
      <c r="D244" s="2"/>
      <c r="E244" s="2"/>
      <c r="F244" s="2"/>
      <c r="G244" s="2"/>
      <c r="H244" s="37"/>
      <c r="I244" s="2"/>
      <c r="J244" s="37"/>
      <c r="K244" s="27" t="str">
        <f aca="false">IF(A244="","",IF(H244="","Open","Closed"))</f>
        <v/>
      </c>
      <c r="L244" s="27" t="str">
        <f aca="false">IF(A244="","",IF(H244="",AsOf-B244,H244-B244))</f>
        <v/>
      </c>
      <c r="M244" s="27" t="str">
        <f aca="false">IF(A244="","",IF(AND(K244="Open",L244&gt;Target),"Yes","No"))</f>
        <v/>
      </c>
      <c r="N244" s="27" t="str">
        <f aca="false">IF(K244&lt;&gt;"Open","",IF(L244&lt;=30,"0-30",IF(L244&lt;=60,"31-60",IF(L244&lt;=90,"61-90","90+"))))</f>
        <v/>
      </c>
      <c r="O244" s="27" t="str">
        <f aca="false">IF(A244="","",IF(COUNTIFS($D$5:$D$400,D244,$F$5:$F$400,F244,$B$5:$B$400,"&gt;="&amp;(B244-RepeatWin),$B$5:$B$400,"&lt;"&amp;B244)&gt;0,"Yes","No"))</f>
        <v/>
      </c>
      <c r="P244" s="35" t="str">
        <f aca="false">IF(OR(I244="",H244=""),"",H244+CapaDue)</f>
        <v/>
      </c>
      <c r="Q244" s="27" t="str">
        <f aca="false">IF(A244="","",IF(I244="","Not required",IF(J244&lt;&gt;"","Closed",IF(H244="","Awaiting dev. close",IF(AsOf&gt;P244,"Overdue","Open")))))</f>
        <v/>
      </c>
      <c r="R244" s="27" t="str">
        <f aca="false">IF(J244="","",IF(COUNTIFS($D$5:$D$400,D244,$F$5:$F$400,F244,$B$5:$B$400,"&gt;"&amp;J244,$B$5:$B$400,"&lt;="&amp;(J244+EffWin))&gt;0,"Ineffective",IF(AsOf-J244&gt;=EffWin,"Effective","Check pending")))</f>
        <v/>
      </c>
      <c r="S244" s="36" t="str">
        <f aca="false">IF(A244="","",DATE(YEAR(B244),MONTH(B244),1))</f>
        <v/>
      </c>
      <c r="T244" s="36" t="str">
        <f aca="false">IF(H244="","",DATE(YEAR(H244),MONTH(H244),1))</f>
        <v/>
      </c>
      <c r="U244" s="27" t="str">
        <f aca="false">IF(H244="","",IF(AsOf-H244&lt;=90,L244,""))</f>
        <v/>
      </c>
      <c r="V244" s="27" t="str">
        <f aca="false">IF(H244="","",IF(AND(AsOf-H244&gt;90,AsOf-H244&lt;=270),L244,""))</f>
        <v/>
      </c>
    </row>
    <row r="245" customFormat="false" ht="15" hidden="false" customHeight="false" outlineLevel="0" collapsed="false">
      <c r="A245" s="2"/>
      <c r="B245" s="37"/>
      <c r="C245" s="2"/>
      <c r="D245" s="2"/>
      <c r="E245" s="2"/>
      <c r="F245" s="2"/>
      <c r="G245" s="2"/>
      <c r="H245" s="37"/>
      <c r="I245" s="2"/>
      <c r="J245" s="37"/>
      <c r="K245" s="27" t="str">
        <f aca="false">IF(A245="","",IF(H245="","Open","Closed"))</f>
        <v/>
      </c>
      <c r="L245" s="27" t="str">
        <f aca="false">IF(A245="","",IF(H245="",AsOf-B245,H245-B245))</f>
        <v/>
      </c>
      <c r="M245" s="27" t="str">
        <f aca="false">IF(A245="","",IF(AND(K245="Open",L245&gt;Target),"Yes","No"))</f>
        <v/>
      </c>
      <c r="N245" s="27" t="str">
        <f aca="false">IF(K245&lt;&gt;"Open","",IF(L245&lt;=30,"0-30",IF(L245&lt;=60,"31-60",IF(L245&lt;=90,"61-90","90+"))))</f>
        <v/>
      </c>
      <c r="O245" s="27" t="str">
        <f aca="false">IF(A245="","",IF(COUNTIFS($D$5:$D$400,D245,$F$5:$F$400,F245,$B$5:$B$400,"&gt;="&amp;(B245-RepeatWin),$B$5:$B$400,"&lt;"&amp;B245)&gt;0,"Yes","No"))</f>
        <v/>
      </c>
      <c r="P245" s="35" t="str">
        <f aca="false">IF(OR(I245="",H245=""),"",H245+CapaDue)</f>
        <v/>
      </c>
      <c r="Q245" s="27" t="str">
        <f aca="false">IF(A245="","",IF(I245="","Not required",IF(J245&lt;&gt;"","Closed",IF(H245="","Awaiting dev. close",IF(AsOf&gt;P245,"Overdue","Open")))))</f>
        <v/>
      </c>
      <c r="R245" s="27" t="str">
        <f aca="false">IF(J245="","",IF(COUNTIFS($D$5:$D$400,D245,$F$5:$F$400,F245,$B$5:$B$400,"&gt;"&amp;J245,$B$5:$B$400,"&lt;="&amp;(J245+EffWin))&gt;0,"Ineffective",IF(AsOf-J245&gt;=EffWin,"Effective","Check pending")))</f>
        <v/>
      </c>
      <c r="S245" s="36" t="str">
        <f aca="false">IF(A245="","",DATE(YEAR(B245),MONTH(B245),1))</f>
        <v/>
      </c>
      <c r="T245" s="36" t="str">
        <f aca="false">IF(H245="","",DATE(YEAR(H245),MONTH(H245),1))</f>
        <v/>
      </c>
      <c r="U245" s="27" t="str">
        <f aca="false">IF(H245="","",IF(AsOf-H245&lt;=90,L245,""))</f>
        <v/>
      </c>
      <c r="V245" s="27" t="str">
        <f aca="false">IF(H245="","",IF(AND(AsOf-H245&gt;90,AsOf-H245&lt;=270),L245,""))</f>
        <v/>
      </c>
    </row>
    <row r="246" customFormat="false" ht="15" hidden="false" customHeight="false" outlineLevel="0" collapsed="false">
      <c r="A246" s="2"/>
      <c r="B246" s="37"/>
      <c r="C246" s="2"/>
      <c r="D246" s="2"/>
      <c r="E246" s="2"/>
      <c r="F246" s="2"/>
      <c r="G246" s="2"/>
      <c r="H246" s="37"/>
      <c r="I246" s="2"/>
      <c r="J246" s="37"/>
      <c r="K246" s="27" t="str">
        <f aca="false">IF(A246="","",IF(H246="","Open","Closed"))</f>
        <v/>
      </c>
      <c r="L246" s="27" t="str">
        <f aca="false">IF(A246="","",IF(H246="",AsOf-B246,H246-B246))</f>
        <v/>
      </c>
      <c r="M246" s="27" t="str">
        <f aca="false">IF(A246="","",IF(AND(K246="Open",L246&gt;Target),"Yes","No"))</f>
        <v/>
      </c>
      <c r="N246" s="27" t="str">
        <f aca="false">IF(K246&lt;&gt;"Open","",IF(L246&lt;=30,"0-30",IF(L246&lt;=60,"31-60",IF(L246&lt;=90,"61-90","90+"))))</f>
        <v/>
      </c>
      <c r="O246" s="27" t="str">
        <f aca="false">IF(A246="","",IF(COUNTIFS($D$5:$D$400,D246,$F$5:$F$400,F246,$B$5:$B$400,"&gt;="&amp;(B246-RepeatWin),$B$5:$B$400,"&lt;"&amp;B246)&gt;0,"Yes","No"))</f>
        <v/>
      </c>
      <c r="P246" s="35" t="str">
        <f aca="false">IF(OR(I246="",H246=""),"",H246+CapaDue)</f>
        <v/>
      </c>
      <c r="Q246" s="27" t="str">
        <f aca="false">IF(A246="","",IF(I246="","Not required",IF(J246&lt;&gt;"","Closed",IF(H246="","Awaiting dev. close",IF(AsOf&gt;P246,"Overdue","Open")))))</f>
        <v/>
      </c>
      <c r="R246" s="27" t="str">
        <f aca="false">IF(J246="","",IF(COUNTIFS($D$5:$D$400,D246,$F$5:$F$400,F246,$B$5:$B$400,"&gt;"&amp;J246,$B$5:$B$400,"&lt;="&amp;(J246+EffWin))&gt;0,"Ineffective",IF(AsOf-J246&gt;=EffWin,"Effective","Check pending")))</f>
        <v/>
      </c>
      <c r="S246" s="36" t="str">
        <f aca="false">IF(A246="","",DATE(YEAR(B246),MONTH(B246),1))</f>
        <v/>
      </c>
      <c r="T246" s="36" t="str">
        <f aca="false">IF(H246="","",DATE(YEAR(H246),MONTH(H246),1))</f>
        <v/>
      </c>
      <c r="U246" s="27" t="str">
        <f aca="false">IF(H246="","",IF(AsOf-H246&lt;=90,L246,""))</f>
        <v/>
      </c>
      <c r="V246" s="27" t="str">
        <f aca="false">IF(H246="","",IF(AND(AsOf-H246&gt;90,AsOf-H246&lt;=270),L246,""))</f>
        <v/>
      </c>
    </row>
    <row r="247" customFormat="false" ht="15" hidden="false" customHeight="false" outlineLevel="0" collapsed="false">
      <c r="A247" s="2"/>
      <c r="B247" s="37"/>
      <c r="C247" s="2"/>
      <c r="D247" s="2"/>
      <c r="E247" s="2"/>
      <c r="F247" s="2"/>
      <c r="G247" s="2"/>
      <c r="H247" s="37"/>
      <c r="I247" s="2"/>
      <c r="J247" s="37"/>
      <c r="K247" s="27" t="str">
        <f aca="false">IF(A247="","",IF(H247="","Open","Closed"))</f>
        <v/>
      </c>
      <c r="L247" s="27" t="str">
        <f aca="false">IF(A247="","",IF(H247="",AsOf-B247,H247-B247))</f>
        <v/>
      </c>
      <c r="M247" s="27" t="str">
        <f aca="false">IF(A247="","",IF(AND(K247="Open",L247&gt;Target),"Yes","No"))</f>
        <v/>
      </c>
      <c r="N247" s="27" t="str">
        <f aca="false">IF(K247&lt;&gt;"Open","",IF(L247&lt;=30,"0-30",IF(L247&lt;=60,"31-60",IF(L247&lt;=90,"61-90","90+"))))</f>
        <v/>
      </c>
      <c r="O247" s="27" t="str">
        <f aca="false">IF(A247="","",IF(COUNTIFS($D$5:$D$400,D247,$F$5:$F$400,F247,$B$5:$B$400,"&gt;="&amp;(B247-RepeatWin),$B$5:$B$400,"&lt;"&amp;B247)&gt;0,"Yes","No"))</f>
        <v/>
      </c>
      <c r="P247" s="35" t="str">
        <f aca="false">IF(OR(I247="",H247=""),"",H247+CapaDue)</f>
        <v/>
      </c>
      <c r="Q247" s="27" t="str">
        <f aca="false">IF(A247="","",IF(I247="","Not required",IF(J247&lt;&gt;"","Closed",IF(H247="","Awaiting dev. close",IF(AsOf&gt;P247,"Overdue","Open")))))</f>
        <v/>
      </c>
      <c r="R247" s="27" t="str">
        <f aca="false">IF(J247="","",IF(COUNTIFS($D$5:$D$400,D247,$F$5:$F$400,F247,$B$5:$B$400,"&gt;"&amp;J247,$B$5:$B$400,"&lt;="&amp;(J247+EffWin))&gt;0,"Ineffective",IF(AsOf-J247&gt;=EffWin,"Effective","Check pending")))</f>
        <v/>
      </c>
      <c r="S247" s="36" t="str">
        <f aca="false">IF(A247="","",DATE(YEAR(B247),MONTH(B247),1))</f>
        <v/>
      </c>
      <c r="T247" s="36" t="str">
        <f aca="false">IF(H247="","",DATE(YEAR(H247),MONTH(H247),1))</f>
        <v/>
      </c>
      <c r="U247" s="27" t="str">
        <f aca="false">IF(H247="","",IF(AsOf-H247&lt;=90,L247,""))</f>
        <v/>
      </c>
      <c r="V247" s="27" t="str">
        <f aca="false">IF(H247="","",IF(AND(AsOf-H247&gt;90,AsOf-H247&lt;=270),L247,""))</f>
        <v/>
      </c>
    </row>
    <row r="248" customFormat="false" ht="15" hidden="false" customHeight="false" outlineLevel="0" collapsed="false">
      <c r="A248" s="2"/>
      <c r="B248" s="37"/>
      <c r="C248" s="2"/>
      <c r="D248" s="2"/>
      <c r="E248" s="2"/>
      <c r="F248" s="2"/>
      <c r="G248" s="2"/>
      <c r="H248" s="37"/>
      <c r="I248" s="2"/>
      <c r="J248" s="37"/>
      <c r="K248" s="27" t="str">
        <f aca="false">IF(A248="","",IF(H248="","Open","Closed"))</f>
        <v/>
      </c>
      <c r="L248" s="27" t="str">
        <f aca="false">IF(A248="","",IF(H248="",AsOf-B248,H248-B248))</f>
        <v/>
      </c>
      <c r="M248" s="27" t="str">
        <f aca="false">IF(A248="","",IF(AND(K248="Open",L248&gt;Target),"Yes","No"))</f>
        <v/>
      </c>
      <c r="N248" s="27" t="str">
        <f aca="false">IF(K248&lt;&gt;"Open","",IF(L248&lt;=30,"0-30",IF(L248&lt;=60,"31-60",IF(L248&lt;=90,"61-90","90+"))))</f>
        <v/>
      </c>
      <c r="O248" s="27" t="str">
        <f aca="false">IF(A248="","",IF(COUNTIFS($D$5:$D$400,D248,$F$5:$F$400,F248,$B$5:$B$400,"&gt;="&amp;(B248-RepeatWin),$B$5:$B$400,"&lt;"&amp;B248)&gt;0,"Yes","No"))</f>
        <v/>
      </c>
      <c r="P248" s="35" t="str">
        <f aca="false">IF(OR(I248="",H248=""),"",H248+CapaDue)</f>
        <v/>
      </c>
      <c r="Q248" s="27" t="str">
        <f aca="false">IF(A248="","",IF(I248="","Not required",IF(J248&lt;&gt;"","Closed",IF(H248="","Awaiting dev. close",IF(AsOf&gt;P248,"Overdue","Open")))))</f>
        <v/>
      </c>
      <c r="R248" s="27" t="str">
        <f aca="false">IF(J248="","",IF(COUNTIFS($D$5:$D$400,D248,$F$5:$F$400,F248,$B$5:$B$400,"&gt;"&amp;J248,$B$5:$B$400,"&lt;="&amp;(J248+EffWin))&gt;0,"Ineffective",IF(AsOf-J248&gt;=EffWin,"Effective","Check pending")))</f>
        <v/>
      </c>
      <c r="S248" s="36" t="str">
        <f aca="false">IF(A248="","",DATE(YEAR(B248),MONTH(B248),1))</f>
        <v/>
      </c>
      <c r="T248" s="36" t="str">
        <f aca="false">IF(H248="","",DATE(YEAR(H248),MONTH(H248),1))</f>
        <v/>
      </c>
      <c r="U248" s="27" t="str">
        <f aca="false">IF(H248="","",IF(AsOf-H248&lt;=90,L248,""))</f>
        <v/>
      </c>
      <c r="V248" s="27" t="str">
        <f aca="false">IF(H248="","",IF(AND(AsOf-H248&gt;90,AsOf-H248&lt;=270),L248,""))</f>
        <v/>
      </c>
    </row>
    <row r="249" customFormat="false" ht="15" hidden="false" customHeight="false" outlineLevel="0" collapsed="false">
      <c r="A249" s="2"/>
      <c r="B249" s="37"/>
      <c r="C249" s="2"/>
      <c r="D249" s="2"/>
      <c r="E249" s="2"/>
      <c r="F249" s="2"/>
      <c r="G249" s="2"/>
      <c r="H249" s="37"/>
      <c r="I249" s="2"/>
      <c r="J249" s="37"/>
      <c r="K249" s="27" t="str">
        <f aca="false">IF(A249="","",IF(H249="","Open","Closed"))</f>
        <v/>
      </c>
      <c r="L249" s="27" t="str">
        <f aca="false">IF(A249="","",IF(H249="",AsOf-B249,H249-B249))</f>
        <v/>
      </c>
      <c r="M249" s="27" t="str">
        <f aca="false">IF(A249="","",IF(AND(K249="Open",L249&gt;Target),"Yes","No"))</f>
        <v/>
      </c>
      <c r="N249" s="27" t="str">
        <f aca="false">IF(K249&lt;&gt;"Open","",IF(L249&lt;=30,"0-30",IF(L249&lt;=60,"31-60",IF(L249&lt;=90,"61-90","90+"))))</f>
        <v/>
      </c>
      <c r="O249" s="27" t="str">
        <f aca="false">IF(A249="","",IF(COUNTIFS($D$5:$D$400,D249,$F$5:$F$400,F249,$B$5:$B$400,"&gt;="&amp;(B249-RepeatWin),$B$5:$B$400,"&lt;"&amp;B249)&gt;0,"Yes","No"))</f>
        <v/>
      </c>
      <c r="P249" s="35" t="str">
        <f aca="false">IF(OR(I249="",H249=""),"",H249+CapaDue)</f>
        <v/>
      </c>
      <c r="Q249" s="27" t="str">
        <f aca="false">IF(A249="","",IF(I249="","Not required",IF(J249&lt;&gt;"","Closed",IF(H249="","Awaiting dev. close",IF(AsOf&gt;P249,"Overdue","Open")))))</f>
        <v/>
      </c>
      <c r="R249" s="27" t="str">
        <f aca="false">IF(J249="","",IF(COUNTIFS($D$5:$D$400,D249,$F$5:$F$400,F249,$B$5:$B$400,"&gt;"&amp;J249,$B$5:$B$400,"&lt;="&amp;(J249+EffWin))&gt;0,"Ineffective",IF(AsOf-J249&gt;=EffWin,"Effective","Check pending")))</f>
        <v/>
      </c>
      <c r="S249" s="36" t="str">
        <f aca="false">IF(A249="","",DATE(YEAR(B249),MONTH(B249),1))</f>
        <v/>
      </c>
      <c r="T249" s="36" t="str">
        <f aca="false">IF(H249="","",DATE(YEAR(H249),MONTH(H249),1))</f>
        <v/>
      </c>
      <c r="U249" s="27" t="str">
        <f aca="false">IF(H249="","",IF(AsOf-H249&lt;=90,L249,""))</f>
        <v/>
      </c>
      <c r="V249" s="27" t="str">
        <f aca="false">IF(H249="","",IF(AND(AsOf-H249&gt;90,AsOf-H249&lt;=270),L249,""))</f>
        <v/>
      </c>
    </row>
    <row r="250" customFormat="false" ht="15" hidden="false" customHeight="false" outlineLevel="0" collapsed="false">
      <c r="A250" s="2"/>
      <c r="B250" s="37"/>
      <c r="C250" s="2"/>
      <c r="D250" s="2"/>
      <c r="E250" s="2"/>
      <c r="F250" s="2"/>
      <c r="G250" s="2"/>
      <c r="H250" s="37"/>
      <c r="I250" s="2"/>
      <c r="J250" s="37"/>
      <c r="K250" s="27" t="str">
        <f aca="false">IF(A250="","",IF(H250="","Open","Closed"))</f>
        <v/>
      </c>
      <c r="L250" s="27" t="str">
        <f aca="false">IF(A250="","",IF(H250="",AsOf-B250,H250-B250))</f>
        <v/>
      </c>
      <c r="M250" s="27" t="str">
        <f aca="false">IF(A250="","",IF(AND(K250="Open",L250&gt;Target),"Yes","No"))</f>
        <v/>
      </c>
      <c r="N250" s="27" t="str">
        <f aca="false">IF(K250&lt;&gt;"Open","",IF(L250&lt;=30,"0-30",IF(L250&lt;=60,"31-60",IF(L250&lt;=90,"61-90","90+"))))</f>
        <v/>
      </c>
      <c r="O250" s="27" t="str">
        <f aca="false">IF(A250="","",IF(COUNTIFS($D$5:$D$400,D250,$F$5:$F$400,F250,$B$5:$B$400,"&gt;="&amp;(B250-RepeatWin),$B$5:$B$400,"&lt;"&amp;B250)&gt;0,"Yes","No"))</f>
        <v/>
      </c>
      <c r="P250" s="35" t="str">
        <f aca="false">IF(OR(I250="",H250=""),"",H250+CapaDue)</f>
        <v/>
      </c>
      <c r="Q250" s="27" t="str">
        <f aca="false">IF(A250="","",IF(I250="","Not required",IF(J250&lt;&gt;"","Closed",IF(H250="","Awaiting dev. close",IF(AsOf&gt;P250,"Overdue","Open")))))</f>
        <v/>
      </c>
      <c r="R250" s="27" t="str">
        <f aca="false">IF(J250="","",IF(COUNTIFS($D$5:$D$400,D250,$F$5:$F$400,F250,$B$5:$B$400,"&gt;"&amp;J250,$B$5:$B$400,"&lt;="&amp;(J250+EffWin))&gt;0,"Ineffective",IF(AsOf-J250&gt;=EffWin,"Effective","Check pending")))</f>
        <v/>
      </c>
      <c r="S250" s="36" t="str">
        <f aca="false">IF(A250="","",DATE(YEAR(B250),MONTH(B250),1))</f>
        <v/>
      </c>
      <c r="T250" s="36" t="str">
        <f aca="false">IF(H250="","",DATE(YEAR(H250),MONTH(H250),1))</f>
        <v/>
      </c>
      <c r="U250" s="27" t="str">
        <f aca="false">IF(H250="","",IF(AsOf-H250&lt;=90,L250,""))</f>
        <v/>
      </c>
      <c r="V250" s="27" t="str">
        <f aca="false">IF(H250="","",IF(AND(AsOf-H250&gt;90,AsOf-H250&lt;=270),L250,""))</f>
        <v/>
      </c>
    </row>
    <row r="251" customFormat="false" ht="15" hidden="false" customHeight="false" outlineLevel="0" collapsed="false">
      <c r="A251" s="2"/>
      <c r="B251" s="37"/>
      <c r="C251" s="2"/>
      <c r="D251" s="2"/>
      <c r="E251" s="2"/>
      <c r="F251" s="2"/>
      <c r="G251" s="2"/>
      <c r="H251" s="37"/>
      <c r="I251" s="2"/>
      <c r="J251" s="37"/>
      <c r="K251" s="27" t="str">
        <f aca="false">IF(A251="","",IF(H251="","Open","Closed"))</f>
        <v/>
      </c>
      <c r="L251" s="27" t="str">
        <f aca="false">IF(A251="","",IF(H251="",AsOf-B251,H251-B251))</f>
        <v/>
      </c>
      <c r="M251" s="27" t="str">
        <f aca="false">IF(A251="","",IF(AND(K251="Open",L251&gt;Target),"Yes","No"))</f>
        <v/>
      </c>
      <c r="N251" s="27" t="str">
        <f aca="false">IF(K251&lt;&gt;"Open","",IF(L251&lt;=30,"0-30",IF(L251&lt;=60,"31-60",IF(L251&lt;=90,"61-90","90+"))))</f>
        <v/>
      </c>
      <c r="O251" s="27" t="str">
        <f aca="false">IF(A251="","",IF(COUNTIFS($D$5:$D$400,D251,$F$5:$F$400,F251,$B$5:$B$400,"&gt;="&amp;(B251-RepeatWin),$B$5:$B$400,"&lt;"&amp;B251)&gt;0,"Yes","No"))</f>
        <v/>
      </c>
      <c r="P251" s="35" t="str">
        <f aca="false">IF(OR(I251="",H251=""),"",H251+CapaDue)</f>
        <v/>
      </c>
      <c r="Q251" s="27" t="str">
        <f aca="false">IF(A251="","",IF(I251="","Not required",IF(J251&lt;&gt;"","Closed",IF(H251="","Awaiting dev. close",IF(AsOf&gt;P251,"Overdue","Open")))))</f>
        <v/>
      </c>
      <c r="R251" s="27" t="str">
        <f aca="false">IF(J251="","",IF(COUNTIFS($D$5:$D$400,D251,$F$5:$F$400,F251,$B$5:$B$400,"&gt;"&amp;J251,$B$5:$B$400,"&lt;="&amp;(J251+EffWin))&gt;0,"Ineffective",IF(AsOf-J251&gt;=EffWin,"Effective","Check pending")))</f>
        <v/>
      </c>
      <c r="S251" s="36" t="str">
        <f aca="false">IF(A251="","",DATE(YEAR(B251),MONTH(B251),1))</f>
        <v/>
      </c>
      <c r="T251" s="36" t="str">
        <f aca="false">IF(H251="","",DATE(YEAR(H251),MONTH(H251),1))</f>
        <v/>
      </c>
      <c r="U251" s="27" t="str">
        <f aca="false">IF(H251="","",IF(AsOf-H251&lt;=90,L251,""))</f>
        <v/>
      </c>
      <c r="V251" s="27" t="str">
        <f aca="false">IF(H251="","",IF(AND(AsOf-H251&gt;90,AsOf-H251&lt;=270),L251,""))</f>
        <v/>
      </c>
    </row>
    <row r="252" customFormat="false" ht="15" hidden="false" customHeight="false" outlineLevel="0" collapsed="false">
      <c r="A252" s="2"/>
      <c r="B252" s="37"/>
      <c r="C252" s="2"/>
      <c r="D252" s="2"/>
      <c r="E252" s="2"/>
      <c r="F252" s="2"/>
      <c r="G252" s="2"/>
      <c r="H252" s="37"/>
      <c r="I252" s="2"/>
      <c r="J252" s="37"/>
      <c r="K252" s="27" t="str">
        <f aca="false">IF(A252="","",IF(H252="","Open","Closed"))</f>
        <v/>
      </c>
      <c r="L252" s="27" t="str">
        <f aca="false">IF(A252="","",IF(H252="",AsOf-B252,H252-B252))</f>
        <v/>
      </c>
      <c r="M252" s="27" t="str">
        <f aca="false">IF(A252="","",IF(AND(K252="Open",L252&gt;Target),"Yes","No"))</f>
        <v/>
      </c>
      <c r="N252" s="27" t="str">
        <f aca="false">IF(K252&lt;&gt;"Open","",IF(L252&lt;=30,"0-30",IF(L252&lt;=60,"31-60",IF(L252&lt;=90,"61-90","90+"))))</f>
        <v/>
      </c>
      <c r="O252" s="27" t="str">
        <f aca="false">IF(A252="","",IF(COUNTIFS($D$5:$D$400,D252,$F$5:$F$400,F252,$B$5:$B$400,"&gt;="&amp;(B252-RepeatWin),$B$5:$B$400,"&lt;"&amp;B252)&gt;0,"Yes","No"))</f>
        <v/>
      </c>
      <c r="P252" s="35" t="str">
        <f aca="false">IF(OR(I252="",H252=""),"",H252+CapaDue)</f>
        <v/>
      </c>
      <c r="Q252" s="27" t="str">
        <f aca="false">IF(A252="","",IF(I252="","Not required",IF(J252&lt;&gt;"","Closed",IF(H252="","Awaiting dev. close",IF(AsOf&gt;P252,"Overdue","Open")))))</f>
        <v/>
      </c>
      <c r="R252" s="27" t="str">
        <f aca="false">IF(J252="","",IF(COUNTIFS($D$5:$D$400,D252,$F$5:$F$400,F252,$B$5:$B$400,"&gt;"&amp;J252,$B$5:$B$400,"&lt;="&amp;(J252+EffWin))&gt;0,"Ineffective",IF(AsOf-J252&gt;=EffWin,"Effective","Check pending")))</f>
        <v/>
      </c>
      <c r="S252" s="36" t="str">
        <f aca="false">IF(A252="","",DATE(YEAR(B252),MONTH(B252),1))</f>
        <v/>
      </c>
      <c r="T252" s="36" t="str">
        <f aca="false">IF(H252="","",DATE(YEAR(H252),MONTH(H252),1))</f>
        <v/>
      </c>
      <c r="U252" s="27" t="str">
        <f aca="false">IF(H252="","",IF(AsOf-H252&lt;=90,L252,""))</f>
        <v/>
      </c>
      <c r="V252" s="27" t="str">
        <f aca="false">IF(H252="","",IF(AND(AsOf-H252&gt;90,AsOf-H252&lt;=270),L252,""))</f>
        <v/>
      </c>
    </row>
    <row r="253" customFormat="false" ht="15" hidden="false" customHeight="false" outlineLevel="0" collapsed="false">
      <c r="A253" s="2"/>
      <c r="B253" s="37"/>
      <c r="C253" s="2"/>
      <c r="D253" s="2"/>
      <c r="E253" s="2"/>
      <c r="F253" s="2"/>
      <c r="G253" s="2"/>
      <c r="H253" s="37"/>
      <c r="I253" s="2"/>
      <c r="J253" s="37"/>
      <c r="K253" s="27" t="str">
        <f aca="false">IF(A253="","",IF(H253="","Open","Closed"))</f>
        <v/>
      </c>
      <c r="L253" s="27" t="str">
        <f aca="false">IF(A253="","",IF(H253="",AsOf-B253,H253-B253))</f>
        <v/>
      </c>
      <c r="M253" s="27" t="str">
        <f aca="false">IF(A253="","",IF(AND(K253="Open",L253&gt;Target),"Yes","No"))</f>
        <v/>
      </c>
      <c r="N253" s="27" t="str">
        <f aca="false">IF(K253&lt;&gt;"Open","",IF(L253&lt;=30,"0-30",IF(L253&lt;=60,"31-60",IF(L253&lt;=90,"61-90","90+"))))</f>
        <v/>
      </c>
      <c r="O253" s="27" t="str">
        <f aca="false">IF(A253="","",IF(COUNTIFS($D$5:$D$400,D253,$F$5:$F$400,F253,$B$5:$B$400,"&gt;="&amp;(B253-RepeatWin),$B$5:$B$400,"&lt;"&amp;B253)&gt;0,"Yes","No"))</f>
        <v/>
      </c>
      <c r="P253" s="35" t="str">
        <f aca="false">IF(OR(I253="",H253=""),"",H253+CapaDue)</f>
        <v/>
      </c>
      <c r="Q253" s="27" t="str">
        <f aca="false">IF(A253="","",IF(I253="","Not required",IF(J253&lt;&gt;"","Closed",IF(H253="","Awaiting dev. close",IF(AsOf&gt;P253,"Overdue","Open")))))</f>
        <v/>
      </c>
      <c r="R253" s="27" t="str">
        <f aca="false">IF(J253="","",IF(COUNTIFS($D$5:$D$400,D253,$F$5:$F$400,F253,$B$5:$B$400,"&gt;"&amp;J253,$B$5:$B$400,"&lt;="&amp;(J253+EffWin))&gt;0,"Ineffective",IF(AsOf-J253&gt;=EffWin,"Effective","Check pending")))</f>
        <v/>
      </c>
      <c r="S253" s="36" t="str">
        <f aca="false">IF(A253="","",DATE(YEAR(B253),MONTH(B253),1))</f>
        <v/>
      </c>
      <c r="T253" s="36" t="str">
        <f aca="false">IF(H253="","",DATE(YEAR(H253),MONTH(H253),1))</f>
        <v/>
      </c>
      <c r="U253" s="27" t="str">
        <f aca="false">IF(H253="","",IF(AsOf-H253&lt;=90,L253,""))</f>
        <v/>
      </c>
      <c r="V253" s="27" t="str">
        <f aca="false">IF(H253="","",IF(AND(AsOf-H253&gt;90,AsOf-H253&lt;=270),L253,""))</f>
        <v/>
      </c>
    </row>
    <row r="254" customFormat="false" ht="15" hidden="false" customHeight="false" outlineLevel="0" collapsed="false">
      <c r="A254" s="2"/>
      <c r="B254" s="37"/>
      <c r="C254" s="2"/>
      <c r="D254" s="2"/>
      <c r="E254" s="2"/>
      <c r="F254" s="2"/>
      <c r="G254" s="2"/>
      <c r="H254" s="37"/>
      <c r="I254" s="2"/>
      <c r="J254" s="37"/>
      <c r="K254" s="27" t="str">
        <f aca="false">IF(A254="","",IF(H254="","Open","Closed"))</f>
        <v/>
      </c>
      <c r="L254" s="27" t="str">
        <f aca="false">IF(A254="","",IF(H254="",AsOf-B254,H254-B254))</f>
        <v/>
      </c>
      <c r="M254" s="27" t="str">
        <f aca="false">IF(A254="","",IF(AND(K254="Open",L254&gt;Target),"Yes","No"))</f>
        <v/>
      </c>
      <c r="N254" s="27" t="str">
        <f aca="false">IF(K254&lt;&gt;"Open","",IF(L254&lt;=30,"0-30",IF(L254&lt;=60,"31-60",IF(L254&lt;=90,"61-90","90+"))))</f>
        <v/>
      </c>
      <c r="O254" s="27" t="str">
        <f aca="false">IF(A254="","",IF(COUNTIFS($D$5:$D$400,D254,$F$5:$F$400,F254,$B$5:$B$400,"&gt;="&amp;(B254-RepeatWin),$B$5:$B$400,"&lt;"&amp;B254)&gt;0,"Yes","No"))</f>
        <v/>
      </c>
      <c r="P254" s="35" t="str">
        <f aca="false">IF(OR(I254="",H254=""),"",H254+CapaDue)</f>
        <v/>
      </c>
      <c r="Q254" s="27" t="str">
        <f aca="false">IF(A254="","",IF(I254="","Not required",IF(J254&lt;&gt;"","Closed",IF(H254="","Awaiting dev. close",IF(AsOf&gt;P254,"Overdue","Open")))))</f>
        <v/>
      </c>
      <c r="R254" s="27" t="str">
        <f aca="false">IF(J254="","",IF(COUNTIFS($D$5:$D$400,D254,$F$5:$F$400,F254,$B$5:$B$400,"&gt;"&amp;J254,$B$5:$B$400,"&lt;="&amp;(J254+EffWin))&gt;0,"Ineffective",IF(AsOf-J254&gt;=EffWin,"Effective","Check pending")))</f>
        <v/>
      </c>
      <c r="S254" s="36" t="str">
        <f aca="false">IF(A254="","",DATE(YEAR(B254),MONTH(B254),1))</f>
        <v/>
      </c>
      <c r="T254" s="36" t="str">
        <f aca="false">IF(H254="","",DATE(YEAR(H254),MONTH(H254),1))</f>
        <v/>
      </c>
      <c r="U254" s="27" t="str">
        <f aca="false">IF(H254="","",IF(AsOf-H254&lt;=90,L254,""))</f>
        <v/>
      </c>
      <c r="V254" s="27" t="str">
        <f aca="false">IF(H254="","",IF(AND(AsOf-H254&gt;90,AsOf-H254&lt;=270),L254,""))</f>
        <v/>
      </c>
    </row>
    <row r="255" customFormat="false" ht="15" hidden="false" customHeight="false" outlineLevel="0" collapsed="false">
      <c r="A255" s="2"/>
      <c r="B255" s="37"/>
      <c r="C255" s="2"/>
      <c r="D255" s="2"/>
      <c r="E255" s="2"/>
      <c r="F255" s="2"/>
      <c r="G255" s="2"/>
      <c r="H255" s="37"/>
      <c r="I255" s="2"/>
      <c r="J255" s="37"/>
      <c r="K255" s="27" t="str">
        <f aca="false">IF(A255="","",IF(H255="","Open","Closed"))</f>
        <v/>
      </c>
      <c r="L255" s="27" t="str">
        <f aca="false">IF(A255="","",IF(H255="",AsOf-B255,H255-B255))</f>
        <v/>
      </c>
      <c r="M255" s="27" t="str">
        <f aca="false">IF(A255="","",IF(AND(K255="Open",L255&gt;Target),"Yes","No"))</f>
        <v/>
      </c>
      <c r="N255" s="27" t="str">
        <f aca="false">IF(K255&lt;&gt;"Open","",IF(L255&lt;=30,"0-30",IF(L255&lt;=60,"31-60",IF(L255&lt;=90,"61-90","90+"))))</f>
        <v/>
      </c>
      <c r="O255" s="27" t="str">
        <f aca="false">IF(A255="","",IF(COUNTIFS($D$5:$D$400,D255,$F$5:$F$400,F255,$B$5:$B$400,"&gt;="&amp;(B255-RepeatWin),$B$5:$B$400,"&lt;"&amp;B255)&gt;0,"Yes","No"))</f>
        <v/>
      </c>
      <c r="P255" s="35" t="str">
        <f aca="false">IF(OR(I255="",H255=""),"",H255+CapaDue)</f>
        <v/>
      </c>
      <c r="Q255" s="27" t="str">
        <f aca="false">IF(A255="","",IF(I255="","Not required",IF(J255&lt;&gt;"","Closed",IF(H255="","Awaiting dev. close",IF(AsOf&gt;P255,"Overdue","Open")))))</f>
        <v/>
      </c>
      <c r="R255" s="27" t="str">
        <f aca="false">IF(J255="","",IF(COUNTIFS($D$5:$D$400,D255,$F$5:$F$400,F255,$B$5:$B$400,"&gt;"&amp;J255,$B$5:$B$400,"&lt;="&amp;(J255+EffWin))&gt;0,"Ineffective",IF(AsOf-J255&gt;=EffWin,"Effective","Check pending")))</f>
        <v/>
      </c>
      <c r="S255" s="36" t="str">
        <f aca="false">IF(A255="","",DATE(YEAR(B255),MONTH(B255),1))</f>
        <v/>
      </c>
      <c r="T255" s="36" t="str">
        <f aca="false">IF(H255="","",DATE(YEAR(H255),MONTH(H255),1))</f>
        <v/>
      </c>
      <c r="U255" s="27" t="str">
        <f aca="false">IF(H255="","",IF(AsOf-H255&lt;=90,L255,""))</f>
        <v/>
      </c>
      <c r="V255" s="27" t="str">
        <f aca="false">IF(H255="","",IF(AND(AsOf-H255&gt;90,AsOf-H255&lt;=270),L255,""))</f>
        <v/>
      </c>
    </row>
    <row r="256" customFormat="false" ht="15" hidden="false" customHeight="false" outlineLevel="0" collapsed="false">
      <c r="A256" s="2"/>
      <c r="B256" s="37"/>
      <c r="C256" s="2"/>
      <c r="D256" s="2"/>
      <c r="E256" s="2"/>
      <c r="F256" s="2"/>
      <c r="G256" s="2"/>
      <c r="H256" s="37"/>
      <c r="I256" s="2"/>
      <c r="J256" s="37"/>
      <c r="K256" s="27" t="str">
        <f aca="false">IF(A256="","",IF(H256="","Open","Closed"))</f>
        <v/>
      </c>
      <c r="L256" s="27" t="str">
        <f aca="false">IF(A256="","",IF(H256="",AsOf-B256,H256-B256))</f>
        <v/>
      </c>
      <c r="M256" s="27" t="str">
        <f aca="false">IF(A256="","",IF(AND(K256="Open",L256&gt;Target),"Yes","No"))</f>
        <v/>
      </c>
      <c r="N256" s="27" t="str">
        <f aca="false">IF(K256&lt;&gt;"Open","",IF(L256&lt;=30,"0-30",IF(L256&lt;=60,"31-60",IF(L256&lt;=90,"61-90","90+"))))</f>
        <v/>
      </c>
      <c r="O256" s="27" t="str">
        <f aca="false">IF(A256="","",IF(COUNTIFS($D$5:$D$400,D256,$F$5:$F$400,F256,$B$5:$B$400,"&gt;="&amp;(B256-RepeatWin),$B$5:$B$400,"&lt;"&amp;B256)&gt;0,"Yes","No"))</f>
        <v/>
      </c>
      <c r="P256" s="35" t="str">
        <f aca="false">IF(OR(I256="",H256=""),"",H256+CapaDue)</f>
        <v/>
      </c>
      <c r="Q256" s="27" t="str">
        <f aca="false">IF(A256="","",IF(I256="","Not required",IF(J256&lt;&gt;"","Closed",IF(H256="","Awaiting dev. close",IF(AsOf&gt;P256,"Overdue","Open")))))</f>
        <v/>
      </c>
      <c r="R256" s="27" t="str">
        <f aca="false">IF(J256="","",IF(COUNTIFS($D$5:$D$400,D256,$F$5:$F$400,F256,$B$5:$B$400,"&gt;"&amp;J256,$B$5:$B$400,"&lt;="&amp;(J256+EffWin))&gt;0,"Ineffective",IF(AsOf-J256&gt;=EffWin,"Effective","Check pending")))</f>
        <v/>
      </c>
      <c r="S256" s="36" t="str">
        <f aca="false">IF(A256="","",DATE(YEAR(B256),MONTH(B256),1))</f>
        <v/>
      </c>
      <c r="T256" s="36" t="str">
        <f aca="false">IF(H256="","",DATE(YEAR(H256),MONTH(H256),1))</f>
        <v/>
      </c>
      <c r="U256" s="27" t="str">
        <f aca="false">IF(H256="","",IF(AsOf-H256&lt;=90,L256,""))</f>
        <v/>
      </c>
      <c r="V256" s="27" t="str">
        <f aca="false">IF(H256="","",IF(AND(AsOf-H256&gt;90,AsOf-H256&lt;=270),L256,""))</f>
        <v/>
      </c>
    </row>
    <row r="257" customFormat="false" ht="15" hidden="false" customHeight="false" outlineLevel="0" collapsed="false">
      <c r="A257" s="2"/>
      <c r="B257" s="37"/>
      <c r="C257" s="2"/>
      <c r="D257" s="2"/>
      <c r="E257" s="2"/>
      <c r="F257" s="2"/>
      <c r="G257" s="2"/>
      <c r="H257" s="37"/>
      <c r="I257" s="2"/>
      <c r="J257" s="37"/>
      <c r="K257" s="27" t="str">
        <f aca="false">IF(A257="","",IF(H257="","Open","Closed"))</f>
        <v/>
      </c>
      <c r="L257" s="27" t="str">
        <f aca="false">IF(A257="","",IF(H257="",AsOf-B257,H257-B257))</f>
        <v/>
      </c>
      <c r="M257" s="27" t="str">
        <f aca="false">IF(A257="","",IF(AND(K257="Open",L257&gt;Target),"Yes","No"))</f>
        <v/>
      </c>
      <c r="N257" s="27" t="str">
        <f aca="false">IF(K257&lt;&gt;"Open","",IF(L257&lt;=30,"0-30",IF(L257&lt;=60,"31-60",IF(L257&lt;=90,"61-90","90+"))))</f>
        <v/>
      </c>
      <c r="O257" s="27" t="str">
        <f aca="false">IF(A257="","",IF(COUNTIFS($D$5:$D$400,D257,$F$5:$F$400,F257,$B$5:$B$400,"&gt;="&amp;(B257-RepeatWin),$B$5:$B$400,"&lt;"&amp;B257)&gt;0,"Yes","No"))</f>
        <v/>
      </c>
      <c r="P257" s="35" t="str">
        <f aca="false">IF(OR(I257="",H257=""),"",H257+CapaDue)</f>
        <v/>
      </c>
      <c r="Q257" s="27" t="str">
        <f aca="false">IF(A257="","",IF(I257="","Not required",IF(J257&lt;&gt;"","Closed",IF(H257="","Awaiting dev. close",IF(AsOf&gt;P257,"Overdue","Open")))))</f>
        <v/>
      </c>
      <c r="R257" s="27" t="str">
        <f aca="false">IF(J257="","",IF(COUNTIFS($D$5:$D$400,D257,$F$5:$F$400,F257,$B$5:$B$400,"&gt;"&amp;J257,$B$5:$B$400,"&lt;="&amp;(J257+EffWin))&gt;0,"Ineffective",IF(AsOf-J257&gt;=EffWin,"Effective","Check pending")))</f>
        <v/>
      </c>
      <c r="S257" s="36" t="str">
        <f aca="false">IF(A257="","",DATE(YEAR(B257),MONTH(B257),1))</f>
        <v/>
      </c>
      <c r="T257" s="36" t="str">
        <f aca="false">IF(H257="","",DATE(YEAR(H257),MONTH(H257),1))</f>
        <v/>
      </c>
      <c r="U257" s="27" t="str">
        <f aca="false">IF(H257="","",IF(AsOf-H257&lt;=90,L257,""))</f>
        <v/>
      </c>
      <c r="V257" s="27" t="str">
        <f aca="false">IF(H257="","",IF(AND(AsOf-H257&gt;90,AsOf-H257&lt;=270),L257,""))</f>
        <v/>
      </c>
    </row>
    <row r="258" customFormat="false" ht="15" hidden="false" customHeight="false" outlineLevel="0" collapsed="false">
      <c r="A258" s="2"/>
      <c r="B258" s="37"/>
      <c r="C258" s="2"/>
      <c r="D258" s="2"/>
      <c r="E258" s="2"/>
      <c r="F258" s="2"/>
      <c r="G258" s="2"/>
      <c r="H258" s="37"/>
      <c r="I258" s="2"/>
      <c r="J258" s="37"/>
      <c r="K258" s="27" t="str">
        <f aca="false">IF(A258="","",IF(H258="","Open","Closed"))</f>
        <v/>
      </c>
      <c r="L258" s="27" t="str">
        <f aca="false">IF(A258="","",IF(H258="",AsOf-B258,H258-B258))</f>
        <v/>
      </c>
      <c r="M258" s="27" t="str">
        <f aca="false">IF(A258="","",IF(AND(K258="Open",L258&gt;Target),"Yes","No"))</f>
        <v/>
      </c>
      <c r="N258" s="27" t="str">
        <f aca="false">IF(K258&lt;&gt;"Open","",IF(L258&lt;=30,"0-30",IF(L258&lt;=60,"31-60",IF(L258&lt;=90,"61-90","90+"))))</f>
        <v/>
      </c>
      <c r="O258" s="27" t="str">
        <f aca="false">IF(A258="","",IF(COUNTIFS($D$5:$D$400,D258,$F$5:$F$400,F258,$B$5:$B$400,"&gt;="&amp;(B258-RepeatWin),$B$5:$B$400,"&lt;"&amp;B258)&gt;0,"Yes","No"))</f>
        <v/>
      </c>
      <c r="P258" s="35" t="str">
        <f aca="false">IF(OR(I258="",H258=""),"",H258+CapaDue)</f>
        <v/>
      </c>
      <c r="Q258" s="27" t="str">
        <f aca="false">IF(A258="","",IF(I258="","Not required",IF(J258&lt;&gt;"","Closed",IF(H258="","Awaiting dev. close",IF(AsOf&gt;P258,"Overdue","Open")))))</f>
        <v/>
      </c>
      <c r="R258" s="27" t="str">
        <f aca="false">IF(J258="","",IF(COUNTIFS($D$5:$D$400,D258,$F$5:$F$400,F258,$B$5:$B$400,"&gt;"&amp;J258,$B$5:$B$400,"&lt;="&amp;(J258+EffWin))&gt;0,"Ineffective",IF(AsOf-J258&gt;=EffWin,"Effective","Check pending")))</f>
        <v/>
      </c>
      <c r="S258" s="36" t="str">
        <f aca="false">IF(A258="","",DATE(YEAR(B258),MONTH(B258),1))</f>
        <v/>
      </c>
      <c r="T258" s="36" t="str">
        <f aca="false">IF(H258="","",DATE(YEAR(H258),MONTH(H258),1))</f>
        <v/>
      </c>
      <c r="U258" s="27" t="str">
        <f aca="false">IF(H258="","",IF(AsOf-H258&lt;=90,L258,""))</f>
        <v/>
      </c>
      <c r="V258" s="27" t="str">
        <f aca="false">IF(H258="","",IF(AND(AsOf-H258&gt;90,AsOf-H258&lt;=270),L258,""))</f>
        <v/>
      </c>
    </row>
    <row r="259" customFormat="false" ht="15" hidden="false" customHeight="false" outlineLevel="0" collapsed="false">
      <c r="A259" s="2"/>
      <c r="B259" s="37"/>
      <c r="C259" s="2"/>
      <c r="D259" s="2"/>
      <c r="E259" s="2"/>
      <c r="F259" s="2"/>
      <c r="G259" s="2"/>
      <c r="H259" s="37"/>
      <c r="I259" s="2"/>
      <c r="J259" s="37"/>
      <c r="K259" s="27" t="str">
        <f aca="false">IF(A259="","",IF(H259="","Open","Closed"))</f>
        <v/>
      </c>
      <c r="L259" s="27" t="str">
        <f aca="false">IF(A259="","",IF(H259="",AsOf-B259,H259-B259))</f>
        <v/>
      </c>
      <c r="M259" s="27" t="str">
        <f aca="false">IF(A259="","",IF(AND(K259="Open",L259&gt;Target),"Yes","No"))</f>
        <v/>
      </c>
      <c r="N259" s="27" t="str">
        <f aca="false">IF(K259&lt;&gt;"Open","",IF(L259&lt;=30,"0-30",IF(L259&lt;=60,"31-60",IF(L259&lt;=90,"61-90","90+"))))</f>
        <v/>
      </c>
      <c r="O259" s="27" t="str">
        <f aca="false">IF(A259="","",IF(COUNTIFS($D$5:$D$400,D259,$F$5:$F$400,F259,$B$5:$B$400,"&gt;="&amp;(B259-RepeatWin),$B$5:$B$400,"&lt;"&amp;B259)&gt;0,"Yes","No"))</f>
        <v/>
      </c>
      <c r="P259" s="35" t="str">
        <f aca="false">IF(OR(I259="",H259=""),"",H259+CapaDue)</f>
        <v/>
      </c>
      <c r="Q259" s="27" t="str">
        <f aca="false">IF(A259="","",IF(I259="","Not required",IF(J259&lt;&gt;"","Closed",IF(H259="","Awaiting dev. close",IF(AsOf&gt;P259,"Overdue","Open")))))</f>
        <v/>
      </c>
      <c r="R259" s="27" t="str">
        <f aca="false">IF(J259="","",IF(COUNTIFS($D$5:$D$400,D259,$F$5:$F$400,F259,$B$5:$B$400,"&gt;"&amp;J259,$B$5:$B$400,"&lt;="&amp;(J259+EffWin))&gt;0,"Ineffective",IF(AsOf-J259&gt;=EffWin,"Effective","Check pending")))</f>
        <v/>
      </c>
      <c r="S259" s="36" t="str">
        <f aca="false">IF(A259="","",DATE(YEAR(B259),MONTH(B259),1))</f>
        <v/>
      </c>
      <c r="T259" s="36" t="str">
        <f aca="false">IF(H259="","",DATE(YEAR(H259),MONTH(H259),1))</f>
        <v/>
      </c>
      <c r="U259" s="27" t="str">
        <f aca="false">IF(H259="","",IF(AsOf-H259&lt;=90,L259,""))</f>
        <v/>
      </c>
      <c r="V259" s="27" t="str">
        <f aca="false">IF(H259="","",IF(AND(AsOf-H259&gt;90,AsOf-H259&lt;=270),L259,""))</f>
        <v/>
      </c>
    </row>
    <row r="260" customFormat="false" ht="15" hidden="false" customHeight="false" outlineLevel="0" collapsed="false">
      <c r="A260" s="2"/>
      <c r="B260" s="37"/>
      <c r="C260" s="2"/>
      <c r="D260" s="2"/>
      <c r="E260" s="2"/>
      <c r="F260" s="2"/>
      <c r="G260" s="2"/>
      <c r="H260" s="37"/>
      <c r="I260" s="2"/>
      <c r="J260" s="37"/>
      <c r="K260" s="27" t="str">
        <f aca="false">IF(A260="","",IF(H260="","Open","Closed"))</f>
        <v/>
      </c>
      <c r="L260" s="27" t="str">
        <f aca="false">IF(A260="","",IF(H260="",AsOf-B260,H260-B260))</f>
        <v/>
      </c>
      <c r="M260" s="27" t="str">
        <f aca="false">IF(A260="","",IF(AND(K260="Open",L260&gt;Target),"Yes","No"))</f>
        <v/>
      </c>
      <c r="N260" s="27" t="str">
        <f aca="false">IF(K260&lt;&gt;"Open","",IF(L260&lt;=30,"0-30",IF(L260&lt;=60,"31-60",IF(L260&lt;=90,"61-90","90+"))))</f>
        <v/>
      </c>
      <c r="O260" s="27" t="str">
        <f aca="false">IF(A260="","",IF(COUNTIFS($D$5:$D$400,D260,$F$5:$F$400,F260,$B$5:$B$400,"&gt;="&amp;(B260-RepeatWin),$B$5:$B$400,"&lt;"&amp;B260)&gt;0,"Yes","No"))</f>
        <v/>
      </c>
      <c r="P260" s="35" t="str">
        <f aca="false">IF(OR(I260="",H260=""),"",H260+CapaDue)</f>
        <v/>
      </c>
      <c r="Q260" s="27" t="str">
        <f aca="false">IF(A260="","",IF(I260="","Not required",IF(J260&lt;&gt;"","Closed",IF(H260="","Awaiting dev. close",IF(AsOf&gt;P260,"Overdue","Open")))))</f>
        <v/>
      </c>
      <c r="R260" s="27" t="str">
        <f aca="false">IF(J260="","",IF(COUNTIFS($D$5:$D$400,D260,$F$5:$F$400,F260,$B$5:$B$400,"&gt;"&amp;J260,$B$5:$B$400,"&lt;="&amp;(J260+EffWin))&gt;0,"Ineffective",IF(AsOf-J260&gt;=EffWin,"Effective","Check pending")))</f>
        <v/>
      </c>
      <c r="S260" s="36" t="str">
        <f aca="false">IF(A260="","",DATE(YEAR(B260),MONTH(B260),1))</f>
        <v/>
      </c>
      <c r="T260" s="36" t="str">
        <f aca="false">IF(H260="","",DATE(YEAR(H260),MONTH(H260),1))</f>
        <v/>
      </c>
      <c r="U260" s="27" t="str">
        <f aca="false">IF(H260="","",IF(AsOf-H260&lt;=90,L260,""))</f>
        <v/>
      </c>
      <c r="V260" s="27" t="str">
        <f aca="false">IF(H260="","",IF(AND(AsOf-H260&gt;90,AsOf-H260&lt;=270),L260,""))</f>
        <v/>
      </c>
    </row>
    <row r="261" customFormat="false" ht="15" hidden="false" customHeight="false" outlineLevel="0" collapsed="false">
      <c r="A261" s="2"/>
      <c r="B261" s="37"/>
      <c r="C261" s="2"/>
      <c r="D261" s="2"/>
      <c r="E261" s="2"/>
      <c r="F261" s="2"/>
      <c r="G261" s="2"/>
      <c r="H261" s="37"/>
      <c r="I261" s="2"/>
      <c r="J261" s="37"/>
      <c r="K261" s="27" t="str">
        <f aca="false">IF(A261="","",IF(H261="","Open","Closed"))</f>
        <v/>
      </c>
      <c r="L261" s="27" t="str">
        <f aca="false">IF(A261="","",IF(H261="",AsOf-B261,H261-B261))</f>
        <v/>
      </c>
      <c r="M261" s="27" t="str">
        <f aca="false">IF(A261="","",IF(AND(K261="Open",L261&gt;Target),"Yes","No"))</f>
        <v/>
      </c>
      <c r="N261" s="27" t="str">
        <f aca="false">IF(K261&lt;&gt;"Open","",IF(L261&lt;=30,"0-30",IF(L261&lt;=60,"31-60",IF(L261&lt;=90,"61-90","90+"))))</f>
        <v/>
      </c>
      <c r="O261" s="27" t="str">
        <f aca="false">IF(A261="","",IF(COUNTIFS($D$5:$D$400,D261,$F$5:$F$400,F261,$B$5:$B$400,"&gt;="&amp;(B261-RepeatWin),$B$5:$B$400,"&lt;"&amp;B261)&gt;0,"Yes","No"))</f>
        <v/>
      </c>
      <c r="P261" s="35" t="str">
        <f aca="false">IF(OR(I261="",H261=""),"",H261+CapaDue)</f>
        <v/>
      </c>
      <c r="Q261" s="27" t="str">
        <f aca="false">IF(A261="","",IF(I261="","Not required",IF(J261&lt;&gt;"","Closed",IF(H261="","Awaiting dev. close",IF(AsOf&gt;P261,"Overdue","Open")))))</f>
        <v/>
      </c>
      <c r="R261" s="27" t="str">
        <f aca="false">IF(J261="","",IF(COUNTIFS($D$5:$D$400,D261,$F$5:$F$400,F261,$B$5:$B$400,"&gt;"&amp;J261,$B$5:$B$400,"&lt;="&amp;(J261+EffWin))&gt;0,"Ineffective",IF(AsOf-J261&gt;=EffWin,"Effective","Check pending")))</f>
        <v/>
      </c>
      <c r="S261" s="36" t="str">
        <f aca="false">IF(A261="","",DATE(YEAR(B261),MONTH(B261),1))</f>
        <v/>
      </c>
      <c r="T261" s="36" t="str">
        <f aca="false">IF(H261="","",DATE(YEAR(H261),MONTH(H261),1))</f>
        <v/>
      </c>
      <c r="U261" s="27" t="str">
        <f aca="false">IF(H261="","",IF(AsOf-H261&lt;=90,L261,""))</f>
        <v/>
      </c>
      <c r="V261" s="27" t="str">
        <f aca="false">IF(H261="","",IF(AND(AsOf-H261&gt;90,AsOf-H261&lt;=270),L261,""))</f>
        <v/>
      </c>
    </row>
    <row r="262" customFormat="false" ht="15" hidden="false" customHeight="false" outlineLevel="0" collapsed="false">
      <c r="A262" s="2"/>
      <c r="B262" s="37"/>
      <c r="C262" s="2"/>
      <c r="D262" s="2"/>
      <c r="E262" s="2"/>
      <c r="F262" s="2"/>
      <c r="G262" s="2"/>
      <c r="H262" s="37"/>
      <c r="I262" s="2"/>
      <c r="J262" s="37"/>
      <c r="K262" s="27" t="str">
        <f aca="false">IF(A262="","",IF(H262="","Open","Closed"))</f>
        <v/>
      </c>
      <c r="L262" s="27" t="str">
        <f aca="false">IF(A262="","",IF(H262="",AsOf-B262,H262-B262))</f>
        <v/>
      </c>
      <c r="M262" s="27" t="str">
        <f aca="false">IF(A262="","",IF(AND(K262="Open",L262&gt;Target),"Yes","No"))</f>
        <v/>
      </c>
      <c r="N262" s="27" t="str">
        <f aca="false">IF(K262&lt;&gt;"Open","",IF(L262&lt;=30,"0-30",IF(L262&lt;=60,"31-60",IF(L262&lt;=90,"61-90","90+"))))</f>
        <v/>
      </c>
      <c r="O262" s="27" t="str">
        <f aca="false">IF(A262="","",IF(COUNTIFS($D$5:$D$400,D262,$F$5:$F$400,F262,$B$5:$B$400,"&gt;="&amp;(B262-RepeatWin),$B$5:$B$400,"&lt;"&amp;B262)&gt;0,"Yes","No"))</f>
        <v/>
      </c>
      <c r="P262" s="35" t="str">
        <f aca="false">IF(OR(I262="",H262=""),"",H262+CapaDue)</f>
        <v/>
      </c>
      <c r="Q262" s="27" t="str">
        <f aca="false">IF(A262="","",IF(I262="","Not required",IF(J262&lt;&gt;"","Closed",IF(H262="","Awaiting dev. close",IF(AsOf&gt;P262,"Overdue","Open")))))</f>
        <v/>
      </c>
      <c r="R262" s="27" t="str">
        <f aca="false">IF(J262="","",IF(COUNTIFS($D$5:$D$400,D262,$F$5:$F$400,F262,$B$5:$B$400,"&gt;"&amp;J262,$B$5:$B$400,"&lt;="&amp;(J262+EffWin))&gt;0,"Ineffective",IF(AsOf-J262&gt;=EffWin,"Effective","Check pending")))</f>
        <v/>
      </c>
      <c r="S262" s="36" t="str">
        <f aca="false">IF(A262="","",DATE(YEAR(B262),MONTH(B262),1))</f>
        <v/>
      </c>
      <c r="T262" s="36" t="str">
        <f aca="false">IF(H262="","",DATE(YEAR(H262),MONTH(H262),1))</f>
        <v/>
      </c>
      <c r="U262" s="27" t="str">
        <f aca="false">IF(H262="","",IF(AsOf-H262&lt;=90,L262,""))</f>
        <v/>
      </c>
      <c r="V262" s="27" t="str">
        <f aca="false">IF(H262="","",IF(AND(AsOf-H262&gt;90,AsOf-H262&lt;=270),L262,""))</f>
        <v/>
      </c>
    </row>
    <row r="263" customFormat="false" ht="15" hidden="false" customHeight="false" outlineLevel="0" collapsed="false">
      <c r="A263" s="2"/>
      <c r="B263" s="37"/>
      <c r="C263" s="2"/>
      <c r="D263" s="2"/>
      <c r="E263" s="2"/>
      <c r="F263" s="2"/>
      <c r="G263" s="2"/>
      <c r="H263" s="37"/>
      <c r="I263" s="2"/>
      <c r="J263" s="37"/>
      <c r="K263" s="27" t="str">
        <f aca="false">IF(A263="","",IF(H263="","Open","Closed"))</f>
        <v/>
      </c>
      <c r="L263" s="27" t="str">
        <f aca="false">IF(A263="","",IF(H263="",AsOf-B263,H263-B263))</f>
        <v/>
      </c>
      <c r="M263" s="27" t="str">
        <f aca="false">IF(A263="","",IF(AND(K263="Open",L263&gt;Target),"Yes","No"))</f>
        <v/>
      </c>
      <c r="N263" s="27" t="str">
        <f aca="false">IF(K263&lt;&gt;"Open","",IF(L263&lt;=30,"0-30",IF(L263&lt;=60,"31-60",IF(L263&lt;=90,"61-90","90+"))))</f>
        <v/>
      </c>
      <c r="O263" s="27" t="str">
        <f aca="false">IF(A263="","",IF(COUNTIFS($D$5:$D$400,D263,$F$5:$F$400,F263,$B$5:$B$400,"&gt;="&amp;(B263-RepeatWin),$B$5:$B$400,"&lt;"&amp;B263)&gt;0,"Yes","No"))</f>
        <v/>
      </c>
      <c r="P263" s="35" t="str">
        <f aca="false">IF(OR(I263="",H263=""),"",H263+CapaDue)</f>
        <v/>
      </c>
      <c r="Q263" s="27" t="str">
        <f aca="false">IF(A263="","",IF(I263="","Not required",IF(J263&lt;&gt;"","Closed",IF(H263="","Awaiting dev. close",IF(AsOf&gt;P263,"Overdue","Open")))))</f>
        <v/>
      </c>
      <c r="R263" s="27" t="str">
        <f aca="false">IF(J263="","",IF(COUNTIFS($D$5:$D$400,D263,$F$5:$F$400,F263,$B$5:$B$400,"&gt;"&amp;J263,$B$5:$B$400,"&lt;="&amp;(J263+EffWin))&gt;0,"Ineffective",IF(AsOf-J263&gt;=EffWin,"Effective","Check pending")))</f>
        <v/>
      </c>
      <c r="S263" s="36" t="str">
        <f aca="false">IF(A263="","",DATE(YEAR(B263),MONTH(B263),1))</f>
        <v/>
      </c>
      <c r="T263" s="36" t="str">
        <f aca="false">IF(H263="","",DATE(YEAR(H263),MONTH(H263),1))</f>
        <v/>
      </c>
      <c r="U263" s="27" t="str">
        <f aca="false">IF(H263="","",IF(AsOf-H263&lt;=90,L263,""))</f>
        <v/>
      </c>
      <c r="V263" s="27" t="str">
        <f aca="false">IF(H263="","",IF(AND(AsOf-H263&gt;90,AsOf-H263&lt;=270),L263,""))</f>
        <v/>
      </c>
    </row>
    <row r="264" customFormat="false" ht="15" hidden="false" customHeight="false" outlineLevel="0" collapsed="false">
      <c r="A264" s="2"/>
      <c r="B264" s="37"/>
      <c r="C264" s="2"/>
      <c r="D264" s="2"/>
      <c r="E264" s="2"/>
      <c r="F264" s="2"/>
      <c r="G264" s="2"/>
      <c r="H264" s="37"/>
      <c r="I264" s="2"/>
      <c r="J264" s="37"/>
      <c r="K264" s="27" t="str">
        <f aca="false">IF(A264="","",IF(H264="","Open","Closed"))</f>
        <v/>
      </c>
      <c r="L264" s="27" t="str">
        <f aca="false">IF(A264="","",IF(H264="",AsOf-B264,H264-B264))</f>
        <v/>
      </c>
      <c r="M264" s="27" t="str">
        <f aca="false">IF(A264="","",IF(AND(K264="Open",L264&gt;Target),"Yes","No"))</f>
        <v/>
      </c>
      <c r="N264" s="27" t="str">
        <f aca="false">IF(K264&lt;&gt;"Open","",IF(L264&lt;=30,"0-30",IF(L264&lt;=60,"31-60",IF(L264&lt;=90,"61-90","90+"))))</f>
        <v/>
      </c>
      <c r="O264" s="27" t="str">
        <f aca="false">IF(A264="","",IF(COUNTIFS($D$5:$D$400,D264,$F$5:$F$400,F264,$B$5:$B$400,"&gt;="&amp;(B264-RepeatWin),$B$5:$B$400,"&lt;"&amp;B264)&gt;0,"Yes","No"))</f>
        <v/>
      </c>
      <c r="P264" s="35" t="str">
        <f aca="false">IF(OR(I264="",H264=""),"",H264+CapaDue)</f>
        <v/>
      </c>
      <c r="Q264" s="27" t="str">
        <f aca="false">IF(A264="","",IF(I264="","Not required",IF(J264&lt;&gt;"","Closed",IF(H264="","Awaiting dev. close",IF(AsOf&gt;P264,"Overdue","Open")))))</f>
        <v/>
      </c>
      <c r="R264" s="27" t="str">
        <f aca="false">IF(J264="","",IF(COUNTIFS($D$5:$D$400,D264,$F$5:$F$400,F264,$B$5:$B$400,"&gt;"&amp;J264,$B$5:$B$400,"&lt;="&amp;(J264+EffWin))&gt;0,"Ineffective",IF(AsOf-J264&gt;=EffWin,"Effective","Check pending")))</f>
        <v/>
      </c>
      <c r="S264" s="36" t="str">
        <f aca="false">IF(A264="","",DATE(YEAR(B264),MONTH(B264),1))</f>
        <v/>
      </c>
      <c r="T264" s="36" t="str">
        <f aca="false">IF(H264="","",DATE(YEAR(H264),MONTH(H264),1))</f>
        <v/>
      </c>
      <c r="U264" s="27" t="str">
        <f aca="false">IF(H264="","",IF(AsOf-H264&lt;=90,L264,""))</f>
        <v/>
      </c>
      <c r="V264" s="27" t="str">
        <f aca="false">IF(H264="","",IF(AND(AsOf-H264&gt;90,AsOf-H264&lt;=270),L264,""))</f>
        <v/>
      </c>
    </row>
    <row r="265" customFormat="false" ht="15" hidden="false" customHeight="false" outlineLevel="0" collapsed="false">
      <c r="A265" s="2"/>
      <c r="B265" s="37"/>
      <c r="C265" s="2"/>
      <c r="D265" s="2"/>
      <c r="E265" s="2"/>
      <c r="F265" s="2"/>
      <c r="G265" s="2"/>
      <c r="H265" s="37"/>
      <c r="I265" s="2"/>
      <c r="J265" s="37"/>
      <c r="K265" s="27" t="str">
        <f aca="false">IF(A265="","",IF(H265="","Open","Closed"))</f>
        <v/>
      </c>
      <c r="L265" s="27" t="str">
        <f aca="false">IF(A265="","",IF(H265="",AsOf-B265,H265-B265))</f>
        <v/>
      </c>
      <c r="M265" s="27" t="str">
        <f aca="false">IF(A265="","",IF(AND(K265="Open",L265&gt;Target),"Yes","No"))</f>
        <v/>
      </c>
      <c r="N265" s="27" t="str">
        <f aca="false">IF(K265&lt;&gt;"Open","",IF(L265&lt;=30,"0-30",IF(L265&lt;=60,"31-60",IF(L265&lt;=90,"61-90","90+"))))</f>
        <v/>
      </c>
      <c r="O265" s="27" t="str">
        <f aca="false">IF(A265="","",IF(COUNTIFS($D$5:$D$400,D265,$F$5:$F$400,F265,$B$5:$B$400,"&gt;="&amp;(B265-RepeatWin),$B$5:$B$400,"&lt;"&amp;B265)&gt;0,"Yes","No"))</f>
        <v/>
      </c>
      <c r="P265" s="35" t="str">
        <f aca="false">IF(OR(I265="",H265=""),"",H265+CapaDue)</f>
        <v/>
      </c>
      <c r="Q265" s="27" t="str">
        <f aca="false">IF(A265="","",IF(I265="","Not required",IF(J265&lt;&gt;"","Closed",IF(H265="","Awaiting dev. close",IF(AsOf&gt;P265,"Overdue","Open")))))</f>
        <v/>
      </c>
      <c r="R265" s="27" t="str">
        <f aca="false">IF(J265="","",IF(COUNTIFS($D$5:$D$400,D265,$F$5:$F$400,F265,$B$5:$B$400,"&gt;"&amp;J265,$B$5:$B$400,"&lt;="&amp;(J265+EffWin))&gt;0,"Ineffective",IF(AsOf-J265&gt;=EffWin,"Effective","Check pending")))</f>
        <v/>
      </c>
      <c r="S265" s="36" t="str">
        <f aca="false">IF(A265="","",DATE(YEAR(B265),MONTH(B265),1))</f>
        <v/>
      </c>
      <c r="T265" s="36" t="str">
        <f aca="false">IF(H265="","",DATE(YEAR(H265),MONTH(H265),1))</f>
        <v/>
      </c>
      <c r="U265" s="27" t="str">
        <f aca="false">IF(H265="","",IF(AsOf-H265&lt;=90,L265,""))</f>
        <v/>
      </c>
      <c r="V265" s="27" t="str">
        <f aca="false">IF(H265="","",IF(AND(AsOf-H265&gt;90,AsOf-H265&lt;=270),L265,""))</f>
        <v/>
      </c>
    </row>
    <row r="266" customFormat="false" ht="15" hidden="false" customHeight="false" outlineLevel="0" collapsed="false">
      <c r="A266" s="2"/>
      <c r="B266" s="37"/>
      <c r="C266" s="2"/>
      <c r="D266" s="2"/>
      <c r="E266" s="2"/>
      <c r="F266" s="2"/>
      <c r="G266" s="2"/>
      <c r="H266" s="37"/>
      <c r="I266" s="2"/>
      <c r="J266" s="37"/>
      <c r="K266" s="27" t="str">
        <f aca="false">IF(A266="","",IF(H266="","Open","Closed"))</f>
        <v/>
      </c>
      <c r="L266" s="27" t="str">
        <f aca="false">IF(A266="","",IF(H266="",AsOf-B266,H266-B266))</f>
        <v/>
      </c>
      <c r="M266" s="27" t="str">
        <f aca="false">IF(A266="","",IF(AND(K266="Open",L266&gt;Target),"Yes","No"))</f>
        <v/>
      </c>
      <c r="N266" s="27" t="str">
        <f aca="false">IF(K266&lt;&gt;"Open","",IF(L266&lt;=30,"0-30",IF(L266&lt;=60,"31-60",IF(L266&lt;=90,"61-90","90+"))))</f>
        <v/>
      </c>
      <c r="O266" s="27" t="str">
        <f aca="false">IF(A266="","",IF(COUNTIFS($D$5:$D$400,D266,$F$5:$F$400,F266,$B$5:$B$400,"&gt;="&amp;(B266-RepeatWin),$B$5:$B$400,"&lt;"&amp;B266)&gt;0,"Yes","No"))</f>
        <v/>
      </c>
      <c r="P266" s="35" t="str">
        <f aca="false">IF(OR(I266="",H266=""),"",H266+CapaDue)</f>
        <v/>
      </c>
      <c r="Q266" s="27" t="str">
        <f aca="false">IF(A266="","",IF(I266="","Not required",IF(J266&lt;&gt;"","Closed",IF(H266="","Awaiting dev. close",IF(AsOf&gt;P266,"Overdue","Open")))))</f>
        <v/>
      </c>
      <c r="R266" s="27" t="str">
        <f aca="false">IF(J266="","",IF(COUNTIFS($D$5:$D$400,D266,$F$5:$F$400,F266,$B$5:$B$400,"&gt;"&amp;J266,$B$5:$B$400,"&lt;="&amp;(J266+EffWin))&gt;0,"Ineffective",IF(AsOf-J266&gt;=EffWin,"Effective","Check pending")))</f>
        <v/>
      </c>
      <c r="S266" s="36" t="str">
        <f aca="false">IF(A266="","",DATE(YEAR(B266),MONTH(B266),1))</f>
        <v/>
      </c>
      <c r="T266" s="36" t="str">
        <f aca="false">IF(H266="","",DATE(YEAR(H266),MONTH(H266),1))</f>
        <v/>
      </c>
      <c r="U266" s="27" t="str">
        <f aca="false">IF(H266="","",IF(AsOf-H266&lt;=90,L266,""))</f>
        <v/>
      </c>
      <c r="V266" s="27" t="str">
        <f aca="false">IF(H266="","",IF(AND(AsOf-H266&gt;90,AsOf-H266&lt;=270),L266,""))</f>
        <v/>
      </c>
    </row>
    <row r="267" customFormat="false" ht="15" hidden="false" customHeight="false" outlineLevel="0" collapsed="false">
      <c r="A267" s="2"/>
      <c r="B267" s="37"/>
      <c r="C267" s="2"/>
      <c r="D267" s="2"/>
      <c r="E267" s="2"/>
      <c r="F267" s="2"/>
      <c r="G267" s="2"/>
      <c r="H267" s="37"/>
      <c r="I267" s="2"/>
      <c r="J267" s="37"/>
      <c r="K267" s="27" t="str">
        <f aca="false">IF(A267="","",IF(H267="","Open","Closed"))</f>
        <v/>
      </c>
      <c r="L267" s="27" t="str">
        <f aca="false">IF(A267="","",IF(H267="",AsOf-B267,H267-B267))</f>
        <v/>
      </c>
      <c r="M267" s="27" t="str">
        <f aca="false">IF(A267="","",IF(AND(K267="Open",L267&gt;Target),"Yes","No"))</f>
        <v/>
      </c>
      <c r="N267" s="27" t="str">
        <f aca="false">IF(K267&lt;&gt;"Open","",IF(L267&lt;=30,"0-30",IF(L267&lt;=60,"31-60",IF(L267&lt;=90,"61-90","90+"))))</f>
        <v/>
      </c>
      <c r="O267" s="27" t="str">
        <f aca="false">IF(A267="","",IF(COUNTIFS($D$5:$D$400,D267,$F$5:$F$400,F267,$B$5:$B$400,"&gt;="&amp;(B267-RepeatWin),$B$5:$B$400,"&lt;"&amp;B267)&gt;0,"Yes","No"))</f>
        <v/>
      </c>
      <c r="P267" s="35" t="str">
        <f aca="false">IF(OR(I267="",H267=""),"",H267+CapaDue)</f>
        <v/>
      </c>
      <c r="Q267" s="27" t="str">
        <f aca="false">IF(A267="","",IF(I267="","Not required",IF(J267&lt;&gt;"","Closed",IF(H267="","Awaiting dev. close",IF(AsOf&gt;P267,"Overdue","Open")))))</f>
        <v/>
      </c>
      <c r="R267" s="27" t="str">
        <f aca="false">IF(J267="","",IF(COUNTIFS($D$5:$D$400,D267,$F$5:$F$400,F267,$B$5:$B$400,"&gt;"&amp;J267,$B$5:$B$400,"&lt;="&amp;(J267+EffWin))&gt;0,"Ineffective",IF(AsOf-J267&gt;=EffWin,"Effective","Check pending")))</f>
        <v/>
      </c>
      <c r="S267" s="36" t="str">
        <f aca="false">IF(A267="","",DATE(YEAR(B267),MONTH(B267),1))</f>
        <v/>
      </c>
      <c r="T267" s="36" t="str">
        <f aca="false">IF(H267="","",DATE(YEAR(H267),MONTH(H267),1))</f>
        <v/>
      </c>
      <c r="U267" s="27" t="str">
        <f aca="false">IF(H267="","",IF(AsOf-H267&lt;=90,L267,""))</f>
        <v/>
      </c>
      <c r="V267" s="27" t="str">
        <f aca="false">IF(H267="","",IF(AND(AsOf-H267&gt;90,AsOf-H267&lt;=270),L267,""))</f>
        <v/>
      </c>
    </row>
    <row r="268" customFormat="false" ht="15" hidden="false" customHeight="false" outlineLevel="0" collapsed="false">
      <c r="A268" s="2"/>
      <c r="B268" s="37"/>
      <c r="C268" s="2"/>
      <c r="D268" s="2"/>
      <c r="E268" s="2"/>
      <c r="F268" s="2"/>
      <c r="G268" s="2"/>
      <c r="H268" s="37"/>
      <c r="I268" s="2"/>
      <c r="J268" s="37"/>
      <c r="K268" s="27" t="str">
        <f aca="false">IF(A268="","",IF(H268="","Open","Closed"))</f>
        <v/>
      </c>
      <c r="L268" s="27" t="str">
        <f aca="false">IF(A268="","",IF(H268="",AsOf-B268,H268-B268))</f>
        <v/>
      </c>
      <c r="M268" s="27" t="str">
        <f aca="false">IF(A268="","",IF(AND(K268="Open",L268&gt;Target),"Yes","No"))</f>
        <v/>
      </c>
      <c r="N268" s="27" t="str">
        <f aca="false">IF(K268&lt;&gt;"Open","",IF(L268&lt;=30,"0-30",IF(L268&lt;=60,"31-60",IF(L268&lt;=90,"61-90","90+"))))</f>
        <v/>
      </c>
      <c r="O268" s="27" t="str">
        <f aca="false">IF(A268="","",IF(COUNTIFS($D$5:$D$400,D268,$F$5:$F$400,F268,$B$5:$B$400,"&gt;="&amp;(B268-RepeatWin),$B$5:$B$400,"&lt;"&amp;B268)&gt;0,"Yes","No"))</f>
        <v/>
      </c>
      <c r="P268" s="35" t="str">
        <f aca="false">IF(OR(I268="",H268=""),"",H268+CapaDue)</f>
        <v/>
      </c>
      <c r="Q268" s="27" t="str">
        <f aca="false">IF(A268="","",IF(I268="","Not required",IF(J268&lt;&gt;"","Closed",IF(H268="","Awaiting dev. close",IF(AsOf&gt;P268,"Overdue","Open")))))</f>
        <v/>
      </c>
      <c r="R268" s="27" t="str">
        <f aca="false">IF(J268="","",IF(COUNTIFS($D$5:$D$400,D268,$F$5:$F$400,F268,$B$5:$B$400,"&gt;"&amp;J268,$B$5:$B$400,"&lt;="&amp;(J268+EffWin))&gt;0,"Ineffective",IF(AsOf-J268&gt;=EffWin,"Effective","Check pending")))</f>
        <v/>
      </c>
      <c r="S268" s="36" t="str">
        <f aca="false">IF(A268="","",DATE(YEAR(B268),MONTH(B268),1))</f>
        <v/>
      </c>
      <c r="T268" s="36" t="str">
        <f aca="false">IF(H268="","",DATE(YEAR(H268),MONTH(H268),1))</f>
        <v/>
      </c>
      <c r="U268" s="27" t="str">
        <f aca="false">IF(H268="","",IF(AsOf-H268&lt;=90,L268,""))</f>
        <v/>
      </c>
      <c r="V268" s="27" t="str">
        <f aca="false">IF(H268="","",IF(AND(AsOf-H268&gt;90,AsOf-H268&lt;=270),L268,""))</f>
        <v/>
      </c>
    </row>
    <row r="269" customFormat="false" ht="15" hidden="false" customHeight="false" outlineLevel="0" collapsed="false">
      <c r="A269" s="2"/>
      <c r="B269" s="37"/>
      <c r="C269" s="2"/>
      <c r="D269" s="2"/>
      <c r="E269" s="2"/>
      <c r="F269" s="2"/>
      <c r="G269" s="2"/>
      <c r="H269" s="37"/>
      <c r="I269" s="2"/>
      <c r="J269" s="37"/>
      <c r="K269" s="27" t="str">
        <f aca="false">IF(A269="","",IF(H269="","Open","Closed"))</f>
        <v/>
      </c>
      <c r="L269" s="27" t="str">
        <f aca="false">IF(A269="","",IF(H269="",AsOf-B269,H269-B269))</f>
        <v/>
      </c>
      <c r="M269" s="27" t="str">
        <f aca="false">IF(A269="","",IF(AND(K269="Open",L269&gt;Target),"Yes","No"))</f>
        <v/>
      </c>
      <c r="N269" s="27" t="str">
        <f aca="false">IF(K269&lt;&gt;"Open","",IF(L269&lt;=30,"0-30",IF(L269&lt;=60,"31-60",IF(L269&lt;=90,"61-90","90+"))))</f>
        <v/>
      </c>
      <c r="O269" s="27" t="str">
        <f aca="false">IF(A269="","",IF(COUNTIFS($D$5:$D$400,D269,$F$5:$F$400,F269,$B$5:$B$400,"&gt;="&amp;(B269-RepeatWin),$B$5:$B$400,"&lt;"&amp;B269)&gt;0,"Yes","No"))</f>
        <v/>
      </c>
      <c r="P269" s="35" t="str">
        <f aca="false">IF(OR(I269="",H269=""),"",H269+CapaDue)</f>
        <v/>
      </c>
      <c r="Q269" s="27" t="str">
        <f aca="false">IF(A269="","",IF(I269="","Not required",IF(J269&lt;&gt;"","Closed",IF(H269="","Awaiting dev. close",IF(AsOf&gt;P269,"Overdue","Open")))))</f>
        <v/>
      </c>
      <c r="R269" s="27" t="str">
        <f aca="false">IF(J269="","",IF(COUNTIFS($D$5:$D$400,D269,$F$5:$F$400,F269,$B$5:$B$400,"&gt;"&amp;J269,$B$5:$B$400,"&lt;="&amp;(J269+EffWin))&gt;0,"Ineffective",IF(AsOf-J269&gt;=EffWin,"Effective","Check pending")))</f>
        <v/>
      </c>
      <c r="S269" s="36" t="str">
        <f aca="false">IF(A269="","",DATE(YEAR(B269),MONTH(B269),1))</f>
        <v/>
      </c>
      <c r="T269" s="36" t="str">
        <f aca="false">IF(H269="","",DATE(YEAR(H269),MONTH(H269),1))</f>
        <v/>
      </c>
      <c r="U269" s="27" t="str">
        <f aca="false">IF(H269="","",IF(AsOf-H269&lt;=90,L269,""))</f>
        <v/>
      </c>
      <c r="V269" s="27" t="str">
        <f aca="false">IF(H269="","",IF(AND(AsOf-H269&gt;90,AsOf-H269&lt;=270),L269,""))</f>
        <v/>
      </c>
    </row>
    <row r="270" customFormat="false" ht="15" hidden="false" customHeight="false" outlineLevel="0" collapsed="false">
      <c r="A270" s="2"/>
      <c r="B270" s="37"/>
      <c r="C270" s="2"/>
      <c r="D270" s="2"/>
      <c r="E270" s="2"/>
      <c r="F270" s="2"/>
      <c r="G270" s="2"/>
      <c r="H270" s="37"/>
      <c r="I270" s="2"/>
      <c r="J270" s="37"/>
      <c r="K270" s="27" t="str">
        <f aca="false">IF(A270="","",IF(H270="","Open","Closed"))</f>
        <v/>
      </c>
      <c r="L270" s="27" t="str">
        <f aca="false">IF(A270="","",IF(H270="",AsOf-B270,H270-B270))</f>
        <v/>
      </c>
      <c r="M270" s="27" t="str">
        <f aca="false">IF(A270="","",IF(AND(K270="Open",L270&gt;Target),"Yes","No"))</f>
        <v/>
      </c>
      <c r="N270" s="27" t="str">
        <f aca="false">IF(K270&lt;&gt;"Open","",IF(L270&lt;=30,"0-30",IF(L270&lt;=60,"31-60",IF(L270&lt;=90,"61-90","90+"))))</f>
        <v/>
      </c>
      <c r="O270" s="27" t="str">
        <f aca="false">IF(A270="","",IF(COUNTIFS($D$5:$D$400,D270,$F$5:$F$400,F270,$B$5:$B$400,"&gt;="&amp;(B270-RepeatWin),$B$5:$B$400,"&lt;"&amp;B270)&gt;0,"Yes","No"))</f>
        <v/>
      </c>
      <c r="P270" s="35" t="str">
        <f aca="false">IF(OR(I270="",H270=""),"",H270+CapaDue)</f>
        <v/>
      </c>
      <c r="Q270" s="27" t="str">
        <f aca="false">IF(A270="","",IF(I270="","Not required",IF(J270&lt;&gt;"","Closed",IF(H270="","Awaiting dev. close",IF(AsOf&gt;P270,"Overdue","Open")))))</f>
        <v/>
      </c>
      <c r="R270" s="27" t="str">
        <f aca="false">IF(J270="","",IF(COUNTIFS($D$5:$D$400,D270,$F$5:$F$400,F270,$B$5:$B$400,"&gt;"&amp;J270,$B$5:$B$400,"&lt;="&amp;(J270+EffWin))&gt;0,"Ineffective",IF(AsOf-J270&gt;=EffWin,"Effective","Check pending")))</f>
        <v/>
      </c>
      <c r="S270" s="36" t="str">
        <f aca="false">IF(A270="","",DATE(YEAR(B270),MONTH(B270),1))</f>
        <v/>
      </c>
      <c r="T270" s="36" t="str">
        <f aca="false">IF(H270="","",DATE(YEAR(H270),MONTH(H270),1))</f>
        <v/>
      </c>
      <c r="U270" s="27" t="str">
        <f aca="false">IF(H270="","",IF(AsOf-H270&lt;=90,L270,""))</f>
        <v/>
      </c>
      <c r="V270" s="27" t="str">
        <f aca="false">IF(H270="","",IF(AND(AsOf-H270&gt;90,AsOf-H270&lt;=270),L270,""))</f>
        <v/>
      </c>
    </row>
    <row r="271" customFormat="false" ht="15" hidden="false" customHeight="false" outlineLevel="0" collapsed="false">
      <c r="A271" s="2"/>
      <c r="B271" s="37"/>
      <c r="C271" s="2"/>
      <c r="D271" s="2"/>
      <c r="E271" s="2"/>
      <c r="F271" s="2"/>
      <c r="G271" s="2"/>
      <c r="H271" s="37"/>
      <c r="I271" s="2"/>
      <c r="J271" s="37"/>
      <c r="K271" s="27" t="str">
        <f aca="false">IF(A271="","",IF(H271="","Open","Closed"))</f>
        <v/>
      </c>
      <c r="L271" s="27" t="str">
        <f aca="false">IF(A271="","",IF(H271="",AsOf-B271,H271-B271))</f>
        <v/>
      </c>
      <c r="M271" s="27" t="str">
        <f aca="false">IF(A271="","",IF(AND(K271="Open",L271&gt;Target),"Yes","No"))</f>
        <v/>
      </c>
      <c r="N271" s="27" t="str">
        <f aca="false">IF(K271&lt;&gt;"Open","",IF(L271&lt;=30,"0-30",IF(L271&lt;=60,"31-60",IF(L271&lt;=90,"61-90","90+"))))</f>
        <v/>
      </c>
      <c r="O271" s="27" t="str">
        <f aca="false">IF(A271="","",IF(COUNTIFS($D$5:$D$400,D271,$F$5:$F$400,F271,$B$5:$B$400,"&gt;="&amp;(B271-RepeatWin),$B$5:$B$400,"&lt;"&amp;B271)&gt;0,"Yes","No"))</f>
        <v/>
      </c>
      <c r="P271" s="35" t="str">
        <f aca="false">IF(OR(I271="",H271=""),"",H271+CapaDue)</f>
        <v/>
      </c>
      <c r="Q271" s="27" t="str">
        <f aca="false">IF(A271="","",IF(I271="","Not required",IF(J271&lt;&gt;"","Closed",IF(H271="","Awaiting dev. close",IF(AsOf&gt;P271,"Overdue","Open")))))</f>
        <v/>
      </c>
      <c r="R271" s="27" t="str">
        <f aca="false">IF(J271="","",IF(COUNTIFS($D$5:$D$400,D271,$F$5:$F$400,F271,$B$5:$B$400,"&gt;"&amp;J271,$B$5:$B$400,"&lt;="&amp;(J271+EffWin))&gt;0,"Ineffective",IF(AsOf-J271&gt;=EffWin,"Effective","Check pending")))</f>
        <v/>
      </c>
      <c r="S271" s="36" t="str">
        <f aca="false">IF(A271="","",DATE(YEAR(B271),MONTH(B271),1))</f>
        <v/>
      </c>
      <c r="T271" s="36" t="str">
        <f aca="false">IF(H271="","",DATE(YEAR(H271),MONTH(H271),1))</f>
        <v/>
      </c>
      <c r="U271" s="27" t="str">
        <f aca="false">IF(H271="","",IF(AsOf-H271&lt;=90,L271,""))</f>
        <v/>
      </c>
      <c r="V271" s="27" t="str">
        <f aca="false">IF(H271="","",IF(AND(AsOf-H271&gt;90,AsOf-H271&lt;=270),L271,""))</f>
        <v/>
      </c>
    </row>
    <row r="272" customFormat="false" ht="15" hidden="false" customHeight="false" outlineLevel="0" collapsed="false">
      <c r="A272" s="2"/>
      <c r="B272" s="37"/>
      <c r="C272" s="2"/>
      <c r="D272" s="2"/>
      <c r="E272" s="2"/>
      <c r="F272" s="2"/>
      <c r="G272" s="2"/>
      <c r="H272" s="37"/>
      <c r="I272" s="2"/>
      <c r="J272" s="37"/>
      <c r="K272" s="27" t="str">
        <f aca="false">IF(A272="","",IF(H272="","Open","Closed"))</f>
        <v/>
      </c>
      <c r="L272" s="27" t="str">
        <f aca="false">IF(A272="","",IF(H272="",AsOf-B272,H272-B272))</f>
        <v/>
      </c>
      <c r="M272" s="27" t="str">
        <f aca="false">IF(A272="","",IF(AND(K272="Open",L272&gt;Target),"Yes","No"))</f>
        <v/>
      </c>
      <c r="N272" s="27" t="str">
        <f aca="false">IF(K272&lt;&gt;"Open","",IF(L272&lt;=30,"0-30",IF(L272&lt;=60,"31-60",IF(L272&lt;=90,"61-90","90+"))))</f>
        <v/>
      </c>
      <c r="O272" s="27" t="str">
        <f aca="false">IF(A272="","",IF(COUNTIFS($D$5:$D$400,D272,$F$5:$F$400,F272,$B$5:$B$400,"&gt;="&amp;(B272-RepeatWin),$B$5:$B$400,"&lt;"&amp;B272)&gt;0,"Yes","No"))</f>
        <v/>
      </c>
      <c r="P272" s="35" t="str">
        <f aca="false">IF(OR(I272="",H272=""),"",H272+CapaDue)</f>
        <v/>
      </c>
      <c r="Q272" s="27" t="str">
        <f aca="false">IF(A272="","",IF(I272="","Not required",IF(J272&lt;&gt;"","Closed",IF(H272="","Awaiting dev. close",IF(AsOf&gt;P272,"Overdue","Open")))))</f>
        <v/>
      </c>
      <c r="R272" s="27" t="str">
        <f aca="false">IF(J272="","",IF(COUNTIFS($D$5:$D$400,D272,$F$5:$F$400,F272,$B$5:$B$400,"&gt;"&amp;J272,$B$5:$B$400,"&lt;="&amp;(J272+EffWin))&gt;0,"Ineffective",IF(AsOf-J272&gt;=EffWin,"Effective","Check pending")))</f>
        <v/>
      </c>
      <c r="S272" s="36" t="str">
        <f aca="false">IF(A272="","",DATE(YEAR(B272),MONTH(B272),1))</f>
        <v/>
      </c>
      <c r="T272" s="36" t="str">
        <f aca="false">IF(H272="","",DATE(YEAR(H272),MONTH(H272),1))</f>
        <v/>
      </c>
      <c r="U272" s="27" t="str">
        <f aca="false">IF(H272="","",IF(AsOf-H272&lt;=90,L272,""))</f>
        <v/>
      </c>
      <c r="V272" s="27" t="str">
        <f aca="false">IF(H272="","",IF(AND(AsOf-H272&gt;90,AsOf-H272&lt;=270),L272,""))</f>
        <v/>
      </c>
    </row>
    <row r="273" customFormat="false" ht="15" hidden="false" customHeight="false" outlineLevel="0" collapsed="false">
      <c r="A273" s="2"/>
      <c r="B273" s="37"/>
      <c r="C273" s="2"/>
      <c r="D273" s="2"/>
      <c r="E273" s="2"/>
      <c r="F273" s="2"/>
      <c r="G273" s="2"/>
      <c r="H273" s="37"/>
      <c r="I273" s="2"/>
      <c r="J273" s="37"/>
      <c r="K273" s="27" t="str">
        <f aca="false">IF(A273="","",IF(H273="","Open","Closed"))</f>
        <v/>
      </c>
      <c r="L273" s="27" t="str">
        <f aca="false">IF(A273="","",IF(H273="",AsOf-B273,H273-B273))</f>
        <v/>
      </c>
      <c r="M273" s="27" t="str">
        <f aca="false">IF(A273="","",IF(AND(K273="Open",L273&gt;Target),"Yes","No"))</f>
        <v/>
      </c>
      <c r="N273" s="27" t="str">
        <f aca="false">IF(K273&lt;&gt;"Open","",IF(L273&lt;=30,"0-30",IF(L273&lt;=60,"31-60",IF(L273&lt;=90,"61-90","90+"))))</f>
        <v/>
      </c>
      <c r="O273" s="27" t="str">
        <f aca="false">IF(A273="","",IF(COUNTIFS($D$5:$D$400,D273,$F$5:$F$400,F273,$B$5:$B$400,"&gt;="&amp;(B273-RepeatWin),$B$5:$B$400,"&lt;"&amp;B273)&gt;0,"Yes","No"))</f>
        <v/>
      </c>
      <c r="P273" s="35" t="str">
        <f aca="false">IF(OR(I273="",H273=""),"",H273+CapaDue)</f>
        <v/>
      </c>
      <c r="Q273" s="27" t="str">
        <f aca="false">IF(A273="","",IF(I273="","Not required",IF(J273&lt;&gt;"","Closed",IF(H273="","Awaiting dev. close",IF(AsOf&gt;P273,"Overdue","Open")))))</f>
        <v/>
      </c>
      <c r="R273" s="27" t="str">
        <f aca="false">IF(J273="","",IF(COUNTIFS($D$5:$D$400,D273,$F$5:$F$400,F273,$B$5:$B$400,"&gt;"&amp;J273,$B$5:$B$400,"&lt;="&amp;(J273+EffWin))&gt;0,"Ineffective",IF(AsOf-J273&gt;=EffWin,"Effective","Check pending")))</f>
        <v/>
      </c>
      <c r="S273" s="36" t="str">
        <f aca="false">IF(A273="","",DATE(YEAR(B273),MONTH(B273),1))</f>
        <v/>
      </c>
      <c r="T273" s="36" t="str">
        <f aca="false">IF(H273="","",DATE(YEAR(H273),MONTH(H273),1))</f>
        <v/>
      </c>
      <c r="U273" s="27" t="str">
        <f aca="false">IF(H273="","",IF(AsOf-H273&lt;=90,L273,""))</f>
        <v/>
      </c>
      <c r="V273" s="27" t="str">
        <f aca="false">IF(H273="","",IF(AND(AsOf-H273&gt;90,AsOf-H273&lt;=270),L273,""))</f>
        <v/>
      </c>
    </row>
    <row r="274" customFormat="false" ht="15" hidden="false" customHeight="false" outlineLevel="0" collapsed="false">
      <c r="A274" s="2"/>
      <c r="B274" s="37"/>
      <c r="C274" s="2"/>
      <c r="D274" s="2"/>
      <c r="E274" s="2"/>
      <c r="F274" s="2"/>
      <c r="G274" s="2"/>
      <c r="H274" s="37"/>
      <c r="I274" s="2"/>
      <c r="J274" s="37"/>
      <c r="K274" s="27" t="str">
        <f aca="false">IF(A274="","",IF(H274="","Open","Closed"))</f>
        <v/>
      </c>
      <c r="L274" s="27" t="str">
        <f aca="false">IF(A274="","",IF(H274="",AsOf-B274,H274-B274))</f>
        <v/>
      </c>
      <c r="M274" s="27" t="str">
        <f aca="false">IF(A274="","",IF(AND(K274="Open",L274&gt;Target),"Yes","No"))</f>
        <v/>
      </c>
      <c r="N274" s="27" t="str">
        <f aca="false">IF(K274&lt;&gt;"Open","",IF(L274&lt;=30,"0-30",IF(L274&lt;=60,"31-60",IF(L274&lt;=90,"61-90","90+"))))</f>
        <v/>
      </c>
      <c r="O274" s="27" t="str">
        <f aca="false">IF(A274="","",IF(COUNTIFS($D$5:$D$400,D274,$F$5:$F$400,F274,$B$5:$B$400,"&gt;="&amp;(B274-RepeatWin),$B$5:$B$400,"&lt;"&amp;B274)&gt;0,"Yes","No"))</f>
        <v/>
      </c>
      <c r="P274" s="35" t="str">
        <f aca="false">IF(OR(I274="",H274=""),"",H274+CapaDue)</f>
        <v/>
      </c>
      <c r="Q274" s="27" t="str">
        <f aca="false">IF(A274="","",IF(I274="","Not required",IF(J274&lt;&gt;"","Closed",IF(H274="","Awaiting dev. close",IF(AsOf&gt;P274,"Overdue","Open")))))</f>
        <v/>
      </c>
      <c r="R274" s="27" t="str">
        <f aca="false">IF(J274="","",IF(COUNTIFS($D$5:$D$400,D274,$F$5:$F$400,F274,$B$5:$B$400,"&gt;"&amp;J274,$B$5:$B$400,"&lt;="&amp;(J274+EffWin))&gt;0,"Ineffective",IF(AsOf-J274&gt;=EffWin,"Effective","Check pending")))</f>
        <v/>
      </c>
      <c r="S274" s="36" t="str">
        <f aca="false">IF(A274="","",DATE(YEAR(B274),MONTH(B274),1))</f>
        <v/>
      </c>
      <c r="T274" s="36" t="str">
        <f aca="false">IF(H274="","",DATE(YEAR(H274),MONTH(H274),1))</f>
        <v/>
      </c>
      <c r="U274" s="27" t="str">
        <f aca="false">IF(H274="","",IF(AsOf-H274&lt;=90,L274,""))</f>
        <v/>
      </c>
      <c r="V274" s="27" t="str">
        <f aca="false">IF(H274="","",IF(AND(AsOf-H274&gt;90,AsOf-H274&lt;=270),L274,""))</f>
        <v/>
      </c>
    </row>
    <row r="275" customFormat="false" ht="15" hidden="false" customHeight="false" outlineLevel="0" collapsed="false">
      <c r="A275" s="2"/>
      <c r="B275" s="37"/>
      <c r="C275" s="2"/>
      <c r="D275" s="2"/>
      <c r="E275" s="2"/>
      <c r="F275" s="2"/>
      <c r="G275" s="2"/>
      <c r="H275" s="37"/>
      <c r="I275" s="2"/>
      <c r="J275" s="37"/>
      <c r="K275" s="27" t="str">
        <f aca="false">IF(A275="","",IF(H275="","Open","Closed"))</f>
        <v/>
      </c>
      <c r="L275" s="27" t="str">
        <f aca="false">IF(A275="","",IF(H275="",AsOf-B275,H275-B275))</f>
        <v/>
      </c>
      <c r="M275" s="27" t="str">
        <f aca="false">IF(A275="","",IF(AND(K275="Open",L275&gt;Target),"Yes","No"))</f>
        <v/>
      </c>
      <c r="N275" s="27" t="str">
        <f aca="false">IF(K275&lt;&gt;"Open","",IF(L275&lt;=30,"0-30",IF(L275&lt;=60,"31-60",IF(L275&lt;=90,"61-90","90+"))))</f>
        <v/>
      </c>
      <c r="O275" s="27" t="str">
        <f aca="false">IF(A275="","",IF(COUNTIFS($D$5:$D$400,D275,$F$5:$F$400,F275,$B$5:$B$400,"&gt;="&amp;(B275-RepeatWin),$B$5:$B$400,"&lt;"&amp;B275)&gt;0,"Yes","No"))</f>
        <v/>
      </c>
      <c r="P275" s="35" t="str">
        <f aca="false">IF(OR(I275="",H275=""),"",H275+CapaDue)</f>
        <v/>
      </c>
      <c r="Q275" s="27" t="str">
        <f aca="false">IF(A275="","",IF(I275="","Not required",IF(J275&lt;&gt;"","Closed",IF(H275="","Awaiting dev. close",IF(AsOf&gt;P275,"Overdue","Open")))))</f>
        <v/>
      </c>
      <c r="R275" s="27" t="str">
        <f aca="false">IF(J275="","",IF(COUNTIFS($D$5:$D$400,D275,$F$5:$F$400,F275,$B$5:$B$400,"&gt;"&amp;J275,$B$5:$B$400,"&lt;="&amp;(J275+EffWin))&gt;0,"Ineffective",IF(AsOf-J275&gt;=EffWin,"Effective","Check pending")))</f>
        <v/>
      </c>
      <c r="S275" s="36" t="str">
        <f aca="false">IF(A275="","",DATE(YEAR(B275),MONTH(B275),1))</f>
        <v/>
      </c>
      <c r="T275" s="36" t="str">
        <f aca="false">IF(H275="","",DATE(YEAR(H275),MONTH(H275),1))</f>
        <v/>
      </c>
      <c r="U275" s="27" t="str">
        <f aca="false">IF(H275="","",IF(AsOf-H275&lt;=90,L275,""))</f>
        <v/>
      </c>
      <c r="V275" s="27" t="str">
        <f aca="false">IF(H275="","",IF(AND(AsOf-H275&gt;90,AsOf-H275&lt;=270),L275,""))</f>
        <v/>
      </c>
    </row>
    <row r="276" customFormat="false" ht="15" hidden="false" customHeight="false" outlineLevel="0" collapsed="false">
      <c r="A276" s="2"/>
      <c r="B276" s="37"/>
      <c r="C276" s="2"/>
      <c r="D276" s="2"/>
      <c r="E276" s="2"/>
      <c r="F276" s="2"/>
      <c r="G276" s="2"/>
      <c r="H276" s="37"/>
      <c r="I276" s="2"/>
      <c r="J276" s="37"/>
      <c r="K276" s="27" t="str">
        <f aca="false">IF(A276="","",IF(H276="","Open","Closed"))</f>
        <v/>
      </c>
      <c r="L276" s="27" t="str">
        <f aca="false">IF(A276="","",IF(H276="",AsOf-B276,H276-B276))</f>
        <v/>
      </c>
      <c r="M276" s="27" t="str">
        <f aca="false">IF(A276="","",IF(AND(K276="Open",L276&gt;Target),"Yes","No"))</f>
        <v/>
      </c>
      <c r="N276" s="27" t="str">
        <f aca="false">IF(K276&lt;&gt;"Open","",IF(L276&lt;=30,"0-30",IF(L276&lt;=60,"31-60",IF(L276&lt;=90,"61-90","90+"))))</f>
        <v/>
      </c>
      <c r="O276" s="27" t="str">
        <f aca="false">IF(A276="","",IF(COUNTIFS($D$5:$D$400,D276,$F$5:$F$400,F276,$B$5:$B$400,"&gt;="&amp;(B276-RepeatWin),$B$5:$B$400,"&lt;"&amp;B276)&gt;0,"Yes","No"))</f>
        <v/>
      </c>
      <c r="P276" s="35" t="str">
        <f aca="false">IF(OR(I276="",H276=""),"",H276+CapaDue)</f>
        <v/>
      </c>
      <c r="Q276" s="27" t="str">
        <f aca="false">IF(A276="","",IF(I276="","Not required",IF(J276&lt;&gt;"","Closed",IF(H276="","Awaiting dev. close",IF(AsOf&gt;P276,"Overdue","Open")))))</f>
        <v/>
      </c>
      <c r="R276" s="27" t="str">
        <f aca="false">IF(J276="","",IF(COUNTIFS($D$5:$D$400,D276,$F$5:$F$400,F276,$B$5:$B$400,"&gt;"&amp;J276,$B$5:$B$400,"&lt;="&amp;(J276+EffWin))&gt;0,"Ineffective",IF(AsOf-J276&gt;=EffWin,"Effective","Check pending")))</f>
        <v/>
      </c>
      <c r="S276" s="36" t="str">
        <f aca="false">IF(A276="","",DATE(YEAR(B276),MONTH(B276),1))</f>
        <v/>
      </c>
      <c r="T276" s="36" t="str">
        <f aca="false">IF(H276="","",DATE(YEAR(H276),MONTH(H276),1))</f>
        <v/>
      </c>
      <c r="U276" s="27" t="str">
        <f aca="false">IF(H276="","",IF(AsOf-H276&lt;=90,L276,""))</f>
        <v/>
      </c>
      <c r="V276" s="27" t="str">
        <f aca="false">IF(H276="","",IF(AND(AsOf-H276&gt;90,AsOf-H276&lt;=270),L276,""))</f>
        <v/>
      </c>
    </row>
    <row r="277" customFormat="false" ht="15" hidden="false" customHeight="false" outlineLevel="0" collapsed="false">
      <c r="A277" s="2"/>
      <c r="B277" s="37"/>
      <c r="C277" s="2"/>
      <c r="D277" s="2"/>
      <c r="E277" s="2"/>
      <c r="F277" s="2"/>
      <c r="G277" s="2"/>
      <c r="H277" s="37"/>
      <c r="I277" s="2"/>
      <c r="J277" s="37"/>
      <c r="K277" s="27" t="str">
        <f aca="false">IF(A277="","",IF(H277="","Open","Closed"))</f>
        <v/>
      </c>
      <c r="L277" s="27" t="str">
        <f aca="false">IF(A277="","",IF(H277="",AsOf-B277,H277-B277))</f>
        <v/>
      </c>
      <c r="M277" s="27" t="str">
        <f aca="false">IF(A277="","",IF(AND(K277="Open",L277&gt;Target),"Yes","No"))</f>
        <v/>
      </c>
      <c r="N277" s="27" t="str">
        <f aca="false">IF(K277&lt;&gt;"Open","",IF(L277&lt;=30,"0-30",IF(L277&lt;=60,"31-60",IF(L277&lt;=90,"61-90","90+"))))</f>
        <v/>
      </c>
      <c r="O277" s="27" t="str">
        <f aca="false">IF(A277="","",IF(COUNTIFS($D$5:$D$400,D277,$F$5:$F$400,F277,$B$5:$B$400,"&gt;="&amp;(B277-RepeatWin),$B$5:$B$400,"&lt;"&amp;B277)&gt;0,"Yes","No"))</f>
        <v/>
      </c>
      <c r="P277" s="35" t="str">
        <f aca="false">IF(OR(I277="",H277=""),"",H277+CapaDue)</f>
        <v/>
      </c>
      <c r="Q277" s="27" t="str">
        <f aca="false">IF(A277="","",IF(I277="","Not required",IF(J277&lt;&gt;"","Closed",IF(H277="","Awaiting dev. close",IF(AsOf&gt;P277,"Overdue","Open")))))</f>
        <v/>
      </c>
      <c r="R277" s="27" t="str">
        <f aca="false">IF(J277="","",IF(COUNTIFS($D$5:$D$400,D277,$F$5:$F$400,F277,$B$5:$B$400,"&gt;"&amp;J277,$B$5:$B$400,"&lt;="&amp;(J277+EffWin))&gt;0,"Ineffective",IF(AsOf-J277&gt;=EffWin,"Effective","Check pending")))</f>
        <v/>
      </c>
      <c r="S277" s="36" t="str">
        <f aca="false">IF(A277="","",DATE(YEAR(B277),MONTH(B277),1))</f>
        <v/>
      </c>
      <c r="T277" s="36" t="str">
        <f aca="false">IF(H277="","",DATE(YEAR(H277),MONTH(H277),1))</f>
        <v/>
      </c>
      <c r="U277" s="27" t="str">
        <f aca="false">IF(H277="","",IF(AsOf-H277&lt;=90,L277,""))</f>
        <v/>
      </c>
      <c r="V277" s="27" t="str">
        <f aca="false">IF(H277="","",IF(AND(AsOf-H277&gt;90,AsOf-H277&lt;=270),L277,""))</f>
        <v/>
      </c>
    </row>
    <row r="278" customFormat="false" ht="15" hidden="false" customHeight="false" outlineLevel="0" collapsed="false">
      <c r="A278" s="2"/>
      <c r="B278" s="37"/>
      <c r="C278" s="2"/>
      <c r="D278" s="2"/>
      <c r="E278" s="2"/>
      <c r="F278" s="2"/>
      <c r="G278" s="2"/>
      <c r="H278" s="37"/>
      <c r="I278" s="2"/>
      <c r="J278" s="37"/>
      <c r="K278" s="27" t="str">
        <f aca="false">IF(A278="","",IF(H278="","Open","Closed"))</f>
        <v/>
      </c>
      <c r="L278" s="27" t="str">
        <f aca="false">IF(A278="","",IF(H278="",AsOf-B278,H278-B278))</f>
        <v/>
      </c>
      <c r="M278" s="27" t="str">
        <f aca="false">IF(A278="","",IF(AND(K278="Open",L278&gt;Target),"Yes","No"))</f>
        <v/>
      </c>
      <c r="N278" s="27" t="str">
        <f aca="false">IF(K278&lt;&gt;"Open","",IF(L278&lt;=30,"0-30",IF(L278&lt;=60,"31-60",IF(L278&lt;=90,"61-90","90+"))))</f>
        <v/>
      </c>
      <c r="O278" s="27" t="str">
        <f aca="false">IF(A278="","",IF(COUNTIFS($D$5:$D$400,D278,$F$5:$F$400,F278,$B$5:$B$400,"&gt;="&amp;(B278-RepeatWin),$B$5:$B$400,"&lt;"&amp;B278)&gt;0,"Yes","No"))</f>
        <v/>
      </c>
      <c r="P278" s="35" t="str">
        <f aca="false">IF(OR(I278="",H278=""),"",H278+CapaDue)</f>
        <v/>
      </c>
      <c r="Q278" s="27" t="str">
        <f aca="false">IF(A278="","",IF(I278="","Not required",IF(J278&lt;&gt;"","Closed",IF(H278="","Awaiting dev. close",IF(AsOf&gt;P278,"Overdue","Open")))))</f>
        <v/>
      </c>
      <c r="R278" s="27" t="str">
        <f aca="false">IF(J278="","",IF(COUNTIFS($D$5:$D$400,D278,$F$5:$F$400,F278,$B$5:$B$400,"&gt;"&amp;J278,$B$5:$B$400,"&lt;="&amp;(J278+EffWin))&gt;0,"Ineffective",IF(AsOf-J278&gt;=EffWin,"Effective","Check pending")))</f>
        <v/>
      </c>
      <c r="S278" s="36" t="str">
        <f aca="false">IF(A278="","",DATE(YEAR(B278),MONTH(B278),1))</f>
        <v/>
      </c>
      <c r="T278" s="36" t="str">
        <f aca="false">IF(H278="","",DATE(YEAR(H278),MONTH(H278),1))</f>
        <v/>
      </c>
      <c r="U278" s="27" t="str">
        <f aca="false">IF(H278="","",IF(AsOf-H278&lt;=90,L278,""))</f>
        <v/>
      </c>
      <c r="V278" s="27" t="str">
        <f aca="false">IF(H278="","",IF(AND(AsOf-H278&gt;90,AsOf-H278&lt;=270),L278,""))</f>
        <v/>
      </c>
    </row>
    <row r="279" customFormat="false" ht="15" hidden="false" customHeight="false" outlineLevel="0" collapsed="false">
      <c r="A279" s="2"/>
      <c r="B279" s="37"/>
      <c r="C279" s="2"/>
      <c r="D279" s="2"/>
      <c r="E279" s="2"/>
      <c r="F279" s="2"/>
      <c r="G279" s="2"/>
      <c r="H279" s="37"/>
      <c r="I279" s="2"/>
      <c r="J279" s="37"/>
      <c r="K279" s="27" t="str">
        <f aca="false">IF(A279="","",IF(H279="","Open","Closed"))</f>
        <v/>
      </c>
      <c r="L279" s="27" t="str">
        <f aca="false">IF(A279="","",IF(H279="",AsOf-B279,H279-B279))</f>
        <v/>
      </c>
      <c r="M279" s="27" t="str">
        <f aca="false">IF(A279="","",IF(AND(K279="Open",L279&gt;Target),"Yes","No"))</f>
        <v/>
      </c>
      <c r="N279" s="27" t="str">
        <f aca="false">IF(K279&lt;&gt;"Open","",IF(L279&lt;=30,"0-30",IF(L279&lt;=60,"31-60",IF(L279&lt;=90,"61-90","90+"))))</f>
        <v/>
      </c>
      <c r="O279" s="27" t="str">
        <f aca="false">IF(A279="","",IF(COUNTIFS($D$5:$D$400,D279,$F$5:$F$400,F279,$B$5:$B$400,"&gt;="&amp;(B279-RepeatWin),$B$5:$B$400,"&lt;"&amp;B279)&gt;0,"Yes","No"))</f>
        <v/>
      </c>
      <c r="P279" s="35" t="str">
        <f aca="false">IF(OR(I279="",H279=""),"",H279+CapaDue)</f>
        <v/>
      </c>
      <c r="Q279" s="27" t="str">
        <f aca="false">IF(A279="","",IF(I279="","Not required",IF(J279&lt;&gt;"","Closed",IF(H279="","Awaiting dev. close",IF(AsOf&gt;P279,"Overdue","Open")))))</f>
        <v/>
      </c>
      <c r="R279" s="27" t="str">
        <f aca="false">IF(J279="","",IF(COUNTIFS($D$5:$D$400,D279,$F$5:$F$400,F279,$B$5:$B$400,"&gt;"&amp;J279,$B$5:$B$400,"&lt;="&amp;(J279+EffWin))&gt;0,"Ineffective",IF(AsOf-J279&gt;=EffWin,"Effective","Check pending")))</f>
        <v/>
      </c>
      <c r="S279" s="36" t="str">
        <f aca="false">IF(A279="","",DATE(YEAR(B279),MONTH(B279),1))</f>
        <v/>
      </c>
      <c r="T279" s="36" t="str">
        <f aca="false">IF(H279="","",DATE(YEAR(H279),MONTH(H279),1))</f>
        <v/>
      </c>
      <c r="U279" s="27" t="str">
        <f aca="false">IF(H279="","",IF(AsOf-H279&lt;=90,L279,""))</f>
        <v/>
      </c>
      <c r="V279" s="27" t="str">
        <f aca="false">IF(H279="","",IF(AND(AsOf-H279&gt;90,AsOf-H279&lt;=270),L279,""))</f>
        <v/>
      </c>
    </row>
    <row r="280" customFormat="false" ht="15" hidden="false" customHeight="false" outlineLevel="0" collapsed="false">
      <c r="A280" s="2"/>
      <c r="B280" s="37"/>
      <c r="C280" s="2"/>
      <c r="D280" s="2"/>
      <c r="E280" s="2"/>
      <c r="F280" s="2"/>
      <c r="G280" s="2"/>
      <c r="H280" s="37"/>
      <c r="I280" s="2"/>
      <c r="J280" s="37"/>
      <c r="K280" s="27" t="str">
        <f aca="false">IF(A280="","",IF(H280="","Open","Closed"))</f>
        <v/>
      </c>
      <c r="L280" s="27" t="str">
        <f aca="false">IF(A280="","",IF(H280="",AsOf-B280,H280-B280))</f>
        <v/>
      </c>
      <c r="M280" s="27" t="str">
        <f aca="false">IF(A280="","",IF(AND(K280="Open",L280&gt;Target),"Yes","No"))</f>
        <v/>
      </c>
      <c r="N280" s="27" t="str">
        <f aca="false">IF(K280&lt;&gt;"Open","",IF(L280&lt;=30,"0-30",IF(L280&lt;=60,"31-60",IF(L280&lt;=90,"61-90","90+"))))</f>
        <v/>
      </c>
      <c r="O280" s="27" t="str">
        <f aca="false">IF(A280="","",IF(COUNTIFS($D$5:$D$400,D280,$F$5:$F$400,F280,$B$5:$B$400,"&gt;="&amp;(B280-RepeatWin),$B$5:$B$400,"&lt;"&amp;B280)&gt;0,"Yes","No"))</f>
        <v/>
      </c>
      <c r="P280" s="35" t="str">
        <f aca="false">IF(OR(I280="",H280=""),"",H280+CapaDue)</f>
        <v/>
      </c>
      <c r="Q280" s="27" t="str">
        <f aca="false">IF(A280="","",IF(I280="","Not required",IF(J280&lt;&gt;"","Closed",IF(H280="","Awaiting dev. close",IF(AsOf&gt;P280,"Overdue","Open")))))</f>
        <v/>
      </c>
      <c r="R280" s="27" t="str">
        <f aca="false">IF(J280="","",IF(COUNTIFS($D$5:$D$400,D280,$F$5:$F$400,F280,$B$5:$B$400,"&gt;"&amp;J280,$B$5:$B$400,"&lt;="&amp;(J280+EffWin))&gt;0,"Ineffective",IF(AsOf-J280&gt;=EffWin,"Effective","Check pending")))</f>
        <v/>
      </c>
      <c r="S280" s="36" t="str">
        <f aca="false">IF(A280="","",DATE(YEAR(B280),MONTH(B280),1))</f>
        <v/>
      </c>
      <c r="T280" s="36" t="str">
        <f aca="false">IF(H280="","",DATE(YEAR(H280),MONTH(H280),1))</f>
        <v/>
      </c>
      <c r="U280" s="27" t="str">
        <f aca="false">IF(H280="","",IF(AsOf-H280&lt;=90,L280,""))</f>
        <v/>
      </c>
      <c r="V280" s="27" t="str">
        <f aca="false">IF(H280="","",IF(AND(AsOf-H280&gt;90,AsOf-H280&lt;=270),L280,""))</f>
        <v/>
      </c>
    </row>
    <row r="281" customFormat="false" ht="15" hidden="false" customHeight="false" outlineLevel="0" collapsed="false">
      <c r="A281" s="2"/>
      <c r="B281" s="37"/>
      <c r="C281" s="2"/>
      <c r="D281" s="2"/>
      <c r="E281" s="2"/>
      <c r="F281" s="2"/>
      <c r="G281" s="2"/>
      <c r="H281" s="37"/>
      <c r="I281" s="2"/>
      <c r="J281" s="37"/>
      <c r="K281" s="27" t="str">
        <f aca="false">IF(A281="","",IF(H281="","Open","Closed"))</f>
        <v/>
      </c>
      <c r="L281" s="27" t="str">
        <f aca="false">IF(A281="","",IF(H281="",AsOf-B281,H281-B281))</f>
        <v/>
      </c>
      <c r="M281" s="27" t="str">
        <f aca="false">IF(A281="","",IF(AND(K281="Open",L281&gt;Target),"Yes","No"))</f>
        <v/>
      </c>
      <c r="N281" s="27" t="str">
        <f aca="false">IF(K281&lt;&gt;"Open","",IF(L281&lt;=30,"0-30",IF(L281&lt;=60,"31-60",IF(L281&lt;=90,"61-90","90+"))))</f>
        <v/>
      </c>
      <c r="O281" s="27" t="str">
        <f aca="false">IF(A281="","",IF(COUNTIFS($D$5:$D$400,D281,$F$5:$F$400,F281,$B$5:$B$400,"&gt;="&amp;(B281-RepeatWin),$B$5:$B$400,"&lt;"&amp;B281)&gt;0,"Yes","No"))</f>
        <v/>
      </c>
      <c r="P281" s="35" t="str">
        <f aca="false">IF(OR(I281="",H281=""),"",H281+CapaDue)</f>
        <v/>
      </c>
      <c r="Q281" s="27" t="str">
        <f aca="false">IF(A281="","",IF(I281="","Not required",IF(J281&lt;&gt;"","Closed",IF(H281="","Awaiting dev. close",IF(AsOf&gt;P281,"Overdue","Open")))))</f>
        <v/>
      </c>
      <c r="R281" s="27" t="str">
        <f aca="false">IF(J281="","",IF(COUNTIFS($D$5:$D$400,D281,$F$5:$F$400,F281,$B$5:$B$400,"&gt;"&amp;J281,$B$5:$B$400,"&lt;="&amp;(J281+EffWin))&gt;0,"Ineffective",IF(AsOf-J281&gt;=EffWin,"Effective","Check pending")))</f>
        <v/>
      </c>
      <c r="S281" s="36" t="str">
        <f aca="false">IF(A281="","",DATE(YEAR(B281),MONTH(B281),1))</f>
        <v/>
      </c>
      <c r="T281" s="36" t="str">
        <f aca="false">IF(H281="","",DATE(YEAR(H281),MONTH(H281),1))</f>
        <v/>
      </c>
      <c r="U281" s="27" t="str">
        <f aca="false">IF(H281="","",IF(AsOf-H281&lt;=90,L281,""))</f>
        <v/>
      </c>
      <c r="V281" s="27" t="str">
        <f aca="false">IF(H281="","",IF(AND(AsOf-H281&gt;90,AsOf-H281&lt;=270),L281,""))</f>
        <v/>
      </c>
    </row>
    <row r="282" customFormat="false" ht="15" hidden="false" customHeight="false" outlineLevel="0" collapsed="false">
      <c r="A282" s="2"/>
      <c r="B282" s="37"/>
      <c r="C282" s="2"/>
      <c r="D282" s="2"/>
      <c r="E282" s="2"/>
      <c r="F282" s="2"/>
      <c r="G282" s="2"/>
      <c r="H282" s="37"/>
      <c r="I282" s="2"/>
      <c r="J282" s="37"/>
      <c r="K282" s="27" t="str">
        <f aca="false">IF(A282="","",IF(H282="","Open","Closed"))</f>
        <v/>
      </c>
      <c r="L282" s="27" t="str">
        <f aca="false">IF(A282="","",IF(H282="",AsOf-B282,H282-B282))</f>
        <v/>
      </c>
      <c r="M282" s="27" t="str">
        <f aca="false">IF(A282="","",IF(AND(K282="Open",L282&gt;Target),"Yes","No"))</f>
        <v/>
      </c>
      <c r="N282" s="27" t="str">
        <f aca="false">IF(K282&lt;&gt;"Open","",IF(L282&lt;=30,"0-30",IF(L282&lt;=60,"31-60",IF(L282&lt;=90,"61-90","90+"))))</f>
        <v/>
      </c>
      <c r="O282" s="27" t="str">
        <f aca="false">IF(A282="","",IF(COUNTIFS($D$5:$D$400,D282,$F$5:$F$400,F282,$B$5:$B$400,"&gt;="&amp;(B282-RepeatWin),$B$5:$B$400,"&lt;"&amp;B282)&gt;0,"Yes","No"))</f>
        <v/>
      </c>
      <c r="P282" s="35" t="str">
        <f aca="false">IF(OR(I282="",H282=""),"",H282+CapaDue)</f>
        <v/>
      </c>
      <c r="Q282" s="27" t="str">
        <f aca="false">IF(A282="","",IF(I282="","Not required",IF(J282&lt;&gt;"","Closed",IF(H282="","Awaiting dev. close",IF(AsOf&gt;P282,"Overdue","Open")))))</f>
        <v/>
      </c>
      <c r="R282" s="27" t="str">
        <f aca="false">IF(J282="","",IF(COUNTIFS($D$5:$D$400,D282,$F$5:$F$400,F282,$B$5:$B$400,"&gt;"&amp;J282,$B$5:$B$400,"&lt;="&amp;(J282+EffWin))&gt;0,"Ineffective",IF(AsOf-J282&gt;=EffWin,"Effective","Check pending")))</f>
        <v/>
      </c>
      <c r="S282" s="36" t="str">
        <f aca="false">IF(A282="","",DATE(YEAR(B282),MONTH(B282),1))</f>
        <v/>
      </c>
      <c r="T282" s="36" t="str">
        <f aca="false">IF(H282="","",DATE(YEAR(H282),MONTH(H282),1))</f>
        <v/>
      </c>
      <c r="U282" s="27" t="str">
        <f aca="false">IF(H282="","",IF(AsOf-H282&lt;=90,L282,""))</f>
        <v/>
      </c>
      <c r="V282" s="27" t="str">
        <f aca="false">IF(H282="","",IF(AND(AsOf-H282&gt;90,AsOf-H282&lt;=270),L282,""))</f>
        <v/>
      </c>
    </row>
    <row r="283" customFormat="false" ht="15" hidden="false" customHeight="false" outlineLevel="0" collapsed="false">
      <c r="A283" s="2"/>
      <c r="B283" s="37"/>
      <c r="C283" s="2"/>
      <c r="D283" s="2"/>
      <c r="E283" s="2"/>
      <c r="F283" s="2"/>
      <c r="G283" s="2"/>
      <c r="H283" s="37"/>
      <c r="I283" s="2"/>
      <c r="J283" s="37"/>
      <c r="K283" s="27" t="str">
        <f aca="false">IF(A283="","",IF(H283="","Open","Closed"))</f>
        <v/>
      </c>
      <c r="L283" s="27" t="str">
        <f aca="false">IF(A283="","",IF(H283="",AsOf-B283,H283-B283))</f>
        <v/>
      </c>
      <c r="M283" s="27" t="str">
        <f aca="false">IF(A283="","",IF(AND(K283="Open",L283&gt;Target),"Yes","No"))</f>
        <v/>
      </c>
      <c r="N283" s="27" t="str">
        <f aca="false">IF(K283&lt;&gt;"Open","",IF(L283&lt;=30,"0-30",IF(L283&lt;=60,"31-60",IF(L283&lt;=90,"61-90","90+"))))</f>
        <v/>
      </c>
      <c r="O283" s="27" t="str">
        <f aca="false">IF(A283="","",IF(COUNTIFS($D$5:$D$400,D283,$F$5:$F$400,F283,$B$5:$B$400,"&gt;="&amp;(B283-RepeatWin),$B$5:$B$400,"&lt;"&amp;B283)&gt;0,"Yes","No"))</f>
        <v/>
      </c>
      <c r="P283" s="35" t="str">
        <f aca="false">IF(OR(I283="",H283=""),"",H283+CapaDue)</f>
        <v/>
      </c>
      <c r="Q283" s="27" t="str">
        <f aca="false">IF(A283="","",IF(I283="","Not required",IF(J283&lt;&gt;"","Closed",IF(H283="","Awaiting dev. close",IF(AsOf&gt;P283,"Overdue","Open")))))</f>
        <v/>
      </c>
      <c r="R283" s="27" t="str">
        <f aca="false">IF(J283="","",IF(COUNTIFS($D$5:$D$400,D283,$F$5:$F$400,F283,$B$5:$B$400,"&gt;"&amp;J283,$B$5:$B$400,"&lt;="&amp;(J283+EffWin))&gt;0,"Ineffective",IF(AsOf-J283&gt;=EffWin,"Effective","Check pending")))</f>
        <v/>
      </c>
      <c r="S283" s="36" t="str">
        <f aca="false">IF(A283="","",DATE(YEAR(B283),MONTH(B283),1))</f>
        <v/>
      </c>
      <c r="T283" s="36" t="str">
        <f aca="false">IF(H283="","",DATE(YEAR(H283),MONTH(H283),1))</f>
        <v/>
      </c>
      <c r="U283" s="27" t="str">
        <f aca="false">IF(H283="","",IF(AsOf-H283&lt;=90,L283,""))</f>
        <v/>
      </c>
      <c r="V283" s="27" t="str">
        <f aca="false">IF(H283="","",IF(AND(AsOf-H283&gt;90,AsOf-H283&lt;=270),L283,""))</f>
        <v/>
      </c>
    </row>
    <row r="284" customFormat="false" ht="15" hidden="false" customHeight="false" outlineLevel="0" collapsed="false">
      <c r="A284" s="2"/>
      <c r="B284" s="37"/>
      <c r="C284" s="2"/>
      <c r="D284" s="2"/>
      <c r="E284" s="2"/>
      <c r="F284" s="2"/>
      <c r="G284" s="2"/>
      <c r="H284" s="37"/>
      <c r="I284" s="2"/>
      <c r="J284" s="37"/>
      <c r="K284" s="27" t="str">
        <f aca="false">IF(A284="","",IF(H284="","Open","Closed"))</f>
        <v/>
      </c>
      <c r="L284" s="27" t="str">
        <f aca="false">IF(A284="","",IF(H284="",AsOf-B284,H284-B284))</f>
        <v/>
      </c>
      <c r="M284" s="27" t="str">
        <f aca="false">IF(A284="","",IF(AND(K284="Open",L284&gt;Target),"Yes","No"))</f>
        <v/>
      </c>
      <c r="N284" s="27" t="str">
        <f aca="false">IF(K284&lt;&gt;"Open","",IF(L284&lt;=30,"0-30",IF(L284&lt;=60,"31-60",IF(L284&lt;=90,"61-90","90+"))))</f>
        <v/>
      </c>
      <c r="O284" s="27" t="str">
        <f aca="false">IF(A284="","",IF(COUNTIFS($D$5:$D$400,D284,$F$5:$F$400,F284,$B$5:$B$400,"&gt;="&amp;(B284-RepeatWin),$B$5:$B$400,"&lt;"&amp;B284)&gt;0,"Yes","No"))</f>
        <v/>
      </c>
      <c r="P284" s="35" t="str">
        <f aca="false">IF(OR(I284="",H284=""),"",H284+CapaDue)</f>
        <v/>
      </c>
      <c r="Q284" s="27" t="str">
        <f aca="false">IF(A284="","",IF(I284="","Not required",IF(J284&lt;&gt;"","Closed",IF(H284="","Awaiting dev. close",IF(AsOf&gt;P284,"Overdue","Open")))))</f>
        <v/>
      </c>
      <c r="R284" s="27" t="str">
        <f aca="false">IF(J284="","",IF(COUNTIFS($D$5:$D$400,D284,$F$5:$F$400,F284,$B$5:$B$400,"&gt;"&amp;J284,$B$5:$B$400,"&lt;="&amp;(J284+EffWin))&gt;0,"Ineffective",IF(AsOf-J284&gt;=EffWin,"Effective","Check pending")))</f>
        <v/>
      </c>
      <c r="S284" s="36" t="str">
        <f aca="false">IF(A284="","",DATE(YEAR(B284),MONTH(B284),1))</f>
        <v/>
      </c>
      <c r="T284" s="36" t="str">
        <f aca="false">IF(H284="","",DATE(YEAR(H284),MONTH(H284),1))</f>
        <v/>
      </c>
      <c r="U284" s="27" t="str">
        <f aca="false">IF(H284="","",IF(AsOf-H284&lt;=90,L284,""))</f>
        <v/>
      </c>
      <c r="V284" s="27" t="str">
        <f aca="false">IF(H284="","",IF(AND(AsOf-H284&gt;90,AsOf-H284&lt;=270),L284,""))</f>
        <v/>
      </c>
    </row>
    <row r="285" customFormat="false" ht="15" hidden="false" customHeight="false" outlineLevel="0" collapsed="false">
      <c r="A285" s="2"/>
      <c r="B285" s="37"/>
      <c r="C285" s="2"/>
      <c r="D285" s="2"/>
      <c r="E285" s="2"/>
      <c r="F285" s="2"/>
      <c r="G285" s="2"/>
      <c r="H285" s="37"/>
      <c r="I285" s="2"/>
      <c r="J285" s="37"/>
      <c r="K285" s="27" t="str">
        <f aca="false">IF(A285="","",IF(H285="","Open","Closed"))</f>
        <v/>
      </c>
      <c r="L285" s="27" t="str">
        <f aca="false">IF(A285="","",IF(H285="",AsOf-B285,H285-B285))</f>
        <v/>
      </c>
      <c r="M285" s="27" t="str">
        <f aca="false">IF(A285="","",IF(AND(K285="Open",L285&gt;Target),"Yes","No"))</f>
        <v/>
      </c>
      <c r="N285" s="27" t="str">
        <f aca="false">IF(K285&lt;&gt;"Open","",IF(L285&lt;=30,"0-30",IF(L285&lt;=60,"31-60",IF(L285&lt;=90,"61-90","90+"))))</f>
        <v/>
      </c>
      <c r="O285" s="27" t="str">
        <f aca="false">IF(A285="","",IF(COUNTIFS($D$5:$D$400,D285,$F$5:$F$400,F285,$B$5:$B$400,"&gt;="&amp;(B285-RepeatWin),$B$5:$B$400,"&lt;"&amp;B285)&gt;0,"Yes","No"))</f>
        <v/>
      </c>
      <c r="P285" s="35" t="str">
        <f aca="false">IF(OR(I285="",H285=""),"",H285+CapaDue)</f>
        <v/>
      </c>
      <c r="Q285" s="27" t="str">
        <f aca="false">IF(A285="","",IF(I285="","Not required",IF(J285&lt;&gt;"","Closed",IF(H285="","Awaiting dev. close",IF(AsOf&gt;P285,"Overdue","Open")))))</f>
        <v/>
      </c>
      <c r="R285" s="27" t="str">
        <f aca="false">IF(J285="","",IF(COUNTIFS($D$5:$D$400,D285,$F$5:$F$400,F285,$B$5:$B$400,"&gt;"&amp;J285,$B$5:$B$400,"&lt;="&amp;(J285+EffWin))&gt;0,"Ineffective",IF(AsOf-J285&gt;=EffWin,"Effective","Check pending")))</f>
        <v/>
      </c>
      <c r="S285" s="36" t="str">
        <f aca="false">IF(A285="","",DATE(YEAR(B285),MONTH(B285),1))</f>
        <v/>
      </c>
      <c r="T285" s="36" t="str">
        <f aca="false">IF(H285="","",DATE(YEAR(H285),MONTH(H285),1))</f>
        <v/>
      </c>
      <c r="U285" s="27" t="str">
        <f aca="false">IF(H285="","",IF(AsOf-H285&lt;=90,L285,""))</f>
        <v/>
      </c>
      <c r="V285" s="27" t="str">
        <f aca="false">IF(H285="","",IF(AND(AsOf-H285&gt;90,AsOf-H285&lt;=270),L285,""))</f>
        <v/>
      </c>
    </row>
    <row r="286" customFormat="false" ht="15" hidden="false" customHeight="false" outlineLevel="0" collapsed="false">
      <c r="A286" s="2"/>
      <c r="B286" s="37"/>
      <c r="C286" s="2"/>
      <c r="D286" s="2"/>
      <c r="E286" s="2"/>
      <c r="F286" s="2"/>
      <c r="G286" s="2"/>
      <c r="H286" s="37"/>
      <c r="I286" s="2"/>
      <c r="J286" s="37"/>
      <c r="K286" s="27" t="str">
        <f aca="false">IF(A286="","",IF(H286="","Open","Closed"))</f>
        <v/>
      </c>
      <c r="L286" s="27" t="str">
        <f aca="false">IF(A286="","",IF(H286="",AsOf-B286,H286-B286))</f>
        <v/>
      </c>
      <c r="M286" s="27" t="str">
        <f aca="false">IF(A286="","",IF(AND(K286="Open",L286&gt;Target),"Yes","No"))</f>
        <v/>
      </c>
      <c r="N286" s="27" t="str">
        <f aca="false">IF(K286&lt;&gt;"Open","",IF(L286&lt;=30,"0-30",IF(L286&lt;=60,"31-60",IF(L286&lt;=90,"61-90","90+"))))</f>
        <v/>
      </c>
      <c r="O286" s="27" t="str">
        <f aca="false">IF(A286="","",IF(COUNTIFS($D$5:$D$400,D286,$F$5:$F$400,F286,$B$5:$B$400,"&gt;="&amp;(B286-RepeatWin),$B$5:$B$400,"&lt;"&amp;B286)&gt;0,"Yes","No"))</f>
        <v/>
      </c>
      <c r="P286" s="35" t="str">
        <f aca="false">IF(OR(I286="",H286=""),"",H286+CapaDue)</f>
        <v/>
      </c>
      <c r="Q286" s="27" t="str">
        <f aca="false">IF(A286="","",IF(I286="","Not required",IF(J286&lt;&gt;"","Closed",IF(H286="","Awaiting dev. close",IF(AsOf&gt;P286,"Overdue","Open")))))</f>
        <v/>
      </c>
      <c r="R286" s="27" t="str">
        <f aca="false">IF(J286="","",IF(COUNTIFS($D$5:$D$400,D286,$F$5:$F$400,F286,$B$5:$B$400,"&gt;"&amp;J286,$B$5:$B$400,"&lt;="&amp;(J286+EffWin))&gt;0,"Ineffective",IF(AsOf-J286&gt;=EffWin,"Effective","Check pending")))</f>
        <v/>
      </c>
      <c r="S286" s="36" t="str">
        <f aca="false">IF(A286="","",DATE(YEAR(B286),MONTH(B286),1))</f>
        <v/>
      </c>
      <c r="T286" s="36" t="str">
        <f aca="false">IF(H286="","",DATE(YEAR(H286),MONTH(H286),1))</f>
        <v/>
      </c>
      <c r="U286" s="27" t="str">
        <f aca="false">IF(H286="","",IF(AsOf-H286&lt;=90,L286,""))</f>
        <v/>
      </c>
      <c r="V286" s="27" t="str">
        <f aca="false">IF(H286="","",IF(AND(AsOf-H286&gt;90,AsOf-H286&lt;=270),L286,""))</f>
        <v/>
      </c>
    </row>
    <row r="287" customFormat="false" ht="15" hidden="false" customHeight="false" outlineLevel="0" collapsed="false">
      <c r="A287" s="2"/>
      <c r="B287" s="37"/>
      <c r="C287" s="2"/>
      <c r="D287" s="2"/>
      <c r="E287" s="2"/>
      <c r="F287" s="2"/>
      <c r="G287" s="2"/>
      <c r="H287" s="37"/>
      <c r="I287" s="2"/>
      <c r="J287" s="37"/>
      <c r="K287" s="27" t="str">
        <f aca="false">IF(A287="","",IF(H287="","Open","Closed"))</f>
        <v/>
      </c>
      <c r="L287" s="27" t="str">
        <f aca="false">IF(A287="","",IF(H287="",AsOf-B287,H287-B287))</f>
        <v/>
      </c>
      <c r="M287" s="27" t="str">
        <f aca="false">IF(A287="","",IF(AND(K287="Open",L287&gt;Target),"Yes","No"))</f>
        <v/>
      </c>
      <c r="N287" s="27" t="str">
        <f aca="false">IF(K287&lt;&gt;"Open","",IF(L287&lt;=30,"0-30",IF(L287&lt;=60,"31-60",IF(L287&lt;=90,"61-90","90+"))))</f>
        <v/>
      </c>
      <c r="O287" s="27" t="str">
        <f aca="false">IF(A287="","",IF(COUNTIFS($D$5:$D$400,D287,$F$5:$F$400,F287,$B$5:$B$400,"&gt;="&amp;(B287-RepeatWin),$B$5:$B$400,"&lt;"&amp;B287)&gt;0,"Yes","No"))</f>
        <v/>
      </c>
      <c r="P287" s="35" t="str">
        <f aca="false">IF(OR(I287="",H287=""),"",H287+CapaDue)</f>
        <v/>
      </c>
      <c r="Q287" s="27" t="str">
        <f aca="false">IF(A287="","",IF(I287="","Not required",IF(J287&lt;&gt;"","Closed",IF(H287="","Awaiting dev. close",IF(AsOf&gt;P287,"Overdue","Open")))))</f>
        <v/>
      </c>
      <c r="R287" s="27" t="str">
        <f aca="false">IF(J287="","",IF(COUNTIFS($D$5:$D$400,D287,$F$5:$F$400,F287,$B$5:$B$400,"&gt;"&amp;J287,$B$5:$B$400,"&lt;="&amp;(J287+EffWin))&gt;0,"Ineffective",IF(AsOf-J287&gt;=EffWin,"Effective","Check pending")))</f>
        <v/>
      </c>
      <c r="S287" s="36" t="str">
        <f aca="false">IF(A287="","",DATE(YEAR(B287),MONTH(B287),1))</f>
        <v/>
      </c>
      <c r="T287" s="36" t="str">
        <f aca="false">IF(H287="","",DATE(YEAR(H287),MONTH(H287),1))</f>
        <v/>
      </c>
      <c r="U287" s="27" t="str">
        <f aca="false">IF(H287="","",IF(AsOf-H287&lt;=90,L287,""))</f>
        <v/>
      </c>
      <c r="V287" s="27" t="str">
        <f aca="false">IF(H287="","",IF(AND(AsOf-H287&gt;90,AsOf-H287&lt;=270),L287,""))</f>
        <v/>
      </c>
    </row>
    <row r="288" customFormat="false" ht="15" hidden="false" customHeight="false" outlineLevel="0" collapsed="false">
      <c r="A288" s="2"/>
      <c r="B288" s="37"/>
      <c r="C288" s="2"/>
      <c r="D288" s="2"/>
      <c r="E288" s="2"/>
      <c r="F288" s="2"/>
      <c r="G288" s="2"/>
      <c r="H288" s="37"/>
      <c r="I288" s="2"/>
      <c r="J288" s="37"/>
      <c r="K288" s="27" t="str">
        <f aca="false">IF(A288="","",IF(H288="","Open","Closed"))</f>
        <v/>
      </c>
      <c r="L288" s="27" t="str">
        <f aca="false">IF(A288="","",IF(H288="",AsOf-B288,H288-B288))</f>
        <v/>
      </c>
      <c r="M288" s="27" t="str">
        <f aca="false">IF(A288="","",IF(AND(K288="Open",L288&gt;Target),"Yes","No"))</f>
        <v/>
      </c>
      <c r="N288" s="27" t="str">
        <f aca="false">IF(K288&lt;&gt;"Open","",IF(L288&lt;=30,"0-30",IF(L288&lt;=60,"31-60",IF(L288&lt;=90,"61-90","90+"))))</f>
        <v/>
      </c>
      <c r="O288" s="27" t="str">
        <f aca="false">IF(A288="","",IF(COUNTIFS($D$5:$D$400,D288,$F$5:$F$400,F288,$B$5:$B$400,"&gt;="&amp;(B288-RepeatWin),$B$5:$B$400,"&lt;"&amp;B288)&gt;0,"Yes","No"))</f>
        <v/>
      </c>
      <c r="P288" s="35" t="str">
        <f aca="false">IF(OR(I288="",H288=""),"",H288+CapaDue)</f>
        <v/>
      </c>
      <c r="Q288" s="27" t="str">
        <f aca="false">IF(A288="","",IF(I288="","Not required",IF(J288&lt;&gt;"","Closed",IF(H288="","Awaiting dev. close",IF(AsOf&gt;P288,"Overdue","Open")))))</f>
        <v/>
      </c>
      <c r="R288" s="27" t="str">
        <f aca="false">IF(J288="","",IF(COUNTIFS($D$5:$D$400,D288,$F$5:$F$400,F288,$B$5:$B$400,"&gt;"&amp;J288,$B$5:$B$400,"&lt;="&amp;(J288+EffWin))&gt;0,"Ineffective",IF(AsOf-J288&gt;=EffWin,"Effective","Check pending")))</f>
        <v/>
      </c>
      <c r="S288" s="36" t="str">
        <f aca="false">IF(A288="","",DATE(YEAR(B288),MONTH(B288),1))</f>
        <v/>
      </c>
      <c r="T288" s="36" t="str">
        <f aca="false">IF(H288="","",DATE(YEAR(H288),MONTH(H288),1))</f>
        <v/>
      </c>
      <c r="U288" s="27" t="str">
        <f aca="false">IF(H288="","",IF(AsOf-H288&lt;=90,L288,""))</f>
        <v/>
      </c>
      <c r="V288" s="27" t="str">
        <f aca="false">IF(H288="","",IF(AND(AsOf-H288&gt;90,AsOf-H288&lt;=270),L288,""))</f>
        <v/>
      </c>
    </row>
    <row r="289" customFormat="false" ht="15" hidden="false" customHeight="false" outlineLevel="0" collapsed="false">
      <c r="A289" s="2"/>
      <c r="B289" s="37"/>
      <c r="C289" s="2"/>
      <c r="D289" s="2"/>
      <c r="E289" s="2"/>
      <c r="F289" s="2"/>
      <c r="G289" s="2"/>
      <c r="H289" s="37"/>
      <c r="I289" s="2"/>
      <c r="J289" s="37"/>
      <c r="K289" s="27" t="str">
        <f aca="false">IF(A289="","",IF(H289="","Open","Closed"))</f>
        <v/>
      </c>
      <c r="L289" s="27" t="str">
        <f aca="false">IF(A289="","",IF(H289="",AsOf-B289,H289-B289))</f>
        <v/>
      </c>
      <c r="M289" s="27" t="str">
        <f aca="false">IF(A289="","",IF(AND(K289="Open",L289&gt;Target),"Yes","No"))</f>
        <v/>
      </c>
      <c r="N289" s="27" t="str">
        <f aca="false">IF(K289&lt;&gt;"Open","",IF(L289&lt;=30,"0-30",IF(L289&lt;=60,"31-60",IF(L289&lt;=90,"61-90","90+"))))</f>
        <v/>
      </c>
      <c r="O289" s="27" t="str">
        <f aca="false">IF(A289="","",IF(COUNTIFS($D$5:$D$400,D289,$F$5:$F$400,F289,$B$5:$B$400,"&gt;="&amp;(B289-RepeatWin),$B$5:$B$400,"&lt;"&amp;B289)&gt;0,"Yes","No"))</f>
        <v/>
      </c>
      <c r="P289" s="35" t="str">
        <f aca="false">IF(OR(I289="",H289=""),"",H289+CapaDue)</f>
        <v/>
      </c>
      <c r="Q289" s="27" t="str">
        <f aca="false">IF(A289="","",IF(I289="","Not required",IF(J289&lt;&gt;"","Closed",IF(H289="","Awaiting dev. close",IF(AsOf&gt;P289,"Overdue","Open")))))</f>
        <v/>
      </c>
      <c r="R289" s="27" t="str">
        <f aca="false">IF(J289="","",IF(COUNTIFS($D$5:$D$400,D289,$F$5:$F$400,F289,$B$5:$B$400,"&gt;"&amp;J289,$B$5:$B$400,"&lt;="&amp;(J289+EffWin))&gt;0,"Ineffective",IF(AsOf-J289&gt;=EffWin,"Effective","Check pending")))</f>
        <v/>
      </c>
      <c r="S289" s="36" t="str">
        <f aca="false">IF(A289="","",DATE(YEAR(B289),MONTH(B289),1))</f>
        <v/>
      </c>
      <c r="T289" s="36" t="str">
        <f aca="false">IF(H289="","",DATE(YEAR(H289),MONTH(H289),1))</f>
        <v/>
      </c>
      <c r="U289" s="27" t="str">
        <f aca="false">IF(H289="","",IF(AsOf-H289&lt;=90,L289,""))</f>
        <v/>
      </c>
      <c r="V289" s="27" t="str">
        <f aca="false">IF(H289="","",IF(AND(AsOf-H289&gt;90,AsOf-H289&lt;=270),L289,""))</f>
        <v/>
      </c>
    </row>
    <row r="290" customFormat="false" ht="15" hidden="false" customHeight="false" outlineLevel="0" collapsed="false">
      <c r="A290" s="2"/>
      <c r="B290" s="37"/>
      <c r="C290" s="2"/>
      <c r="D290" s="2"/>
      <c r="E290" s="2"/>
      <c r="F290" s="2"/>
      <c r="G290" s="2"/>
      <c r="H290" s="37"/>
      <c r="I290" s="2"/>
      <c r="J290" s="37"/>
      <c r="K290" s="27" t="str">
        <f aca="false">IF(A290="","",IF(H290="","Open","Closed"))</f>
        <v/>
      </c>
      <c r="L290" s="27" t="str">
        <f aca="false">IF(A290="","",IF(H290="",AsOf-B290,H290-B290))</f>
        <v/>
      </c>
      <c r="M290" s="27" t="str">
        <f aca="false">IF(A290="","",IF(AND(K290="Open",L290&gt;Target),"Yes","No"))</f>
        <v/>
      </c>
      <c r="N290" s="27" t="str">
        <f aca="false">IF(K290&lt;&gt;"Open","",IF(L290&lt;=30,"0-30",IF(L290&lt;=60,"31-60",IF(L290&lt;=90,"61-90","90+"))))</f>
        <v/>
      </c>
      <c r="O290" s="27" t="str">
        <f aca="false">IF(A290="","",IF(COUNTIFS($D$5:$D$400,D290,$F$5:$F$400,F290,$B$5:$B$400,"&gt;="&amp;(B290-RepeatWin),$B$5:$B$400,"&lt;"&amp;B290)&gt;0,"Yes","No"))</f>
        <v/>
      </c>
      <c r="P290" s="35" t="str">
        <f aca="false">IF(OR(I290="",H290=""),"",H290+CapaDue)</f>
        <v/>
      </c>
      <c r="Q290" s="27" t="str">
        <f aca="false">IF(A290="","",IF(I290="","Not required",IF(J290&lt;&gt;"","Closed",IF(H290="","Awaiting dev. close",IF(AsOf&gt;P290,"Overdue","Open")))))</f>
        <v/>
      </c>
      <c r="R290" s="27" t="str">
        <f aca="false">IF(J290="","",IF(COUNTIFS($D$5:$D$400,D290,$F$5:$F$400,F290,$B$5:$B$400,"&gt;"&amp;J290,$B$5:$B$400,"&lt;="&amp;(J290+EffWin))&gt;0,"Ineffective",IF(AsOf-J290&gt;=EffWin,"Effective","Check pending")))</f>
        <v/>
      </c>
      <c r="S290" s="36" t="str">
        <f aca="false">IF(A290="","",DATE(YEAR(B290),MONTH(B290),1))</f>
        <v/>
      </c>
      <c r="T290" s="36" t="str">
        <f aca="false">IF(H290="","",DATE(YEAR(H290),MONTH(H290),1))</f>
        <v/>
      </c>
      <c r="U290" s="27" t="str">
        <f aca="false">IF(H290="","",IF(AsOf-H290&lt;=90,L290,""))</f>
        <v/>
      </c>
      <c r="V290" s="27" t="str">
        <f aca="false">IF(H290="","",IF(AND(AsOf-H290&gt;90,AsOf-H290&lt;=270),L290,""))</f>
        <v/>
      </c>
    </row>
    <row r="291" customFormat="false" ht="15" hidden="false" customHeight="false" outlineLevel="0" collapsed="false">
      <c r="A291" s="2"/>
      <c r="B291" s="37"/>
      <c r="C291" s="2"/>
      <c r="D291" s="2"/>
      <c r="E291" s="2"/>
      <c r="F291" s="2"/>
      <c r="G291" s="2"/>
      <c r="H291" s="37"/>
      <c r="I291" s="2"/>
      <c r="J291" s="37"/>
      <c r="K291" s="27" t="str">
        <f aca="false">IF(A291="","",IF(H291="","Open","Closed"))</f>
        <v/>
      </c>
      <c r="L291" s="27" t="str">
        <f aca="false">IF(A291="","",IF(H291="",AsOf-B291,H291-B291))</f>
        <v/>
      </c>
      <c r="M291" s="27" t="str">
        <f aca="false">IF(A291="","",IF(AND(K291="Open",L291&gt;Target),"Yes","No"))</f>
        <v/>
      </c>
      <c r="N291" s="27" t="str">
        <f aca="false">IF(K291&lt;&gt;"Open","",IF(L291&lt;=30,"0-30",IF(L291&lt;=60,"31-60",IF(L291&lt;=90,"61-90","90+"))))</f>
        <v/>
      </c>
      <c r="O291" s="27" t="str">
        <f aca="false">IF(A291="","",IF(COUNTIFS($D$5:$D$400,D291,$F$5:$F$400,F291,$B$5:$B$400,"&gt;="&amp;(B291-RepeatWin),$B$5:$B$400,"&lt;"&amp;B291)&gt;0,"Yes","No"))</f>
        <v/>
      </c>
      <c r="P291" s="35" t="str">
        <f aca="false">IF(OR(I291="",H291=""),"",H291+CapaDue)</f>
        <v/>
      </c>
      <c r="Q291" s="27" t="str">
        <f aca="false">IF(A291="","",IF(I291="","Not required",IF(J291&lt;&gt;"","Closed",IF(H291="","Awaiting dev. close",IF(AsOf&gt;P291,"Overdue","Open")))))</f>
        <v/>
      </c>
      <c r="R291" s="27" t="str">
        <f aca="false">IF(J291="","",IF(COUNTIFS($D$5:$D$400,D291,$F$5:$F$400,F291,$B$5:$B$400,"&gt;"&amp;J291,$B$5:$B$400,"&lt;="&amp;(J291+EffWin))&gt;0,"Ineffective",IF(AsOf-J291&gt;=EffWin,"Effective","Check pending")))</f>
        <v/>
      </c>
      <c r="S291" s="36" t="str">
        <f aca="false">IF(A291="","",DATE(YEAR(B291),MONTH(B291),1))</f>
        <v/>
      </c>
      <c r="T291" s="36" t="str">
        <f aca="false">IF(H291="","",DATE(YEAR(H291),MONTH(H291),1))</f>
        <v/>
      </c>
      <c r="U291" s="27" t="str">
        <f aca="false">IF(H291="","",IF(AsOf-H291&lt;=90,L291,""))</f>
        <v/>
      </c>
      <c r="V291" s="27" t="str">
        <f aca="false">IF(H291="","",IF(AND(AsOf-H291&gt;90,AsOf-H291&lt;=270),L291,""))</f>
        <v/>
      </c>
    </row>
    <row r="292" customFormat="false" ht="15" hidden="false" customHeight="false" outlineLevel="0" collapsed="false">
      <c r="A292" s="2"/>
      <c r="B292" s="37"/>
      <c r="C292" s="2"/>
      <c r="D292" s="2"/>
      <c r="E292" s="2"/>
      <c r="F292" s="2"/>
      <c r="G292" s="2"/>
      <c r="H292" s="37"/>
      <c r="I292" s="2"/>
      <c r="J292" s="37"/>
      <c r="K292" s="27" t="str">
        <f aca="false">IF(A292="","",IF(H292="","Open","Closed"))</f>
        <v/>
      </c>
      <c r="L292" s="27" t="str">
        <f aca="false">IF(A292="","",IF(H292="",AsOf-B292,H292-B292))</f>
        <v/>
      </c>
      <c r="M292" s="27" t="str">
        <f aca="false">IF(A292="","",IF(AND(K292="Open",L292&gt;Target),"Yes","No"))</f>
        <v/>
      </c>
      <c r="N292" s="27" t="str">
        <f aca="false">IF(K292&lt;&gt;"Open","",IF(L292&lt;=30,"0-30",IF(L292&lt;=60,"31-60",IF(L292&lt;=90,"61-90","90+"))))</f>
        <v/>
      </c>
      <c r="O292" s="27" t="str">
        <f aca="false">IF(A292="","",IF(COUNTIFS($D$5:$D$400,D292,$F$5:$F$400,F292,$B$5:$B$400,"&gt;="&amp;(B292-RepeatWin),$B$5:$B$400,"&lt;"&amp;B292)&gt;0,"Yes","No"))</f>
        <v/>
      </c>
      <c r="P292" s="35" t="str">
        <f aca="false">IF(OR(I292="",H292=""),"",H292+CapaDue)</f>
        <v/>
      </c>
      <c r="Q292" s="27" t="str">
        <f aca="false">IF(A292="","",IF(I292="","Not required",IF(J292&lt;&gt;"","Closed",IF(H292="","Awaiting dev. close",IF(AsOf&gt;P292,"Overdue","Open")))))</f>
        <v/>
      </c>
      <c r="R292" s="27" t="str">
        <f aca="false">IF(J292="","",IF(COUNTIFS($D$5:$D$400,D292,$F$5:$F$400,F292,$B$5:$B$400,"&gt;"&amp;J292,$B$5:$B$400,"&lt;="&amp;(J292+EffWin))&gt;0,"Ineffective",IF(AsOf-J292&gt;=EffWin,"Effective","Check pending")))</f>
        <v/>
      </c>
      <c r="S292" s="36" t="str">
        <f aca="false">IF(A292="","",DATE(YEAR(B292),MONTH(B292),1))</f>
        <v/>
      </c>
      <c r="T292" s="36" t="str">
        <f aca="false">IF(H292="","",DATE(YEAR(H292),MONTH(H292),1))</f>
        <v/>
      </c>
      <c r="U292" s="27" t="str">
        <f aca="false">IF(H292="","",IF(AsOf-H292&lt;=90,L292,""))</f>
        <v/>
      </c>
      <c r="V292" s="27" t="str">
        <f aca="false">IF(H292="","",IF(AND(AsOf-H292&gt;90,AsOf-H292&lt;=270),L292,""))</f>
        <v/>
      </c>
    </row>
    <row r="293" customFormat="false" ht="15" hidden="false" customHeight="false" outlineLevel="0" collapsed="false">
      <c r="A293" s="2"/>
      <c r="B293" s="37"/>
      <c r="C293" s="2"/>
      <c r="D293" s="2"/>
      <c r="E293" s="2"/>
      <c r="F293" s="2"/>
      <c r="G293" s="2"/>
      <c r="H293" s="37"/>
      <c r="I293" s="2"/>
      <c r="J293" s="37"/>
      <c r="K293" s="27" t="str">
        <f aca="false">IF(A293="","",IF(H293="","Open","Closed"))</f>
        <v/>
      </c>
      <c r="L293" s="27" t="str">
        <f aca="false">IF(A293="","",IF(H293="",AsOf-B293,H293-B293))</f>
        <v/>
      </c>
      <c r="M293" s="27" t="str">
        <f aca="false">IF(A293="","",IF(AND(K293="Open",L293&gt;Target),"Yes","No"))</f>
        <v/>
      </c>
      <c r="N293" s="27" t="str">
        <f aca="false">IF(K293&lt;&gt;"Open","",IF(L293&lt;=30,"0-30",IF(L293&lt;=60,"31-60",IF(L293&lt;=90,"61-90","90+"))))</f>
        <v/>
      </c>
      <c r="O293" s="27" t="str">
        <f aca="false">IF(A293="","",IF(COUNTIFS($D$5:$D$400,D293,$F$5:$F$400,F293,$B$5:$B$400,"&gt;="&amp;(B293-RepeatWin),$B$5:$B$400,"&lt;"&amp;B293)&gt;0,"Yes","No"))</f>
        <v/>
      </c>
      <c r="P293" s="35" t="str">
        <f aca="false">IF(OR(I293="",H293=""),"",H293+CapaDue)</f>
        <v/>
      </c>
      <c r="Q293" s="27" t="str">
        <f aca="false">IF(A293="","",IF(I293="","Not required",IF(J293&lt;&gt;"","Closed",IF(H293="","Awaiting dev. close",IF(AsOf&gt;P293,"Overdue","Open")))))</f>
        <v/>
      </c>
      <c r="R293" s="27" t="str">
        <f aca="false">IF(J293="","",IF(COUNTIFS($D$5:$D$400,D293,$F$5:$F$400,F293,$B$5:$B$400,"&gt;"&amp;J293,$B$5:$B$400,"&lt;="&amp;(J293+EffWin))&gt;0,"Ineffective",IF(AsOf-J293&gt;=EffWin,"Effective","Check pending")))</f>
        <v/>
      </c>
      <c r="S293" s="36" t="str">
        <f aca="false">IF(A293="","",DATE(YEAR(B293),MONTH(B293),1))</f>
        <v/>
      </c>
      <c r="T293" s="36" t="str">
        <f aca="false">IF(H293="","",DATE(YEAR(H293),MONTH(H293),1))</f>
        <v/>
      </c>
      <c r="U293" s="27" t="str">
        <f aca="false">IF(H293="","",IF(AsOf-H293&lt;=90,L293,""))</f>
        <v/>
      </c>
      <c r="V293" s="27" t="str">
        <f aca="false">IF(H293="","",IF(AND(AsOf-H293&gt;90,AsOf-H293&lt;=270),L293,""))</f>
        <v/>
      </c>
    </row>
    <row r="294" customFormat="false" ht="15" hidden="false" customHeight="false" outlineLevel="0" collapsed="false">
      <c r="A294" s="2"/>
      <c r="B294" s="37"/>
      <c r="C294" s="2"/>
      <c r="D294" s="2"/>
      <c r="E294" s="2"/>
      <c r="F294" s="2"/>
      <c r="G294" s="2"/>
      <c r="H294" s="37"/>
      <c r="I294" s="2"/>
      <c r="J294" s="37"/>
      <c r="K294" s="27" t="str">
        <f aca="false">IF(A294="","",IF(H294="","Open","Closed"))</f>
        <v/>
      </c>
      <c r="L294" s="27" t="str">
        <f aca="false">IF(A294="","",IF(H294="",AsOf-B294,H294-B294))</f>
        <v/>
      </c>
      <c r="M294" s="27" t="str">
        <f aca="false">IF(A294="","",IF(AND(K294="Open",L294&gt;Target),"Yes","No"))</f>
        <v/>
      </c>
      <c r="N294" s="27" t="str">
        <f aca="false">IF(K294&lt;&gt;"Open","",IF(L294&lt;=30,"0-30",IF(L294&lt;=60,"31-60",IF(L294&lt;=90,"61-90","90+"))))</f>
        <v/>
      </c>
      <c r="O294" s="27" t="str">
        <f aca="false">IF(A294="","",IF(COUNTIFS($D$5:$D$400,D294,$F$5:$F$400,F294,$B$5:$B$400,"&gt;="&amp;(B294-RepeatWin),$B$5:$B$400,"&lt;"&amp;B294)&gt;0,"Yes","No"))</f>
        <v/>
      </c>
      <c r="P294" s="35" t="str">
        <f aca="false">IF(OR(I294="",H294=""),"",H294+CapaDue)</f>
        <v/>
      </c>
      <c r="Q294" s="27" t="str">
        <f aca="false">IF(A294="","",IF(I294="","Not required",IF(J294&lt;&gt;"","Closed",IF(H294="","Awaiting dev. close",IF(AsOf&gt;P294,"Overdue","Open")))))</f>
        <v/>
      </c>
      <c r="R294" s="27" t="str">
        <f aca="false">IF(J294="","",IF(COUNTIFS($D$5:$D$400,D294,$F$5:$F$400,F294,$B$5:$B$400,"&gt;"&amp;J294,$B$5:$B$400,"&lt;="&amp;(J294+EffWin))&gt;0,"Ineffective",IF(AsOf-J294&gt;=EffWin,"Effective","Check pending")))</f>
        <v/>
      </c>
      <c r="S294" s="36" t="str">
        <f aca="false">IF(A294="","",DATE(YEAR(B294),MONTH(B294),1))</f>
        <v/>
      </c>
      <c r="T294" s="36" t="str">
        <f aca="false">IF(H294="","",DATE(YEAR(H294),MONTH(H294),1))</f>
        <v/>
      </c>
      <c r="U294" s="27" t="str">
        <f aca="false">IF(H294="","",IF(AsOf-H294&lt;=90,L294,""))</f>
        <v/>
      </c>
      <c r="V294" s="27" t="str">
        <f aca="false">IF(H294="","",IF(AND(AsOf-H294&gt;90,AsOf-H294&lt;=270),L294,""))</f>
        <v/>
      </c>
    </row>
    <row r="295" customFormat="false" ht="15" hidden="false" customHeight="false" outlineLevel="0" collapsed="false">
      <c r="A295" s="2"/>
      <c r="B295" s="37"/>
      <c r="C295" s="2"/>
      <c r="D295" s="2"/>
      <c r="E295" s="2"/>
      <c r="F295" s="2"/>
      <c r="G295" s="2"/>
      <c r="H295" s="37"/>
      <c r="I295" s="2"/>
      <c r="J295" s="37"/>
      <c r="K295" s="27" t="str">
        <f aca="false">IF(A295="","",IF(H295="","Open","Closed"))</f>
        <v/>
      </c>
      <c r="L295" s="27" t="str">
        <f aca="false">IF(A295="","",IF(H295="",AsOf-B295,H295-B295))</f>
        <v/>
      </c>
      <c r="M295" s="27" t="str">
        <f aca="false">IF(A295="","",IF(AND(K295="Open",L295&gt;Target),"Yes","No"))</f>
        <v/>
      </c>
      <c r="N295" s="27" t="str">
        <f aca="false">IF(K295&lt;&gt;"Open","",IF(L295&lt;=30,"0-30",IF(L295&lt;=60,"31-60",IF(L295&lt;=90,"61-90","90+"))))</f>
        <v/>
      </c>
      <c r="O295" s="27" t="str">
        <f aca="false">IF(A295="","",IF(COUNTIFS($D$5:$D$400,D295,$F$5:$F$400,F295,$B$5:$B$400,"&gt;="&amp;(B295-RepeatWin),$B$5:$B$400,"&lt;"&amp;B295)&gt;0,"Yes","No"))</f>
        <v/>
      </c>
      <c r="P295" s="35" t="str">
        <f aca="false">IF(OR(I295="",H295=""),"",H295+CapaDue)</f>
        <v/>
      </c>
      <c r="Q295" s="27" t="str">
        <f aca="false">IF(A295="","",IF(I295="","Not required",IF(J295&lt;&gt;"","Closed",IF(H295="","Awaiting dev. close",IF(AsOf&gt;P295,"Overdue","Open")))))</f>
        <v/>
      </c>
      <c r="R295" s="27" t="str">
        <f aca="false">IF(J295="","",IF(COUNTIFS($D$5:$D$400,D295,$F$5:$F$400,F295,$B$5:$B$400,"&gt;"&amp;J295,$B$5:$B$400,"&lt;="&amp;(J295+EffWin))&gt;0,"Ineffective",IF(AsOf-J295&gt;=EffWin,"Effective","Check pending")))</f>
        <v/>
      </c>
      <c r="S295" s="36" t="str">
        <f aca="false">IF(A295="","",DATE(YEAR(B295),MONTH(B295),1))</f>
        <v/>
      </c>
      <c r="T295" s="36" t="str">
        <f aca="false">IF(H295="","",DATE(YEAR(H295),MONTH(H295),1))</f>
        <v/>
      </c>
      <c r="U295" s="27" t="str">
        <f aca="false">IF(H295="","",IF(AsOf-H295&lt;=90,L295,""))</f>
        <v/>
      </c>
      <c r="V295" s="27" t="str">
        <f aca="false">IF(H295="","",IF(AND(AsOf-H295&gt;90,AsOf-H295&lt;=270),L295,""))</f>
        <v/>
      </c>
    </row>
    <row r="296" customFormat="false" ht="15" hidden="false" customHeight="false" outlineLevel="0" collapsed="false">
      <c r="A296" s="2"/>
      <c r="B296" s="37"/>
      <c r="C296" s="2"/>
      <c r="D296" s="2"/>
      <c r="E296" s="2"/>
      <c r="F296" s="2"/>
      <c r="G296" s="2"/>
      <c r="H296" s="37"/>
      <c r="I296" s="2"/>
      <c r="J296" s="37"/>
      <c r="K296" s="27" t="str">
        <f aca="false">IF(A296="","",IF(H296="","Open","Closed"))</f>
        <v/>
      </c>
      <c r="L296" s="27" t="str">
        <f aca="false">IF(A296="","",IF(H296="",AsOf-B296,H296-B296))</f>
        <v/>
      </c>
      <c r="M296" s="27" t="str">
        <f aca="false">IF(A296="","",IF(AND(K296="Open",L296&gt;Target),"Yes","No"))</f>
        <v/>
      </c>
      <c r="N296" s="27" t="str">
        <f aca="false">IF(K296&lt;&gt;"Open","",IF(L296&lt;=30,"0-30",IF(L296&lt;=60,"31-60",IF(L296&lt;=90,"61-90","90+"))))</f>
        <v/>
      </c>
      <c r="O296" s="27" t="str">
        <f aca="false">IF(A296="","",IF(COUNTIFS($D$5:$D$400,D296,$F$5:$F$400,F296,$B$5:$B$400,"&gt;="&amp;(B296-RepeatWin),$B$5:$B$400,"&lt;"&amp;B296)&gt;0,"Yes","No"))</f>
        <v/>
      </c>
      <c r="P296" s="35" t="str">
        <f aca="false">IF(OR(I296="",H296=""),"",H296+CapaDue)</f>
        <v/>
      </c>
      <c r="Q296" s="27" t="str">
        <f aca="false">IF(A296="","",IF(I296="","Not required",IF(J296&lt;&gt;"","Closed",IF(H296="","Awaiting dev. close",IF(AsOf&gt;P296,"Overdue","Open")))))</f>
        <v/>
      </c>
      <c r="R296" s="27" t="str">
        <f aca="false">IF(J296="","",IF(COUNTIFS($D$5:$D$400,D296,$F$5:$F$400,F296,$B$5:$B$400,"&gt;"&amp;J296,$B$5:$B$400,"&lt;="&amp;(J296+EffWin))&gt;0,"Ineffective",IF(AsOf-J296&gt;=EffWin,"Effective","Check pending")))</f>
        <v/>
      </c>
      <c r="S296" s="36" t="str">
        <f aca="false">IF(A296="","",DATE(YEAR(B296),MONTH(B296),1))</f>
        <v/>
      </c>
      <c r="T296" s="36" t="str">
        <f aca="false">IF(H296="","",DATE(YEAR(H296),MONTH(H296),1))</f>
        <v/>
      </c>
      <c r="U296" s="27" t="str">
        <f aca="false">IF(H296="","",IF(AsOf-H296&lt;=90,L296,""))</f>
        <v/>
      </c>
      <c r="V296" s="27" t="str">
        <f aca="false">IF(H296="","",IF(AND(AsOf-H296&gt;90,AsOf-H296&lt;=270),L296,""))</f>
        <v/>
      </c>
    </row>
    <row r="297" customFormat="false" ht="15" hidden="false" customHeight="false" outlineLevel="0" collapsed="false">
      <c r="A297" s="2"/>
      <c r="B297" s="37"/>
      <c r="C297" s="2"/>
      <c r="D297" s="2"/>
      <c r="E297" s="2"/>
      <c r="F297" s="2"/>
      <c r="G297" s="2"/>
      <c r="H297" s="37"/>
      <c r="I297" s="2"/>
      <c r="J297" s="37"/>
      <c r="K297" s="27" t="str">
        <f aca="false">IF(A297="","",IF(H297="","Open","Closed"))</f>
        <v/>
      </c>
      <c r="L297" s="27" t="str">
        <f aca="false">IF(A297="","",IF(H297="",AsOf-B297,H297-B297))</f>
        <v/>
      </c>
      <c r="M297" s="27" t="str">
        <f aca="false">IF(A297="","",IF(AND(K297="Open",L297&gt;Target),"Yes","No"))</f>
        <v/>
      </c>
      <c r="N297" s="27" t="str">
        <f aca="false">IF(K297&lt;&gt;"Open","",IF(L297&lt;=30,"0-30",IF(L297&lt;=60,"31-60",IF(L297&lt;=90,"61-90","90+"))))</f>
        <v/>
      </c>
      <c r="O297" s="27" t="str">
        <f aca="false">IF(A297="","",IF(COUNTIFS($D$5:$D$400,D297,$F$5:$F$400,F297,$B$5:$B$400,"&gt;="&amp;(B297-RepeatWin),$B$5:$B$400,"&lt;"&amp;B297)&gt;0,"Yes","No"))</f>
        <v/>
      </c>
      <c r="P297" s="35" t="str">
        <f aca="false">IF(OR(I297="",H297=""),"",H297+CapaDue)</f>
        <v/>
      </c>
      <c r="Q297" s="27" t="str">
        <f aca="false">IF(A297="","",IF(I297="","Not required",IF(J297&lt;&gt;"","Closed",IF(H297="","Awaiting dev. close",IF(AsOf&gt;P297,"Overdue","Open")))))</f>
        <v/>
      </c>
      <c r="R297" s="27" t="str">
        <f aca="false">IF(J297="","",IF(COUNTIFS($D$5:$D$400,D297,$F$5:$F$400,F297,$B$5:$B$400,"&gt;"&amp;J297,$B$5:$B$400,"&lt;="&amp;(J297+EffWin))&gt;0,"Ineffective",IF(AsOf-J297&gt;=EffWin,"Effective","Check pending")))</f>
        <v/>
      </c>
      <c r="S297" s="36" t="str">
        <f aca="false">IF(A297="","",DATE(YEAR(B297),MONTH(B297),1))</f>
        <v/>
      </c>
      <c r="T297" s="36" t="str">
        <f aca="false">IF(H297="","",DATE(YEAR(H297),MONTH(H297),1))</f>
        <v/>
      </c>
      <c r="U297" s="27" t="str">
        <f aca="false">IF(H297="","",IF(AsOf-H297&lt;=90,L297,""))</f>
        <v/>
      </c>
      <c r="V297" s="27" t="str">
        <f aca="false">IF(H297="","",IF(AND(AsOf-H297&gt;90,AsOf-H297&lt;=270),L297,""))</f>
        <v/>
      </c>
    </row>
    <row r="298" customFormat="false" ht="15" hidden="false" customHeight="false" outlineLevel="0" collapsed="false">
      <c r="A298" s="2"/>
      <c r="B298" s="37"/>
      <c r="C298" s="2"/>
      <c r="D298" s="2"/>
      <c r="E298" s="2"/>
      <c r="F298" s="2"/>
      <c r="G298" s="2"/>
      <c r="H298" s="37"/>
      <c r="I298" s="2"/>
      <c r="J298" s="37"/>
      <c r="K298" s="27" t="str">
        <f aca="false">IF(A298="","",IF(H298="","Open","Closed"))</f>
        <v/>
      </c>
      <c r="L298" s="27" t="str">
        <f aca="false">IF(A298="","",IF(H298="",AsOf-B298,H298-B298))</f>
        <v/>
      </c>
      <c r="M298" s="27" t="str">
        <f aca="false">IF(A298="","",IF(AND(K298="Open",L298&gt;Target),"Yes","No"))</f>
        <v/>
      </c>
      <c r="N298" s="27" t="str">
        <f aca="false">IF(K298&lt;&gt;"Open","",IF(L298&lt;=30,"0-30",IF(L298&lt;=60,"31-60",IF(L298&lt;=90,"61-90","90+"))))</f>
        <v/>
      </c>
      <c r="O298" s="27" t="str">
        <f aca="false">IF(A298="","",IF(COUNTIFS($D$5:$D$400,D298,$F$5:$F$400,F298,$B$5:$B$400,"&gt;="&amp;(B298-RepeatWin),$B$5:$B$400,"&lt;"&amp;B298)&gt;0,"Yes","No"))</f>
        <v/>
      </c>
      <c r="P298" s="35" t="str">
        <f aca="false">IF(OR(I298="",H298=""),"",H298+CapaDue)</f>
        <v/>
      </c>
      <c r="Q298" s="27" t="str">
        <f aca="false">IF(A298="","",IF(I298="","Not required",IF(J298&lt;&gt;"","Closed",IF(H298="","Awaiting dev. close",IF(AsOf&gt;P298,"Overdue","Open")))))</f>
        <v/>
      </c>
      <c r="R298" s="27" t="str">
        <f aca="false">IF(J298="","",IF(COUNTIFS($D$5:$D$400,D298,$F$5:$F$400,F298,$B$5:$B$400,"&gt;"&amp;J298,$B$5:$B$400,"&lt;="&amp;(J298+EffWin))&gt;0,"Ineffective",IF(AsOf-J298&gt;=EffWin,"Effective","Check pending")))</f>
        <v/>
      </c>
      <c r="S298" s="36" t="str">
        <f aca="false">IF(A298="","",DATE(YEAR(B298),MONTH(B298),1))</f>
        <v/>
      </c>
      <c r="T298" s="36" t="str">
        <f aca="false">IF(H298="","",DATE(YEAR(H298),MONTH(H298),1))</f>
        <v/>
      </c>
      <c r="U298" s="27" t="str">
        <f aca="false">IF(H298="","",IF(AsOf-H298&lt;=90,L298,""))</f>
        <v/>
      </c>
      <c r="V298" s="27" t="str">
        <f aca="false">IF(H298="","",IF(AND(AsOf-H298&gt;90,AsOf-H298&lt;=270),L298,""))</f>
        <v/>
      </c>
    </row>
    <row r="299" customFormat="false" ht="15" hidden="false" customHeight="false" outlineLevel="0" collapsed="false">
      <c r="A299" s="2"/>
      <c r="B299" s="37"/>
      <c r="C299" s="2"/>
      <c r="D299" s="2"/>
      <c r="E299" s="2"/>
      <c r="F299" s="2"/>
      <c r="G299" s="2"/>
      <c r="H299" s="37"/>
      <c r="I299" s="2"/>
      <c r="J299" s="37"/>
      <c r="K299" s="27" t="str">
        <f aca="false">IF(A299="","",IF(H299="","Open","Closed"))</f>
        <v/>
      </c>
      <c r="L299" s="27" t="str">
        <f aca="false">IF(A299="","",IF(H299="",AsOf-B299,H299-B299))</f>
        <v/>
      </c>
      <c r="M299" s="27" t="str">
        <f aca="false">IF(A299="","",IF(AND(K299="Open",L299&gt;Target),"Yes","No"))</f>
        <v/>
      </c>
      <c r="N299" s="27" t="str">
        <f aca="false">IF(K299&lt;&gt;"Open","",IF(L299&lt;=30,"0-30",IF(L299&lt;=60,"31-60",IF(L299&lt;=90,"61-90","90+"))))</f>
        <v/>
      </c>
      <c r="O299" s="27" t="str">
        <f aca="false">IF(A299="","",IF(COUNTIFS($D$5:$D$400,D299,$F$5:$F$400,F299,$B$5:$B$400,"&gt;="&amp;(B299-RepeatWin),$B$5:$B$400,"&lt;"&amp;B299)&gt;0,"Yes","No"))</f>
        <v/>
      </c>
      <c r="P299" s="35" t="str">
        <f aca="false">IF(OR(I299="",H299=""),"",H299+CapaDue)</f>
        <v/>
      </c>
      <c r="Q299" s="27" t="str">
        <f aca="false">IF(A299="","",IF(I299="","Not required",IF(J299&lt;&gt;"","Closed",IF(H299="","Awaiting dev. close",IF(AsOf&gt;P299,"Overdue","Open")))))</f>
        <v/>
      </c>
      <c r="R299" s="27" t="str">
        <f aca="false">IF(J299="","",IF(COUNTIFS($D$5:$D$400,D299,$F$5:$F$400,F299,$B$5:$B$400,"&gt;"&amp;J299,$B$5:$B$400,"&lt;="&amp;(J299+EffWin))&gt;0,"Ineffective",IF(AsOf-J299&gt;=EffWin,"Effective","Check pending")))</f>
        <v/>
      </c>
      <c r="S299" s="36" t="str">
        <f aca="false">IF(A299="","",DATE(YEAR(B299),MONTH(B299),1))</f>
        <v/>
      </c>
      <c r="T299" s="36" t="str">
        <f aca="false">IF(H299="","",DATE(YEAR(H299),MONTH(H299),1))</f>
        <v/>
      </c>
      <c r="U299" s="27" t="str">
        <f aca="false">IF(H299="","",IF(AsOf-H299&lt;=90,L299,""))</f>
        <v/>
      </c>
      <c r="V299" s="27" t="str">
        <f aca="false">IF(H299="","",IF(AND(AsOf-H299&gt;90,AsOf-H299&lt;=270),L299,""))</f>
        <v/>
      </c>
    </row>
    <row r="300" customFormat="false" ht="15" hidden="false" customHeight="false" outlineLevel="0" collapsed="false">
      <c r="A300" s="2"/>
      <c r="B300" s="37"/>
      <c r="C300" s="2"/>
      <c r="D300" s="2"/>
      <c r="E300" s="2"/>
      <c r="F300" s="2"/>
      <c r="G300" s="2"/>
      <c r="H300" s="37"/>
      <c r="I300" s="2"/>
      <c r="J300" s="37"/>
      <c r="K300" s="27" t="str">
        <f aca="false">IF(A300="","",IF(H300="","Open","Closed"))</f>
        <v/>
      </c>
      <c r="L300" s="27" t="str">
        <f aca="false">IF(A300="","",IF(H300="",AsOf-B300,H300-B300))</f>
        <v/>
      </c>
      <c r="M300" s="27" t="str">
        <f aca="false">IF(A300="","",IF(AND(K300="Open",L300&gt;Target),"Yes","No"))</f>
        <v/>
      </c>
      <c r="N300" s="27" t="str">
        <f aca="false">IF(K300&lt;&gt;"Open","",IF(L300&lt;=30,"0-30",IF(L300&lt;=60,"31-60",IF(L300&lt;=90,"61-90","90+"))))</f>
        <v/>
      </c>
      <c r="O300" s="27" t="str">
        <f aca="false">IF(A300="","",IF(COUNTIFS($D$5:$D$400,D300,$F$5:$F$400,F300,$B$5:$B$400,"&gt;="&amp;(B300-RepeatWin),$B$5:$B$400,"&lt;"&amp;B300)&gt;0,"Yes","No"))</f>
        <v/>
      </c>
      <c r="P300" s="35" t="str">
        <f aca="false">IF(OR(I300="",H300=""),"",H300+CapaDue)</f>
        <v/>
      </c>
      <c r="Q300" s="27" t="str">
        <f aca="false">IF(A300="","",IF(I300="","Not required",IF(J300&lt;&gt;"","Closed",IF(H300="","Awaiting dev. close",IF(AsOf&gt;P300,"Overdue","Open")))))</f>
        <v/>
      </c>
      <c r="R300" s="27" t="str">
        <f aca="false">IF(J300="","",IF(COUNTIFS($D$5:$D$400,D300,$F$5:$F$400,F300,$B$5:$B$400,"&gt;"&amp;J300,$B$5:$B$400,"&lt;="&amp;(J300+EffWin))&gt;0,"Ineffective",IF(AsOf-J300&gt;=EffWin,"Effective","Check pending")))</f>
        <v/>
      </c>
      <c r="S300" s="36" t="str">
        <f aca="false">IF(A300="","",DATE(YEAR(B300),MONTH(B300),1))</f>
        <v/>
      </c>
      <c r="T300" s="36" t="str">
        <f aca="false">IF(H300="","",DATE(YEAR(H300),MONTH(H300),1))</f>
        <v/>
      </c>
      <c r="U300" s="27" t="str">
        <f aca="false">IF(H300="","",IF(AsOf-H300&lt;=90,L300,""))</f>
        <v/>
      </c>
      <c r="V300" s="27" t="str">
        <f aca="false">IF(H300="","",IF(AND(AsOf-H300&gt;90,AsOf-H300&lt;=270),L300,""))</f>
        <v/>
      </c>
    </row>
    <row r="301" customFormat="false" ht="15" hidden="false" customHeight="false" outlineLevel="0" collapsed="false">
      <c r="A301" s="2"/>
      <c r="B301" s="37"/>
      <c r="C301" s="2"/>
      <c r="D301" s="2"/>
      <c r="E301" s="2"/>
      <c r="F301" s="2"/>
      <c r="G301" s="2"/>
      <c r="H301" s="37"/>
      <c r="I301" s="2"/>
      <c r="J301" s="37"/>
      <c r="K301" s="27" t="str">
        <f aca="false">IF(A301="","",IF(H301="","Open","Closed"))</f>
        <v/>
      </c>
      <c r="L301" s="27" t="str">
        <f aca="false">IF(A301="","",IF(H301="",AsOf-B301,H301-B301))</f>
        <v/>
      </c>
      <c r="M301" s="27" t="str">
        <f aca="false">IF(A301="","",IF(AND(K301="Open",L301&gt;Target),"Yes","No"))</f>
        <v/>
      </c>
      <c r="N301" s="27" t="str">
        <f aca="false">IF(K301&lt;&gt;"Open","",IF(L301&lt;=30,"0-30",IF(L301&lt;=60,"31-60",IF(L301&lt;=90,"61-90","90+"))))</f>
        <v/>
      </c>
      <c r="O301" s="27" t="str">
        <f aca="false">IF(A301="","",IF(COUNTIFS($D$5:$D$400,D301,$F$5:$F$400,F301,$B$5:$B$400,"&gt;="&amp;(B301-RepeatWin),$B$5:$B$400,"&lt;"&amp;B301)&gt;0,"Yes","No"))</f>
        <v/>
      </c>
      <c r="P301" s="35" t="str">
        <f aca="false">IF(OR(I301="",H301=""),"",H301+CapaDue)</f>
        <v/>
      </c>
      <c r="Q301" s="27" t="str">
        <f aca="false">IF(A301="","",IF(I301="","Not required",IF(J301&lt;&gt;"","Closed",IF(H301="","Awaiting dev. close",IF(AsOf&gt;P301,"Overdue","Open")))))</f>
        <v/>
      </c>
      <c r="R301" s="27" t="str">
        <f aca="false">IF(J301="","",IF(COUNTIFS($D$5:$D$400,D301,$F$5:$F$400,F301,$B$5:$B$400,"&gt;"&amp;J301,$B$5:$B$400,"&lt;="&amp;(J301+EffWin))&gt;0,"Ineffective",IF(AsOf-J301&gt;=EffWin,"Effective","Check pending")))</f>
        <v/>
      </c>
      <c r="S301" s="36" t="str">
        <f aca="false">IF(A301="","",DATE(YEAR(B301),MONTH(B301),1))</f>
        <v/>
      </c>
      <c r="T301" s="36" t="str">
        <f aca="false">IF(H301="","",DATE(YEAR(H301),MONTH(H301),1))</f>
        <v/>
      </c>
      <c r="U301" s="27" t="str">
        <f aca="false">IF(H301="","",IF(AsOf-H301&lt;=90,L301,""))</f>
        <v/>
      </c>
      <c r="V301" s="27" t="str">
        <f aca="false">IF(H301="","",IF(AND(AsOf-H301&gt;90,AsOf-H301&lt;=270),L301,""))</f>
        <v/>
      </c>
    </row>
    <row r="302" customFormat="false" ht="15" hidden="false" customHeight="false" outlineLevel="0" collapsed="false">
      <c r="A302" s="2"/>
      <c r="B302" s="37"/>
      <c r="C302" s="2"/>
      <c r="D302" s="2"/>
      <c r="E302" s="2"/>
      <c r="F302" s="2"/>
      <c r="G302" s="2"/>
      <c r="H302" s="37"/>
      <c r="I302" s="2"/>
      <c r="J302" s="37"/>
      <c r="K302" s="27" t="str">
        <f aca="false">IF(A302="","",IF(H302="","Open","Closed"))</f>
        <v/>
      </c>
      <c r="L302" s="27" t="str">
        <f aca="false">IF(A302="","",IF(H302="",AsOf-B302,H302-B302))</f>
        <v/>
      </c>
      <c r="M302" s="27" t="str">
        <f aca="false">IF(A302="","",IF(AND(K302="Open",L302&gt;Target),"Yes","No"))</f>
        <v/>
      </c>
      <c r="N302" s="27" t="str">
        <f aca="false">IF(K302&lt;&gt;"Open","",IF(L302&lt;=30,"0-30",IF(L302&lt;=60,"31-60",IF(L302&lt;=90,"61-90","90+"))))</f>
        <v/>
      </c>
      <c r="O302" s="27" t="str">
        <f aca="false">IF(A302="","",IF(COUNTIFS($D$5:$D$400,D302,$F$5:$F$400,F302,$B$5:$B$400,"&gt;="&amp;(B302-RepeatWin),$B$5:$B$400,"&lt;"&amp;B302)&gt;0,"Yes","No"))</f>
        <v/>
      </c>
      <c r="P302" s="35" t="str">
        <f aca="false">IF(OR(I302="",H302=""),"",H302+CapaDue)</f>
        <v/>
      </c>
      <c r="Q302" s="27" t="str">
        <f aca="false">IF(A302="","",IF(I302="","Not required",IF(J302&lt;&gt;"","Closed",IF(H302="","Awaiting dev. close",IF(AsOf&gt;P302,"Overdue","Open")))))</f>
        <v/>
      </c>
      <c r="R302" s="27" t="str">
        <f aca="false">IF(J302="","",IF(COUNTIFS($D$5:$D$400,D302,$F$5:$F$400,F302,$B$5:$B$400,"&gt;"&amp;J302,$B$5:$B$400,"&lt;="&amp;(J302+EffWin))&gt;0,"Ineffective",IF(AsOf-J302&gt;=EffWin,"Effective","Check pending")))</f>
        <v/>
      </c>
      <c r="S302" s="36" t="str">
        <f aca="false">IF(A302="","",DATE(YEAR(B302),MONTH(B302),1))</f>
        <v/>
      </c>
      <c r="T302" s="36" t="str">
        <f aca="false">IF(H302="","",DATE(YEAR(H302),MONTH(H302),1))</f>
        <v/>
      </c>
      <c r="U302" s="27" t="str">
        <f aca="false">IF(H302="","",IF(AsOf-H302&lt;=90,L302,""))</f>
        <v/>
      </c>
      <c r="V302" s="27" t="str">
        <f aca="false">IF(H302="","",IF(AND(AsOf-H302&gt;90,AsOf-H302&lt;=270),L302,""))</f>
        <v/>
      </c>
    </row>
    <row r="303" customFormat="false" ht="15" hidden="false" customHeight="false" outlineLevel="0" collapsed="false">
      <c r="A303" s="2"/>
      <c r="B303" s="37"/>
      <c r="C303" s="2"/>
      <c r="D303" s="2"/>
      <c r="E303" s="2"/>
      <c r="F303" s="2"/>
      <c r="G303" s="2"/>
      <c r="H303" s="37"/>
      <c r="I303" s="2"/>
      <c r="J303" s="37"/>
      <c r="K303" s="27" t="str">
        <f aca="false">IF(A303="","",IF(H303="","Open","Closed"))</f>
        <v/>
      </c>
      <c r="L303" s="27" t="str">
        <f aca="false">IF(A303="","",IF(H303="",AsOf-B303,H303-B303))</f>
        <v/>
      </c>
      <c r="M303" s="27" t="str">
        <f aca="false">IF(A303="","",IF(AND(K303="Open",L303&gt;Target),"Yes","No"))</f>
        <v/>
      </c>
      <c r="N303" s="27" t="str">
        <f aca="false">IF(K303&lt;&gt;"Open","",IF(L303&lt;=30,"0-30",IF(L303&lt;=60,"31-60",IF(L303&lt;=90,"61-90","90+"))))</f>
        <v/>
      </c>
      <c r="O303" s="27" t="str">
        <f aca="false">IF(A303="","",IF(COUNTIFS($D$5:$D$400,D303,$F$5:$F$400,F303,$B$5:$B$400,"&gt;="&amp;(B303-RepeatWin),$B$5:$B$400,"&lt;"&amp;B303)&gt;0,"Yes","No"))</f>
        <v/>
      </c>
      <c r="P303" s="35" t="str">
        <f aca="false">IF(OR(I303="",H303=""),"",H303+CapaDue)</f>
        <v/>
      </c>
      <c r="Q303" s="27" t="str">
        <f aca="false">IF(A303="","",IF(I303="","Not required",IF(J303&lt;&gt;"","Closed",IF(H303="","Awaiting dev. close",IF(AsOf&gt;P303,"Overdue","Open")))))</f>
        <v/>
      </c>
      <c r="R303" s="27" t="str">
        <f aca="false">IF(J303="","",IF(COUNTIFS($D$5:$D$400,D303,$F$5:$F$400,F303,$B$5:$B$400,"&gt;"&amp;J303,$B$5:$B$400,"&lt;="&amp;(J303+EffWin))&gt;0,"Ineffective",IF(AsOf-J303&gt;=EffWin,"Effective","Check pending")))</f>
        <v/>
      </c>
      <c r="S303" s="36" t="str">
        <f aca="false">IF(A303="","",DATE(YEAR(B303),MONTH(B303),1))</f>
        <v/>
      </c>
      <c r="T303" s="36" t="str">
        <f aca="false">IF(H303="","",DATE(YEAR(H303),MONTH(H303),1))</f>
        <v/>
      </c>
      <c r="U303" s="27" t="str">
        <f aca="false">IF(H303="","",IF(AsOf-H303&lt;=90,L303,""))</f>
        <v/>
      </c>
      <c r="V303" s="27" t="str">
        <f aca="false">IF(H303="","",IF(AND(AsOf-H303&gt;90,AsOf-H303&lt;=270),L303,""))</f>
        <v/>
      </c>
    </row>
    <row r="304" customFormat="false" ht="15" hidden="false" customHeight="false" outlineLevel="0" collapsed="false">
      <c r="A304" s="2"/>
      <c r="B304" s="37"/>
      <c r="C304" s="2"/>
      <c r="D304" s="2"/>
      <c r="E304" s="2"/>
      <c r="F304" s="2"/>
      <c r="G304" s="2"/>
      <c r="H304" s="37"/>
      <c r="I304" s="2"/>
      <c r="J304" s="37"/>
      <c r="K304" s="27" t="str">
        <f aca="false">IF(A304="","",IF(H304="","Open","Closed"))</f>
        <v/>
      </c>
      <c r="L304" s="27" t="str">
        <f aca="false">IF(A304="","",IF(H304="",AsOf-B304,H304-B304))</f>
        <v/>
      </c>
      <c r="M304" s="27" t="str">
        <f aca="false">IF(A304="","",IF(AND(K304="Open",L304&gt;Target),"Yes","No"))</f>
        <v/>
      </c>
      <c r="N304" s="27" t="str">
        <f aca="false">IF(K304&lt;&gt;"Open","",IF(L304&lt;=30,"0-30",IF(L304&lt;=60,"31-60",IF(L304&lt;=90,"61-90","90+"))))</f>
        <v/>
      </c>
      <c r="O304" s="27" t="str">
        <f aca="false">IF(A304="","",IF(COUNTIFS($D$5:$D$400,D304,$F$5:$F$400,F304,$B$5:$B$400,"&gt;="&amp;(B304-RepeatWin),$B$5:$B$400,"&lt;"&amp;B304)&gt;0,"Yes","No"))</f>
        <v/>
      </c>
      <c r="P304" s="35" t="str">
        <f aca="false">IF(OR(I304="",H304=""),"",H304+CapaDue)</f>
        <v/>
      </c>
      <c r="Q304" s="27" t="str">
        <f aca="false">IF(A304="","",IF(I304="","Not required",IF(J304&lt;&gt;"","Closed",IF(H304="","Awaiting dev. close",IF(AsOf&gt;P304,"Overdue","Open")))))</f>
        <v/>
      </c>
      <c r="R304" s="27" t="str">
        <f aca="false">IF(J304="","",IF(COUNTIFS($D$5:$D$400,D304,$F$5:$F$400,F304,$B$5:$B$400,"&gt;"&amp;J304,$B$5:$B$400,"&lt;="&amp;(J304+EffWin))&gt;0,"Ineffective",IF(AsOf-J304&gt;=EffWin,"Effective","Check pending")))</f>
        <v/>
      </c>
      <c r="S304" s="36" t="str">
        <f aca="false">IF(A304="","",DATE(YEAR(B304),MONTH(B304),1))</f>
        <v/>
      </c>
      <c r="T304" s="36" t="str">
        <f aca="false">IF(H304="","",DATE(YEAR(H304),MONTH(H304),1))</f>
        <v/>
      </c>
      <c r="U304" s="27" t="str">
        <f aca="false">IF(H304="","",IF(AsOf-H304&lt;=90,L304,""))</f>
        <v/>
      </c>
      <c r="V304" s="27" t="str">
        <f aca="false">IF(H304="","",IF(AND(AsOf-H304&gt;90,AsOf-H304&lt;=270),L304,""))</f>
        <v/>
      </c>
    </row>
    <row r="305" customFormat="false" ht="15" hidden="false" customHeight="false" outlineLevel="0" collapsed="false">
      <c r="A305" s="2"/>
      <c r="B305" s="37"/>
      <c r="C305" s="2"/>
      <c r="D305" s="2"/>
      <c r="E305" s="2"/>
      <c r="F305" s="2"/>
      <c r="G305" s="2"/>
      <c r="H305" s="37"/>
      <c r="I305" s="2"/>
      <c r="J305" s="37"/>
      <c r="K305" s="27" t="str">
        <f aca="false">IF(A305="","",IF(H305="","Open","Closed"))</f>
        <v/>
      </c>
      <c r="L305" s="27" t="str">
        <f aca="false">IF(A305="","",IF(H305="",AsOf-B305,H305-B305))</f>
        <v/>
      </c>
      <c r="M305" s="27" t="str">
        <f aca="false">IF(A305="","",IF(AND(K305="Open",L305&gt;Target),"Yes","No"))</f>
        <v/>
      </c>
      <c r="N305" s="27" t="str">
        <f aca="false">IF(K305&lt;&gt;"Open","",IF(L305&lt;=30,"0-30",IF(L305&lt;=60,"31-60",IF(L305&lt;=90,"61-90","90+"))))</f>
        <v/>
      </c>
      <c r="O305" s="27" t="str">
        <f aca="false">IF(A305="","",IF(COUNTIFS($D$5:$D$400,D305,$F$5:$F$400,F305,$B$5:$B$400,"&gt;="&amp;(B305-RepeatWin),$B$5:$B$400,"&lt;"&amp;B305)&gt;0,"Yes","No"))</f>
        <v/>
      </c>
      <c r="P305" s="35" t="str">
        <f aca="false">IF(OR(I305="",H305=""),"",H305+CapaDue)</f>
        <v/>
      </c>
      <c r="Q305" s="27" t="str">
        <f aca="false">IF(A305="","",IF(I305="","Not required",IF(J305&lt;&gt;"","Closed",IF(H305="","Awaiting dev. close",IF(AsOf&gt;P305,"Overdue","Open")))))</f>
        <v/>
      </c>
      <c r="R305" s="27" t="str">
        <f aca="false">IF(J305="","",IF(COUNTIFS($D$5:$D$400,D305,$F$5:$F$400,F305,$B$5:$B$400,"&gt;"&amp;J305,$B$5:$B$400,"&lt;="&amp;(J305+EffWin))&gt;0,"Ineffective",IF(AsOf-J305&gt;=EffWin,"Effective","Check pending")))</f>
        <v/>
      </c>
      <c r="S305" s="36" t="str">
        <f aca="false">IF(A305="","",DATE(YEAR(B305),MONTH(B305),1))</f>
        <v/>
      </c>
      <c r="T305" s="36" t="str">
        <f aca="false">IF(H305="","",DATE(YEAR(H305),MONTH(H305),1))</f>
        <v/>
      </c>
      <c r="U305" s="27" t="str">
        <f aca="false">IF(H305="","",IF(AsOf-H305&lt;=90,L305,""))</f>
        <v/>
      </c>
      <c r="V305" s="27" t="str">
        <f aca="false">IF(H305="","",IF(AND(AsOf-H305&gt;90,AsOf-H305&lt;=270),L305,""))</f>
        <v/>
      </c>
    </row>
    <row r="306" customFormat="false" ht="15" hidden="false" customHeight="false" outlineLevel="0" collapsed="false">
      <c r="A306" s="2"/>
      <c r="B306" s="37"/>
      <c r="C306" s="2"/>
      <c r="D306" s="2"/>
      <c r="E306" s="2"/>
      <c r="F306" s="2"/>
      <c r="G306" s="2"/>
      <c r="H306" s="37"/>
      <c r="I306" s="2"/>
      <c r="J306" s="37"/>
      <c r="K306" s="27" t="str">
        <f aca="false">IF(A306="","",IF(H306="","Open","Closed"))</f>
        <v/>
      </c>
      <c r="L306" s="27" t="str">
        <f aca="false">IF(A306="","",IF(H306="",AsOf-B306,H306-B306))</f>
        <v/>
      </c>
      <c r="M306" s="27" t="str">
        <f aca="false">IF(A306="","",IF(AND(K306="Open",L306&gt;Target),"Yes","No"))</f>
        <v/>
      </c>
      <c r="N306" s="27" t="str">
        <f aca="false">IF(K306&lt;&gt;"Open","",IF(L306&lt;=30,"0-30",IF(L306&lt;=60,"31-60",IF(L306&lt;=90,"61-90","90+"))))</f>
        <v/>
      </c>
      <c r="O306" s="27" t="str">
        <f aca="false">IF(A306="","",IF(COUNTIFS($D$5:$D$400,D306,$F$5:$F$400,F306,$B$5:$B$400,"&gt;="&amp;(B306-RepeatWin),$B$5:$B$400,"&lt;"&amp;B306)&gt;0,"Yes","No"))</f>
        <v/>
      </c>
      <c r="P306" s="35" t="str">
        <f aca="false">IF(OR(I306="",H306=""),"",H306+CapaDue)</f>
        <v/>
      </c>
      <c r="Q306" s="27" t="str">
        <f aca="false">IF(A306="","",IF(I306="","Not required",IF(J306&lt;&gt;"","Closed",IF(H306="","Awaiting dev. close",IF(AsOf&gt;P306,"Overdue","Open")))))</f>
        <v/>
      </c>
      <c r="R306" s="27" t="str">
        <f aca="false">IF(J306="","",IF(COUNTIFS($D$5:$D$400,D306,$F$5:$F$400,F306,$B$5:$B$400,"&gt;"&amp;J306,$B$5:$B$400,"&lt;="&amp;(J306+EffWin))&gt;0,"Ineffective",IF(AsOf-J306&gt;=EffWin,"Effective","Check pending")))</f>
        <v/>
      </c>
      <c r="S306" s="36" t="str">
        <f aca="false">IF(A306="","",DATE(YEAR(B306),MONTH(B306),1))</f>
        <v/>
      </c>
      <c r="T306" s="36" t="str">
        <f aca="false">IF(H306="","",DATE(YEAR(H306),MONTH(H306),1))</f>
        <v/>
      </c>
      <c r="U306" s="27" t="str">
        <f aca="false">IF(H306="","",IF(AsOf-H306&lt;=90,L306,""))</f>
        <v/>
      </c>
      <c r="V306" s="27" t="str">
        <f aca="false">IF(H306="","",IF(AND(AsOf-H306&gt;90,AsOf-H306&lt;=270),L306,""))</f>
        <v/>
      </c>
    </row>
    <row r="307" customFormat="false" ht="15" hidden="false" customHeight="false" outlineLevel="0" collapsed="false">
      <c r="A307" s="2"/>
      <c r="B307" s="37"/>
      <c r="C307" s="2"/>
      <c r="D307" s="2"/>
      <c r="E307" s="2"/>
      <c r="F307" s="2"/>
      <c r="G307" s="2"/>
      <c r="H307" s="37"/>
      <c r="I307" s="2"/>
      <c r="J307" s="37"/>
      <c r="K307" s="27" t="str">
        <f aca="false">IF(A307="","",IF(H307="","Open","Closed"))</f>
        <v/>
      </c>
      <c r="L307" s="27" t="str">
        <f aca="false">IF(A307="","",IF(H307="",AsOf-B307,H307-B307))</f>
        <v/>
      </c>
      <c r="M307" s="27" t="str">
        <f aca="false">IF(A307="","",IF(AND(K307="Open",L307&gt;Target),"Yes","No"))</f>
        <v/>
      </c>
      <c r="N307" s="27" t="str">
        <f aca="false">IF(K307&lt;&gt;"Open","",IF(L307&lt;=30,"0-30",IF(L307&lt;=60,"31-60",IF(L307&lt;=90,"61-90","90+"))))</f>
        <v/>
      </c>
      <c r="O307" s="27" t="str">
        <f aca="false">IF(A307="","",IF(COUNTIFS($D$5:$D$400,D307,$F$5:$F$400,F307,$B$5:$B$400,"&gt;="&amp;(B307-RepeatWin),$B$5:$B$400,"&lt;"&amp;B307)&gt;0,"Yes","No"))</f>
        <v/>
      </c>
      <c r="P307" s="35" t="str">
        <f aca="false">IF(OR(I307="",H307=""),"",H307+CapaDue)</f>
        <v/>
      </c>
      <c r="Q307" s="27" t="str">
        <f aca="false">IF(A307="","",IF(I307="","Not required",IF(J307&lt;&gt;"","Closed",IF(H307="","Awaiting dev. close",IF(AsOf&gt;P307,"Overdue","Open")))))</f>
        <v/>
      </c>
      <c r="R307" s="27" t="str">
        <f aca="false">IF(J307="","",IF(COUNTIFS($D$5:$D$400,D307,$F$5:$F$400,F307,$B$5:$B$400,"&gt;"&amp;J307,$B$5:$B$400,"&lt;="&amp;(J307+EffWin))&gt;0,"Ineffective",IF(AsOf-J307&gt;=EffWin,"Effective","Check pending")))</f>
        <v/>
      </c>
      <c r="S307" s="36" t="str">
        <f aca="false">IF(A307="","",DATE(YEAR(B307),MONTH(B307),1))</f>
        <v/>
      </c>
      <c r="T307" s="36" t="str">
        <f aca="false">IF(H307="","",DATE(YEAR(H307),MONTH(H307),1))</f>
        <v/>
      </c>
      <c r="U307" s="27" t="str">
        <f aca="false">IF(H307="","",IF(AsOf-H307&lt;=90,L307,""))</f>
        <v/>
      </c>
      <c r="V307" s="27" t="str">
        <f aca="false">IF(H307="","",IF(AND(AsOf-H307&gt;90,AsOf-H307&lt;=270),L307,""))</f>
        <v/>
      </c>
    </row>
    <row r="308" customFormat="false" ht="15" hidden="false" customHeight="false" outlineLevel="0" collapsed="false">
      <c r="A308" s="2"/>
      <c r="B308" s="37"/>
      <c r="C308" s="2"/>
      <c r="D308" s="2"/>
      <c r="E308" s="2"/>
      <c r="F308" s="2"/>
      <c r="G308" s="2"/>
      <c r="H308" s="37"/>
      <c r="I308" s="2"/>
      <c r="J308" s="37"/>
      <c r="K308" s="27" t="str">
        <f aca="false">IF(A308="","",IF(H308="","Open","Closed"))</f>
        <v/>
      </c>
      <c r="L308" s="27" t="str">
        <f aca="false">IF(A308="","",IF(H308="",AsOf-B308,H308-B308))</f>
        <v/>
      </c>
      <c r="M308" s="27" t="str">
        <f aca="false">IF(A308="","",IF(AND(K308="Open",L308&gt;Target),"Yes","No"))</f>
        <v/>
      </c>
      <c r="N308" s="27" t="str">
        <f aca="false">IF(K308&lt;&gt;"Open","",IF(L308&lt;=30,"0-30",IF(L308&lt;=60,"31-60",IF(L308&lt;=90,"61-90","90+"))))</f>
        <v/>
      </c>
      <c r="O308" s="27" t="str">
        <f aca="false">IF(A308="","",IF(COUNTIFS($D$5:$D$400,D308,$F$5:$F$400,F308,$B$5:$B$400,"&gt;="&amp;(B308-RepeatWin),$B$5:$B$400,"&lt;"&amp;B308)&gt;0,"Yes","No"))</f>
        <v/>
      </c>
      <c r="P308" s="35" t="str">
        <f aca="false">IF(OR(I308="",H308=""),"",H308+CapaDue)</f>
        <v/>
      </c>
      <c r="Q308" s="27" t="str">
        <f aca="false">IF(A308="","",IF(I308="","Not required",IF(J308&lt;&gt;"","Closed",IF(H308="","Awaiting dev. close",IF(AsOf&gt;P308,"Overdue","Open")))))</f>
        <v/>
      </c>
      <c r="R308" s="27" t="str">
        <f aca="false">IF(J308="","",IF(COUNTIFS($D$5:$D$400,D308,$F$5:$F$400,F308,$B$5:$B$400,"&gt;"&amp;J308,$B$5:$B$400,"&lt;="&amp;(J308+EffWin))&gt;0,"Ineffective",IF(AsOf-J308&gt;=EffWin,"Effective","Check pending")))</f>
        <v/>
      </c>
      <c r="S308" s="36" t="str">
        <f aca="false">IF(A308="","",DATE(YEAR(B308),MONTH(B308),1))</f>
        <v/>
      </c>
      <c r="T308" s="36" t="str">
        <f aca="false">IF(H308="","",DATE(YEAR(H308),MONTH(H308),1))</f>
        <v/>
      </c>
      <c r="U308" s="27" t="str">
        <f aca="false">IF(H308="","",IF(AsOf-H308&lt;=90,L308,""))</f>
        <v/>
      </c>
      <c r="V308" s="27" t="str">
        <f aca="false">IF(H308="","",IF(AND(AsOf-H308&gt;90,AsOf-H308&lt;=270),L308,""))</f>
        <v/>
      </c>
    </row>
    <row r="309" customFormat="false" ht="15" hidden="false" customHeight="false" outlineLevel="0" collapsed="false">
      <c r="A309" s="2"/>
      <c r="B309" s="37"/>
      <c r="C309" s="2"/>
      <c r="D309" s="2"/>
      <c r="E309" s="2"/>
      <c r="F309" s="2"/>
      <c r="G309" s="2"/>
      <c r="H309" s="37"/>
      <c r="I309" s="2"/>
      <c r="J309" s="37"/>
      <c r="K309" s="27" t="str">
        <f aca="false">IF(A309="","",IF(H309="","Open","Closed"))</f>
        <v/>
      </c>
      <c r="L309" s="27" t="str">
        <f aca="false">IF(A309="","",IF(H309="",AsOf-B309,H309-B309))</f>
        <v/>
      </c>
      <c r="M309" s="27" t="str">
        <f aca="false">IF(A309="","",IF(AND(K309="Open",L309&gt;Target),"Yes","No"))</f>
        <v/>
      </c>
      <c r="N309" s="27" t="str">
        <f aca="false">IF(K309&lt;&gt;"Open","",IF(L309&lt;=30,"0-30",IF(L309&lt;=60,"31-60",IF(L309&lt;=90,"61-90","90+"))))</f>
        <v/>
      </c>
      <c r="O309" s="27" t="str">
        <f aca="false">IF(A309="","",IF(COUNTIFS($D$5:$D$400,D309,$F$5:$F$400,F309,$B$5:$B$400,"&gt;="&amp;(B309-RepeatWin),$B$5:$B$400,"&lt;"&amp;B309)&gt;0,"Yes","No"))</f>
        <v/>
      </c>
      <c r="P309" s="35" t="str">
        <f aca="false">IF(OR(I309="",H309=""),"",H309+CapaDue)</f>
        <v/>
      </c>
      <c r="Q309" s="27" t="str">
        <f aca="false">IF(A309="","",IF(I309="","Not required",IF(J309&lt;&gt;"","Closed",IF(H309="","Awaiting dev. close",IF(AsOf&gt;P309,"Overdue","Open")))))</f>
        <v/>
      </c>
      <c r="R309" s="27" t="str">
        <f aca="false">IF(J309="","",IF(COUNTIFS($D$5:$D$400,D309,$F$5:$F$400,F309,$B$5:$B$400,"&gt;"&amp;J309,$B$5:$B$400,"&lt;="&amp;(J309+EffWin))&gt;0,"Ineffective",IF(AsOf-J309&gt;=EffWin,"Effective","Check pending")))</f>
        <v/>
      </c>
      <c r="S309" s="36" t="str">
        <f aca="false">IF(A309="","",DATE(YEAR(B309),MONTH(B309),1))</f>
        <v/>
      </c>
      <c r="T309" s="36" t="str">
        <f aca="false">IF(H309="","",DATE(YEAR(H309),MONTH(H309),1))</f>
        <v/>
      </c>
      <c r="U309" s="27" t="str">
        <f aca="false">IF(H309="","",IF(AsOf-H309&lt;=90,L309,""))</f>
        <v/>
      </c>
      <c r="V309" s="27" t="str">
        <f aca="false">IF(H309="","",IF(AND(AsOf-H309&gt;90,AsOf-H309&lt;=270),L309,""))</f>
        <v/>
      </c>
    </row>
    <row r="310" customFormat="false" ht="15" hidden="false" customHeight="false" outlineLevel="0" collapsed="false">
      <c r="A310" s="2"/>
      <c r="B310" s="37"/>
      <c r="C310" s="2"/>
      <c r="D310" s="2"/>
      <c r="E310" s="2"/>
      <c r="F310" s="2"/>
      <c r="G310" s="2"/>
      <c r="H310" s="37"/>
      <c r="I310" s="2"/>
      <c r="J310" s="37"/>
      <c r="K310" s="27" t="str">
        <f aca="false">IF(A310="","",IF(H310="","Open","Closed"))</f>
        <v/>
      </c>
      <c r="L310" s="27" t="str">
        <f aca="false">IF(A310="","",IF(H310="",AsOf-B310,H310-B310))</f>
        <v/>
      </c>
      <c r="M310" s="27" t="str">
        <f aca="false">IF(A310="","",IF(AND(K310="Open",L310&gt;Target),"Yes","No"))</f>
        <v/>
      </c>
      <c r="N310" s="27" t="str">
        <f aca="false">IF(K310&lt;&gt;"Open","",IF(L310&lt;=30,"0-30",IF(L310&lt;=60,"31-60",IF(L310&lt;=90,"61-90","90+"))))</f>
        <v/>
      </c>
      <c r="O310" s="27" t="str">
        <f aca="false">IF(A310="","",IF(COUNTIFS($D$5:$D$400,D310,$F$5:$F$400,F310,$B$5:$B$400,"&gt;="&amp;(B310-RepeatWin),$B$5:$B$400,"&lt;"&amp;B310)&gt;0,"Yes","No"))</f>
        <v/>
      </c>
      <c r="P310" s="35" t="str">
        <f aca="false">IF(OR(I310="",H310=""),"",H310+CapaDue)</f>
        <v/>
      </c>
      <c r="Q310" s="27" t="str">
        <f aca="false">IF(A310="","",IF(I310="","Not required",IF(J310&lt;&gt;"","Closed",IF(H310="","Awaiting dev. close",IF(AsOf&gt;P310,"Overdue","Open")))))</f>
        <v/>
      </c>
      <c r="R310" s="27" t="str">
        <f aca="false">IF(J310="","",IF(COUNTIFS($D$5:$D$400,D310,$F$5:$F$400,F310,$B$5:$B$400,"&gt;"&amp;J310,$B$5:$B$400,"&lt;="&amp;(J310+EffWin))&gt;0,"Ineffective",IF(AsOf-J310&gt;=EffWin,"Effective","Check pending")))</f>
        <v/>
      </c>
      <c r="S310" s="36" t="str">
        <f aca="false">IF(A310="","",DATE(YEAR(B310),MONTH(B310),1))</f>
        <v/>
      </c>
      <c r="T310" s="36" t="str">
        <f aca="false">IF(H310="","",DATE(YEAR(H310),MONTH(H310),1))</f>
        <v/>
      </c>
      <c r="U310" s="27" t="str">
        <f aca="false">IF(H310="","",IF(AsOf-H310&lt;=90,L310,""))</f>
        <v/>
      </c>
      <c r="V310" s="27" t="str">
        <f aca="false">IF(H310="","",IF(AND(AsOf-H310&gt;90,AsOf-H310&lt;=270),L310,""))</f>
        <v/>
      </c>
    </row>
    <row r="311" customFormat="false" ht="15" hidden="false" customHeight="false" outlineLevel="0" collapsed="false">
      <c r="A311" s="2"/>
      <c r="B311" s="37"/>
      <c r="C311" s="2"/>
      <c r="D311" s="2"/>
      <c r="E311" s="2"/>
      <c r="F311" s="2"/>
      <c r="G311" s="2"/>
      <c r="H311" s="37"/>
      <c r="I311" s="2"/>
      <c r="J311" s="37"/>
      <c r="K311" s="27" t="str">
        <f aca="false">IF(A311="","",IF(H311="","Open","Closed"))</f>
        <v/>
      </c>
      <c r="L311" s="27" t="str">
        <f aca="false">IF(A311="","",IF(H311="",AsOf-B311,H311-B311))</f>
        <v/>
      </c>
      <c r="M311" s="27" t="str">
        <f aca="false">IF(A311="","",IF(AND(K311="Open",L311&gt;Target),"Yes","No"))</f>
        <v/>
      </c>
      <c r="N311" s="27" t="str">
        <f aca="false">IF(K311&lt;&gt;"Open","",IF(L311&lt;=30,"0-30",IF(L311&lt;=60,"31-60",IF(L311&lt;=90,"61-90","90+"))))</f>
        <v/>
      </c>
      <c r="O311" s="27" t="str">
        <f aca="false">IF(A311="","",IF(COUNTIFS($D$5:$D$400,D311,$F$5:$F$400,F311,$B$5:$B$400,"&gt;="&amp;(B311-RepeatWin),$B$5:$B$400,"&lt;"&amp;B311)&gt;0,"Yes","No"))</f>
        <v/>
      </c>
      <c r="P311" s="35" t="str">
        <f aca="false">IF(OR(I311="",H311=""),"",H311+CapaDue)</f>
        <v/>
      </c>
      <c r="Q311" s="27" t="str">
        <f aca="false">IF(A311="","",IF(I311="","Not required",IF(J311&lt;&gt;"","Closed",IF(H311="","Awaiting dev. close",IF(AsOf&gt;P311,"Overdue","Open")))))</f>
        <v/>
      </c>
      <c r="R311" s="27" t="str">
        <f aca="false">IF(J311="","",IF(COUNTIFS($D$5:$D$400,D311,$F$5:$F$400,F311,$B$5:$B$400,"&gt;"&amp;J311,$B$5:$B$400,"&lt;="&amp;(J311+EffWin))&gt;0,"Ineffective",IF(AsOf-J311&gt;=EffWin,"Effective","Check pending")))</f>
        <v/>
      </c>
      <c r="S311" s="36" t="str">
        <f aca="false">IF(A311="","",DATE(YEAR(B311),MONTH(B311),1))</f>
        <v/>
      </c>
      <c r="T311" s="36" t="str">
        <f aca="false">IF(H311="","",DATE(YEAR(H311),MONTH(H311),1))</f>
        <v/>
      </c>
      <c r="U311" s="27" t="str">
        <f aca="false">IF(H311="","",IF(AsOf-H311&lt;=90,L311,""))</f>
        <v/>
      </c>
      <c r="V311" s="27" t="str">
        <f aca="false">IF(H311="","",IF(AND(AsOf-H311&gt;90,AsOf-H311&lt;=270),L311,""))</f>
        <v/>
      </c>
    </row>
    <row r="312" customFormat="false" ht="15" hidden="false" customHeight="false" outlineLevel="0" collapsed="false">
      <c r="A312" s="2"/>
      <c r="B312" s="37"/>
      <c r="C312" s="2"/>
      <c r="D312" s="2"/>
      <c r="E312" s="2"/>
      <c r="F312" s="2"/>
      <c r="G312" s="2"/>
      <c r="H312" s="37"/>
      <c r="I312" s="2"/>
      <c r="J312" s="37"/>
      <c r="K312" s="27" t="str">
        <f aca="false">IF(A312="","",IF(H312="","Open","Closed"))</f>
        <v/>
      </c>
      <c r="L312" s="27" t="str">
        <f aca="false">IF(A312="","",IF(H312="",AsOf-B312,H312-B312))</f>
        <v/>
      </c>
      <c r="M312" s="27" t="str">
        <f aca="false">IF(A312="","",IF(AND(K312="Open",L312&gt;Target),"Yes","No"))</f>
        <v/>
      </c>
      <c r="N312" s="27" t="str">
        <f aca="false">IF(K312&lt;&gt;"Open","",IF(L312&lt;=30,"0-30",IF(L312&lt;=60,"31-60",IF(L312&lt;=90,"61-90","90+"))))</f>
        <v/>
      </c>
      <c r="O312" s="27" t="str">
        <f aca="false">IF(A312="","",IF(COUNTIFS($D$5:$D$400,D312,$F$5:$F$400,F312,$B$5:$B$400,"&gt;="&amp;(B312-RepeatWin),$B$5:$B$400,"&lt;"&amp;B312)&gt;0,"Yes","No"))</f>
        <v/>
      </c>
      <c r="P312" s="35" t="str">
        <f aca="false">IF(OR(I312="",H312=""),"",H312+CapaDue)</f>
        <v/>
      </c>
      <c r="Q312" s="27" t="str">
        <f aca="false">IF(A312="","",IF(I312="","Not required",IF(J312&lt;&gt;"","Closed",IF(H312="","Awaiting dev. close",IF(AsOf&gt;P312,"Overdue","Open")))))</f>
        <v/>
      </c>
      <c r="R312" s="27" t="str">
        <f aca="false">IF(J312="","",IF(COUNTIFS($D$5:$D$400,D312,$F$5:$F$400,F312,$B$5:$B$400,"&gt;"&amp;J312,$B$5:$B$400,"&lt;="&amp;(J312+EffWin))&gt;0,"Ineffective",IF(AsOf-J312&gt;=EffWin,"Effective","Check pending")))</f>
        <v/>
      </c>
      <c r="S312" s="36" t="str">
        <f aca="false">IF(A312="","",DATE(YEAR(B312),MONTH(B312),1))</f>
        <v/>
      </c>
      <c r="T312" s="36" t="str">
        <f aca="false">IF(H312="","",DATE(YEAR(H312),MONTH(H312),1))</f>
        <v/>
      </c>
      <c r="U312" s="27" t="str">
        <f aca="false">IF(H312="","",IF(AsOf-H312&lt;=90,L312,""))</f>
        <v/>
      </c>
      <c r="V312" s="27" t="str">
        <f aca="false">IF(H312="","",IF(AND(AsOf-H312&gt;90,AsOf-H312&lt;=270),L312,""))</f>
        <v/>
      </c>
    </row>
    <row r="313" customFormat="false" ht="15" hidden="false" customHeight="false" outlineLevel="0" collapsed="false">
      <c r="A313" s="2"/>
      <c r="B313" s="37"/>
      <c r="C313" s="2"/>
      <c r="D313" s="2"/>
      <c r="E313" s="2"/>
      <c r="F313" s="2"/>
      <c r="G313" s="2"/>
      <c r="H313" s="37"/>
      <c r="I313" s="2"/>
      <c r="J313" s="37"/>
      <c r="K313" s="27" t="str">
        <f aca="false">IF(A313="","",IF(H313="","Open","Closed"))</f>
        <v/>
      </c>
      <c r="L313" s="27" t="str">
        <f aca="false">IF(A313="","",IF(H313="",AsOf-B313,H313-B313))</f>
        <v/>
      </c>
      <c r="M313" s="27" t="str">
        <f aca="false">IF(A313="","",IF(AND(K313="Open",L313&gt;Target),"Yes","No"))</f>
        <v/>
      </c>
      <c r="N313" s="27" t="str">
        <f aca="false">IF(K313&lt;&gt;"Open","",IF(L313&lt;=30,"0-30",IF(L313&lt;=60,"31-60",IF(L313&lt;=90,"61-90","90+"))))</f>
        <v/>
      </c>
      <c r="O313" s="27" t="str">
        <f aca="false">IF(A313="","",IF(COUNTIFS($D$5:$D$400,D313,$F$5:$F$400,F313,$B$5:$B$400,"&gt;="&amp;(B313-RepeatWin),$B$5:$B$400,"&lt;"&amp;B313)&gt;0,"Yes","No"))</f>
        <v/>
      </c>
      <c r="P313" s="35" t="str">
        <f aca="false">IF(OR(I313="",H313=""),"",H313+CapaDue)</f>
        <v/>
      </c>
      <c r="Q313" s="27" t="str">
        <f aca="false">IF(A313="","",IF(I313="","Not required",IF(J313&lt;&gt;"","Closed",IF(H313="","Awaiting dev. close",IF(AsOf&gt;P313,"Overdue","Open")))))</f>
        <v/>
      </c>
      <c r="R313" s="27" t="str">
        <f aca="false">IF(J313="","",IF(COUNTIFS($D$5:$D$400,D313,$F$5:$F$400,F313,$B$5:$B$400,"&gt;"&amp;J313,$B$5:$B$400,"&lt;="&amp;(J313+EffWin))&gt;0,"Ineffective",IF(AsOf-J313&gt;=EffWin,"Effective","Check pending")))</f>
        <v/>
      </c>
      <c r="S313" s="36" t="str">
        <f aca="false">IF(A313="","",DATE(YEAR(B313),MONTH(B313),1))</f>
        <v/>
      </c>
      <c r="T313" s="36" t="str">
        <f aca="false">IF(H313="","",DATE(YEAR(H313),MONTH(H313),1))</f>
        <v/>
      </c>
      <c r="U313" s="27" t="str">
        <f aca="false">IF(H313="","",IF(AsOf-H313&lt;=90,L313,""))</f>
        <v/>
      </c>
      <c r="V313" s="27" t="str">
        <f aca="false">IF(H313="","",IF(AND(AsOf-H313&gt;90,AsOf-H313&lt;=270),L313,""))</f>
        <v/>
      </c>
    </row>
    <row r="314" customFormat="false" ht="15" hidden="false" customHeight="false" outlineLevel="0" collapsed="false">
      <c r="A314" s="2"/>
      <c r="B314" s="37"/>
      <c r="C314" s="2"/>
      <c r="D314" s="2"/>
      <c r="E314" s="2"/>
      <c r="F314" s="2"/>
      <c r="G314" s="2"/>
      <c r="H314" s="37"/>
      <c r="I314" s="2"/>
      <c r="J314" s="37"/>
      <c r="K314" s="27" t="str">
        <f aca="false">IF(A314="","",IF(H314="","Open","Closed"))</f>
        <v/>
      </c>
      <c r="L314" s="27" t="str">
        <f aca="false">IF(A314="","",IF(H314="",AsOf-B314,H314-B314))</f>
        <v/>
      </c>
      <c r="M314" s="27" t="str">
        <f aca="false">IF(A314="","",IF(AND(K314="Open",L314&gt;Target),"Yes","No"))</f>
        <v/>
      </c>
      <c r="N314" s="27" t="str">
        <f aca="false">IF(K314&lt;&gt;"Open","",IF(L314&lt;=30,"0-30",IF(L314&lt;=60,"31-60",IF(L314&lt;=90,"61-90","90+"))))</f>
        <v/>
      </c>
      <c r="O314" s="27" t="str">
        <f aca="false">IF(A314="","",IF(COUNTIFS($D$5:$D$400,D314,$F$5:$F$400,F314,$B$5:$B$400,"&gt;="&amp;(B314-RepeatWin),$B$5:$B$400,"&lt;"&amp;B314)&gt;0,"Yes","No"))</f>
        <v/>
      </c>
      <c r="P314" s="35" t="str">
        <f aca="false">IF(OR(I314="",H314=""),"",H314+CapaDue)</f>
        <v/>
      </c>
      <c r="Q314" s="27" t="str">
        <f aca="false">IF(A314="","",IF(I314="","Not required",IF(J314&lt;&gt;"","Closed",IF(H314="","Awaiting dev. close",IF(AsOf&gt;P314,"Overdue","Open")))))</f>
        <v/>
      </c>
      <c r="R314" s="27" t="str">
        <f aca="false">IF(J314="","",IF(COUNTIFS($D$5:$D$400,D314,$F$5:$F$400,F314,$B$5:$B$400,"&gt;"&amp;J314,$B$5:$B$400,"&lt;="&amp;(J314+EffWin))&gt;0,"Ineffective",IF(AsOf-J314&gt;=EffWin,"Effective","Check pending")))</f>
        <v/>
      </c>
      <c r="S314" s="36" t="str">
        <f aca="false">IF(A314="","",DATE(YEAR(B314),MONTH(B314),1))</f>
        <v/>
      </c>
      <c r="T314" s="36" t="str">
        <f aca="false">IF(H314="","",DATE(YEAR(H314),MONTH(H314),1))</f>
        <v/>
      </c>
      <c r="U314" s="27" t="str">
        <f aca="false">IF(H314="","",IF(AsOf-H314&lt;=90,L314,""))</f>
        <v/>
      </c>
      <c r="V314" s="27" t="str">
        <f aca="false">IF(H314="","",IF(AND(AsOf-H314&gt;90,AsOf-H314&lt;=270),L314,""))</f>
        <v/>
      </c>
    </row>
    <row r="315" customFormat="false" ht="15" hidden="false" customHeight="false" outlineLevel="0" collapsed="false">
      <c r="A315" s="2"/>
      <c r="B315" s="37"/>
      <c r="C315" s="2"/>
      <c r="D315" s="2"/>
      <c r="E315" s="2"/>
      <c r="F315" s="2"/>
      <c r="G315" s="2"/>
      <c r="H315" s="37"/>
      <c r="I315" s="2"/>
      <c r="J315" s="37"/>
      <c r="K315" s="27" t="str">
        <f aca="false">IF(A315="","",IF(H315="","Open","Closed"))</f>
        <v/>
      </c>
      <c r="L315" s="27" t="str">
        <f aca="false">IF(A315="","",IF(H315="",AsOf-B315,H315-B315))</f>
        <v/>
      </c>
      <c r="M315" s="27" t="str">
        <f aca="false">IF(A315="","",IF(AND(K315="Open",L315&gt;Target),"Yes","No"))</f>
        <v/>
      </c>
      <c r="N315" s="27" t="str">
        <f aca="false">IF(K315&lt;&gt;"Open","",IF(L315&lt;=30,"0-30",IF(L315&lt;=60,"31-60",IF(L315&lt;=90,"61-90","90+"))))</f>
        <v/>
      </c>
      <c r="O315" s="27" t="str">
        <f aca="false">IF(A315="","",IF(COUNTIFS($D$5:$D$400,D315,$F$5:$F$400,F315,$B$5:$B$400,"&gt;="&amp;(B315-RepeatWin),$B$5:$B$400,"&lt;"&amp;B315)&gt;0,"Yes","No"))</f>
        <v/>
      </c>
      <c r="P315" s="35" t="str">
        <f aca="false">IF(OR(I315="",H315=""),"",H315+CapaDue)</f>
        <v/>
      </c>
      <c r="Q315" s="27" t="str">
        <f aca="false">IF(A315="","",IF(I315="","Not required",IF(J315&lt;&gt;"","Closed",IF(H315="","Awaiting dev. close",IF(AsOf&gt;P315,"Overdue","Open")))))</f>
        <v/>
      </c>
      <c r="R315" s="27" t="str">
        <f aca="false">IF(J315="","",IF(COUNTIFS($D$5:$D$400,D315,$F$5:$F$400,F315,$B$5:$B$400,"&gt;"&amp;J315,$B$5:$B$400,"&lt;="&amp;(J315+EffWin))&gt;0,"Ineffective",IF(AsOf-J315&gt;=EffWin,"Effective","Check pending")))</f>
        <v/>
      </c>
      <c r="S315" s="36" t="str">
        <f aca="false">IF(A315="","",DATE(YEAR(B315),MONTH(B315),1))</f>
        <v/>
      </c>
      <c r="T315" s="36" t="str">
        <f aca="false">IF(H315="","",DATE(YEAR(H315),MONTH(H315),1))</f>
        <v/>
      </c>
      <c r="U315" s="27" t="str">
        <f aca="false">IF(H315="","",IF(AsOf-H315&lt;=90,L315,""))</f>
        <v/>
      </c>
      <c r="V315" s="27" t="str">
        <f aca="false">IF(H315="","",IF(AND(AsOf-H315&gt;90,AsOf-H315&lt;=270),L315,""))</f>
        <v/>
      </c>
    </row>
    <row r="316" customFormat="false" ht="15" hidden="false" customHeight="false" outlineLevel="0" collapsed="false">
      <c r="A316" s="2"/>
      <c r="B316" s="37"/>
      <c r="C316" s="2"/>
      <c r="D316" s="2"/>
      <c r="E316" s="2"/>
      <c r="F316" s="2"/>
      <c r="G316" s="2"/>
      <c r="H316" s="37"/>
      <c r="I316" s="2"/>
      <c r="J316" s="37"/>
      <c r="K316" s="27" t="str">
        <f aca="false">IF(A316="","",IF(H316="","Open","Closed"))</f>
        <v/>
      </c>
      <c r="L316" s="27" t="str">
        <f aca="false">IF(A316="","",IF(H316="",AsOf-B316,H316-B316))</f>
        <v/>
      </c>
      <c r="M316" s="27" t="str">
        <f aca="false">IF(A316="","",IF(AND(K316="Open",L316&gt;Target),"Yes","No"))</f>
        <v/>
      </c>
      <c r="N316" s="27" t="str">
        <f aca="false">IF(K316&lt;&gt;"Open","",IF(L316&lt;=30,"0-30",IF(L316&lt;=60,"31-60",IF(L316&lt;=90,"61-90","90+"))))</f>
        <v/>
      </c>
      <c r="O316" s="27" t="str">
        <f aca="false">IF(A316="","",IF(COUNTIFS($D$5:$D$400,D316,$F$5:$F$400,F316,$B$5:$B$400,"&gt;="&amp;(B316-RepeatWin),$B$5:$B$400,"&lt;"&amp;B316)&gt;0,"Yes","No"))</f>
        <v/>
      </c>
      <c r="P316" s="35" t="str">
        <f aca="false">IF(OR(I316="",H316=""),"",H316+CapaDue)</f>
        <v/>
      </c>
      <c r="Q316" s="27" t="str">
        <f aca="false">IF(A316="","",IF(I316="","Not required",IF(J316&lt;&gt;"","Closed",IF(H316="","Awaiting dev. close",IF(AsOf&gt;P316,"Overdue","Open")))))</f>
        <v/>
      </c>
      <c r="R316" s="27" t="str">
        <f aca="false">IF(J316="","",IF(COUNTIFS($D$5:$D$400,D316,$F$5:$F$400,F316,$B$5:$B$400,"&gt;"&amp;J316,$B$5:$B$400,"&lt;="&amp;(J316+EffWin))&gt;0,"Ineffective",IF(AsOf-J316&gt;=EffWin,"Effective","Check pending")))</f>
        <v/>
      </c>
      <c r="S316" s="36" t="str">
        <f aca="false">IF(A316="","",DATE(YEAR(B316),MONTH(B316),1))</f>
        <v/>
      </c>
      <c r="T316" s="36" t="str">
        <f aca="false">IF(H316="","",DATE(YEAR(H316),MONTH(H316),1))</f>
        <v/>
      </c>
      <c r="U316" s="27" t="str">
        <f aca="false">IF(H316="","",IF(AsOf-H316&lt;=90,L316,""))</f>
        <v/>
      </c>
      <c r="V316" s="27" t="str">
        <f aca="false">IF(H316="","",IF(AND(AsOf-H316&gt;90,AsOf-H316&lt;=270),L316,""))</f>
        <v/>
      </c>
    </row>
    <row r="317" customFormat="false" ht="15" hidden="false" customHeight="false" outlineLevel="0" collapsed="false">
      <c r="A317" s="2"/>
      <c r="B317" s="37"/>
      <c r="C317" s="2"/>
      <c r="D317" s="2"/>
      <c r="E317" s="2"/>
      <c r="F317" s="2"/>
      <c r="G317" s="2"/>
      <c r="H317" s="37"/>
      <c r="I317" s="2"/>
      <c r="J317" s="37"/>
      <c r="K317" s="27" t="str">
        <f aca="false">IF(A317="","",IF(H317="","Open","Closed"))</f>
        <v/>
      </c>
      <c r="L317" s="27" t="str">
        <f aca="false">IF(A317="","",IF(H317="",AsOf-B317,H317-B317))</f>
        <v/>
      </c>
      <c r="M317" s="27" t="str">
        <f aca="false">IF(A317="","",IF(AND(K317="Open",L317&gt;Target),"Yes","No"))</f>
        <v/>
      </c>
      <c r="N317" s="27" t="str">
        <f aca="false">IF(K317&lt;&gt;"Open","",IF(L317&lt;=30,"0-30",IF(L317&lt;=60,"31-60",IF(L317&lt;=90,"61-90","90+"))))</f>
        <v/>
      </c>
      <c r="O317" s="27" t="str">
        <f aca="false">IF(A317="","",IF(COUNTIFS($D$5:$D$400,D317,$F$5:$F$400,F317,$B$5:$B$400,"&gt;="&amp;(B317-RepeatWin),$B$5:$B$400,"&lt;"&amp;B317)&gt;0,"Yes","No"))</f>
        <v/>
      </c>
      <c r="P317" s="35" t="str">
        <f aca="false">IF(OR(I317="",H317=""),"",H317+CapaDue)</f>
        <v/>
      </c>
      <c r="Q317" s="27" t="str">
        <f aca="false">IF(A317="","",IF(I317="","Not required",IF(J317&lt;&gt;"","Closed",IF(H317="","Awaiting dev. close",IF(AsOf&gt;P317,"Overdue","Open")))))</f>
        <v/>
      </c>
      <c r="R317" s="27" t="str">
        <f aca="false">IF(J317="","",IF(COUNTIFS($D$5:$D$400,D317,$F$5:$F$400,F317,$B$5:$B$400,"&gt;"&amp;J317,$B$5:$B$400,"&lt;="&amp;(J317+EffWin))&gt;0,"Ineffective",IF(AsOf-J317&gt;=EffWin,"Effective","Check pending")))</f>
        <v/>
      </c>
      <c r="S317" s="36" t="str">
        <f aca="false">IF(A317="","",DATE(YEAR(B317),MONTH(B317),1))</f>
        <v/>
      </c>
      <c r="T317" s="36" t="str">
        <f aca="false">IF(H317="","",DATE(YEAR(H317),MONTH(H317),1))</f>
        <v/>
      </c>
      <c r="U317" s="27" t="str">
        <f aca="false">IF(H317="","",IF(AsOf-H317&lt;=90,L317,""))</f>
        <v/>
      </c>
      <c r="V317" s="27" t="str">
        <f aca="false">IF(H317="","",IF(AND(AsOf-H317&gt;90,AsOf-H317&lt;=270),L317,""))</f>
        <v/>
      </c>
    </row>
    <row r="318" customFormat="false" ht="15" hidden="false" customHeight="false" outlineLevel="0" collapsed="false">
      <c r="A318" s="2"/>
      <c r="B318" s="37"/>
      <c r="C318" s="2"/>
      <c r="D318" s="2"/>
      <c r="E318" s="2"/>
      <c r="F318" s="2"/>
      <c r="G318" s="2"/>
      <c r="H318" s="37"/>
      <c r="I318" s="2"/>
      <c r="J318" s="37"/>
      <c r="K318" s="27" t="str">
        <f aca="false">IF(A318="","",IF(H318="","Open","Closed"))</f>
        <v/>
      </c>
      <c r="L318" s="27" t="str">
        <f aca="false">IF(A318="","",IF(H318="",AsOf-B318,H318-B318))</f>
        <v/>
      </c>
      <c r="M318" s="27" t="str">
        <f aca="false">IF(A318="","",IF(AND(K318="Open",L318&gt;Target),"Yes","No"))</f>
        <v/>
      </c>
      <c r="N318" s="27" t="str">
        <f aca="false">IF(K318&lt;&gt;"Open","",IF(L318&lt;=30,"0-30",IF(L318&lt;=60,"31-60",IF(L318&lt;=90,"61-90","90+"))))</f>
        <v/>
      </c>
      <c r="O318" s="27" t="str">
        <f aca="false">IF(A318="","",IF(COUNTIFS($D$5:$D$400,D318,$F$5:$F$400,F318,$B$5:$B$400,"&gt;="&amp;(B318-RepeatWin),$B$5:$B$400,"&lt;"&amp;B318)&gt;0,"Yes","No"))</f>
        <v/>
      </c>
      <c r="P318" s="35" t="str">
        <f aca="false">IF(OR(I318="",H318=""),"",H318+CapaDue)</f>
        <v/>
      </c>
      <c r="Q318" s="27" t="str">
        <f aca="false">IF(A318="","",IF(I318="","Not required",IF(J318&lt;&gt;"","Closed",IF(H318="","Awaiting dev. close",IF(AsOf&gt;P318,"Overdue","Open")))))</f>
        <v/>
      </c>
      <c r="R318" s="27" t="str">
        <f aca="false">IF(J318="","",IF(COUNTIFS($D$5:$D$400,D318,$F$5:$F$400,F318,$B$5:$B$400,"&gt;"&amp;J318,$B$5:$B$400,"&lt;="&amp;(J318+EffWin))&gt;0,"Ineffective",IF(AsOf-J318&gt;=EffWin,"Effective","Check pending")))</f>
        <v/>
      </c>
      <c r="S318" s="36" t="str">
        <f aca="false">IF(A318="","",DATE(YEAR(B318),MONTH(B318),1))</f>
        <v/>
      </c>
      <c r="T318" s="36" t="str">
        <f aca="false">IF(H318="","",DATE(YEAR(H318),MONTH(H318),1))</f>
        <v/>
      </c>
      <c r="U318" s="27" t="str">
        <f aca="false">IF(H318="","",IF(AsOf-H318&lt;=90,L318,""))</f>
        <v/>
      </c>
      <c r="V318" s="27" t="str">
        <f aca="false">IF(H318="","",IF(AND(AsOf-H318&gt;90,AsOf-H318&lt;=270),L318,""))</f>
        <v/>
      </c>
    </row>
    <row r="319" customFormat="false" ht="15" hidden="false" customHeight="false" outlineLevel="0" collapsed="false">
      <c r="A319" s="2"/>
      <c r="B319" s="37"/>
      <c r="C319" s="2"/>
      <c r="D319" s="2"/>
      <c r="E319" s="2"/>
      <c r="F319" s="2"/>
      <c r="G319" s="2"/>
      <c r="H319" s="37"/>
      <c r="I319" s="2"/>
      <c r="J319" s="37"/>
      <c r="K319" s="27" t="str">
        <f aca="false">IF(A319="","",IF(H319="","Open","Closed"))</f>
        <v/>
      </c>
      <c r="L319" s="27" t="str">
        <f aca="false">IF(A319="","",IF(H319="",AsOf-B319,H319-B319))</f>
        <v/>
      </c>
      <c r="M319" s="27" t="str">
        <f aca="false">IF(A319="","",IF(AND(K319="Open",L319&gt;Target),"Yes","No"))</f>
        <v/>
      </c>
      <c r="N319" s="27" t="str">
        <f aca="false">IF(K319&lt;&gt;"Open","",IF(L319&lt;=30,"0-30",IF(L319&lt;=60,"31-60",IF(L319&lt;=90,"61-90","90+"))))</f>
        <v/>
      </c>
      <c r="O319" s="27" t="str">
        <f aca="false">IF(A319="","",IF(COUNTIFS($D$5:$D$400,D319,$F$5:$F$400,F319,$B$5:$B$400,"&gt;="&amp;(B319-RepeatWin),$B$5:$B$400,"&lt;"&amp;B319)&gt;0,"Yes","No"))</f>
        <v/>
      </c>
      <c r="P319" s="35" t="str">
        <f aca="false">IF(OR(I319="",H319=""),"",H319+CapaDue)</f>
        <v/>
      </c>
      <c r="Q319" s="27" t="str">
        <f aca="false">IF(A319="","",IF(I319="","Not required",IF(J319&lt;&gt;"","Closed",IF(H319="","Awaiting dev. close",IF(AsOf&gt;P319,"Overdue","Open")))))</f>
        <v/>
      </c>
      <c r="R319" s="27" t="str">
        <f aca="false">IF(J319="","",IF(COUNTIFS($D$5:$D$400,D319,$F$5:$F$400,F319,$B$5:$B$400,"&gt;"&amp;J319,$B$5:$B$400,"&lt;="&amp;(J319+EffWin))&gt;0,"Ineffective",IF(AsOf-J319&gt;=EffWin,"Effective","Check pending")))</f>
        <v/>
      </c>
      <c r="S319" s="36" t="str">
        <f aca="false">IF(A319="","",DATE(YEAR(B319),MONTH(B319),1))</f>
        <v/>
      </c>
      <c r="T319" s="36" t="str">
        <f aca="false">IF(H319="","",DATE(YEAR(H319),MONTH(H319),1))</f>
        <v/>
      </c>
      <c r="U319" s="27" t="str">
        <f aca="false">IF(H319="","",IF(AsOf-H319&lt;=90,L319,""))</f>
        <v/>
      </c>
      <c r="V319" s="27" t="str">
        <f aca="false">IF(H319="","",IF(AND(AsOf-H319&gt;90,AsOf-H319&lt;=270),L319,""))</f>
        <v/>
      </c>
    </row>
    <row r="320" customFormat="false" ht="15" hidden="false" customHeight="false" outlineLevel="0" collapsed="false">
      <c r="A320" s="2"/>
      <c r="B320" s="37"/>
      <c r="C320" s="2"/>
      <c r="D320" s="2"/>
      <c r="E320" s="2"/>
      <c r="F320" s="2"/>
      <c r="G320" s="2"/>
      <c r="H320" s="37"/>
      <c r="I320" s="2"/>
      <c r="J320" s="37"/>
      <c r="K320" s="27" t="str">
        <f aca="false">IF(A320="","",IF(H320="","Open","Closed"))</f>
        <v/>
      </c>
      <c r="L320" s="27" t="str">
        <f aca="false">IF(A320="","",IF(H320="",AsOf-B320,H320-B320))</f>
        <v/>
      </c>
      <c r="M320" s="27" t="str">
        <f aca="false">IF(A320="","",IF(AND(K320="Open",L320&gt;Target),"Yes","No"))</f>
        <v/>
      </c>
      <c r="N320" s="27" t="str">
        <f aca="false">IF(K320&lt;&gt;"Open","",IF(L320&lt;=30,"0-30",IF(L320&lt;=60,"31-60",IF(L320&lt;=90,"61-90","90+"))))</f>
        <v/>
      </c>
      <c r="O320" s="27" t="str">
        <f aca="false">IF(A320="","",IF(COUNTIFS($D$5:$D$400,D320,$F$5:$F$400,F320,$B$5:$B$400,"&gt;="&amp;(B320-RepeatWin),$B$5:$B$400,"&lt;"&amp;B320)&gt;0,"Yes","No"))</f>
        <v/>
      </c>
      <c r="P320" s="35" t="str">
        <f aca="false">IF(OR(I320="",H320=""),"",H320+CapaDue)</f>
        <v/>
      </c>
      <c r="Q320" s="27" t="str">
        <f aca="false">IF(A320="","",IF(I320="","Not required",IF(J320&lt;&gt;"","Closed",IF(H320="","Awaiting dev. close",IF(AsOf&gt;P320,"Overdue","Open")))))</f>
        <v/>
      </c>
      <c r="R320" s="27" t="str">
        <f aca="false">IF(J320="","",IF(COUNTIFS($D$5:$D$400,D320,$F$5:$F$400,F320,$B$5:$B$400,"&gt;"&amp;J320,$B$5:$B$400,"&lt;="&amp;(J320+EffWin))&gt;0,"Ineffective",IF(AsOf-J320&gt;=EffWin,"Effective","Check pending")))</f>
        <v/>
      </c>
      <c r="S320" s="36" t="str">
        <f aca="false">IF(A320="","",DATE(YEAR(B320),MONTH(B320),1))</f>
        <v/>
      </c>
      <c r="T320" s="36" t="str">
        <f aca="false">IF(H320="","",DATE(YEAR(H320),MONTH(H320),1))</f>
        <v/>
      </c>
      <c r="U320" s="27" t="str">
        <f aca="false">IF(H320="","",IF(AsOf-H320&lt;=90,L320,""))</f>
        <v/>
      </c>
      <c r="V320" s="27" t="str">
        <f aca="false">IF(H320="","",IF(AND(AsOf-H320&gt;90,AsOf-H320&lt;=270),L320,""))</f>
        <v/>
      </c>
    </row>
    <row r="321" customFormat="false" ht="15" hidden="false" customHeight="false" outlineLevel="0" collapsed="false">
      <c r="A321" s="2"/>
      <c r="B321" s="37"/>
      <c r="C321" s="2"/>
      <c r="D321" s="2"/>
      <c r="E321" s="2"/>
      <c r="F321" s="2"/>
      <c r="G321" s="2"/>
      <c r="H321" s="37"/>
      <c r="I321" s="2"/>
      <c r="J321" s="37"/>
      <c r="K321" s="27" t="str">
        <f aca="false">IF(A321="","",IF(H321="","Open","Closed"))</f>
        <v/>
      </c>
      <c r="L321" s="27" t="str">
        <f aca="false">IF(A321="","",IF(H321="",AsOf-B321,H321-B321))</f>
        <v/>
      </c>
      <c r="M321" s="27" t="str">
        <f aca="false">IF(A321="","",IF(AND(K321="Open",L321&gt;Target),"Yes","No"))</f>
        <v/>
      </c>
      <c r="N321" s="27" t="str">
        <f aca="false">IF(K321&lt;&gt;"Open","",IF(L321&lt;=30,"0-30",IF(L321&lt;=60,"31-60",IF(L321&lt;=90,"61-90","90+"))))</f>
        <v/>
      </c>
      <c r="O321" s="27" t="str">
        <f aca="false">IF(A321="","",IF(COUNTIFS($D$5:$D$400,D321,$F$5:$F$400,F321,$B$5:$B$400,"&gt;="&amp;(B321-RepeatWin),$B$5:$B$400,"&lt;"&amp;B321)&gt;0,"Yes","No"))</f>
        <v/>
      </c>
      <c r="P321" s="35" t="str">
        <f aca="false">IF(OR(I321="",H321=""),"",H321+CapaDue)</f>
        <v/>
      </c>
      <c r="Q321" s="27" t="str">
        <f aca="false">IF(A321="","",IF(I321="","Not required",IF(J321&lt;&gt;"","Closed",IF(H321="","Awaiting dev. close",IF(AsOf&gt;P321,"Overdue","Open")))))</f>
        <v/>
      </c>
      <c r="R321" s="27" t="str">
        <f aca="false">IF(J321="","",IF(COUNTIFS($D$5:$D$400,D321,$F$5:$F$400,F321,$B$5:$B$400,"&gt;"&amp;J321,$B$5:$B$400,"&lt;="&amp;(J321+EffWin))&gt;0,"Ineffective",IF(AsOf-J321&gt;=EffWin,"Effective","Check pending")))</f>
        <v/>
      </c>
      <c r="S321" s="36" t="str">
        <f aca="false">IF(A321="","",DATE(YEAR(B321),MONTH(B321),1))</f>
        <v/>
      </c>
      <c r="T321" s="36" t="str">
        <f aca="false">IF(H321="","",DATE(YEAR(H321),MONTH(H321),1))</f>
        <v/>
      </c>
      <c r="U321" s="27" t="str">
        <f aca="false">IF(H321="","",IF(AsOf-H321&lt;=90,L321,""))</f>
        <v/>
      </c>
      <c r="V321" s="27" t="str">
        <f aca="false">IF(H321="","",IF(AND(AsOf-H321&gt;90,AsOf-H321&lt;=270),L321,""))</f>
        <v/>
      </c>
    </row>
    <row r="322" customFormat="false" ht="15" hidden="false" customHeight="false" outlineLevel="0" collapsed="false">
      <c r="A322" s="2"/>
      <c r="B322" s="37"/>
      <c r="C322" s="2"/>
      <c r="D322" s="2"/>
      <c r="E322" s="2"/>
      <c r="F322" s="2"/>
      <c r="G322" s="2"/>
      <c r="H322" s="37"/>
      <c r="I322" s="2"/>
      <c r="J322" s="37"/>
      <c r="K322" s="27" t="str">
        <f aca="false">IF(A322="","",IF(H322="","Open","Closed"))</f>
        <v/>
      </c>
      <c r="L322" s="27" t="str">
        <f aca="false">IF(A322="","",IF(H322="",AsOf-B322,H322-B322))</f>
        <v/>
      </c>
      <c r="M322" s="27" t="str">
        <f aca="false">IF(A322="","",IF(AND(K322="Open",L322&gt;Target),"Yes","No"))</f>
        <v/>
      </c>
      <c r="N322" s="27" t="str">
        <f aca="false">IF(K322&lt;&gt;"Open","",IF(L322&lt;=30,"0-30",IF(L322&lt;=60,"31-60",IF(L322&lt;=90,"61-90","90+"))))</f>
        <v/>
      </c>
      <c r="O322" s="27" t="str">
        <f aca="false">IF(A322="","",IF(COUNTIFS($D$5:$D$400,D322,$F$5:$F$400,F322,$B$5:$B$400,"&gt;="&amp;(B322-RepeatWin),$B$5:$B$400,"&lt;"&amp;B322)&gt;0,"Yes","No"))</f>
        <v/>
      </c>
      <c r="P322" s="35" t="str">
        <f aca="false">IF(OR(I322="",H322=""),"",H322+CapaDue)</f>
        <v/>
      </c>
      <c r="Q322" s="27" t="str">
        <f aca="false">IF(A322="","",IF(I322="","Not required",IF(J322&lt;&gt;"","Closed",IF(H322="","Awaiting dev. close",IF(AsOf&gt;P322,"Overdue","Open")))))</f>
        <v/>
      </c>
      <c r="R322" s="27" t="str">
        <f aca="false">IF(J322="","",IF(COUNTIFS($D$5:$D$400,D322,$F$5:$F$400,F322,$B$5:$B$400,"&gt;"&amp;J322,$B$5:$B$400,"&lt;="&amp;(J322+EffWin))&gt;0,"Ineffective",IF(AsOf-J322&gt;=EffWin,"Effective","Check pending")))</f>
        <v/>
      </c>
      <c r="S322" s="36" t="str">
        <f aca="false">IF(A322="","",DATE(YEAR(B322),MONTH(B322),1))</f>
        <v/>
      </c>
      <c r="T322" s="36" t="str">
        <f aca="false">IF(H322="","",DATE(YEAR(H322),MONTH(H322),1))</f>
        <v/>
      </c>
      <c r="U322" s="27" t="str">
        <f aca="false">IF(H322="","",IF(AsOf-H322&lt;=90,L322,""))</f>
        <v/>
      </c>
      <c r="V322" s="27" t="str">
        <f aca="false">IF(H322="","",IF(AND(AsOf-H322&gt;90,AsOf-H322&lt;=270),L322,""))</f>
        <v/>
      </c>
    </row>
    <row r="323" customFormat="false" ht="15" hidden="false" customHeight="false" outlineLevel="0" collapsed="false">
      <c r="A323" s="2"/>
      <c r="B323" s="37"/>
      <c r="C323" s="2"/>
      <c r="D323" s="2"/>
      <c r="E323" s="2"/>
      <c r="F323" s="2"/>
      <c r="G323" s="2"/>
      <c r="H323" s="37"/>
      <c r="I323" s="2"/>
      <c r="J323" s="37"/>
      <c r="K323" s="27" t="str">
        <f aca="false">IF(A323="","",IF(H323="","Open","Closed"))</f>
        <v/>
      </c>
      <c r="L323" s="27" t="str">
        <f aca="false">IF(A323="","",IF(H323="",AsOf-B323,H323-B323))</f>
        <v/>
      </c>
      <c r="M323" s="27" t="str">
        <f aca="false">IF(A323="","",IF(AND(K323="Open",L323&gt;Target),"Yes","No"))</f>
        <v/>
      </c>
      <c r="N323" s="27" t="str">
        <f aca="false">IF(K323&lt;&gt;"Open","",IF(L323&lt;=30,"0-30",IF(L323&lt;=60,"31-60",IF(L323&lt;=90,"61-90","90+"))))</f>
        <v/>
      </c>
      <c r="O323" s="27" t="str">
        <f aca="false">IF(A323="","",IF(COUNTIFS($D$5:$D$400,D323,$F$5:$F$400,F323,$B$5:$B$400,"&gt;="&amp;(B323-RepeatWin),$B$5:$B$400,"&lt;"&amp;B323)&gt;0,"Yes","No"))</f>
        <v/>
      </c>
      <c r="P323" s="35" t="str">
        <f aca="false">IF(OR(I323="",H323=""),"",H323+CapaDue)</f>
        <v/>
      </c>
      <c r="Q323" s="27" t="str">
        <f aca="false">IF(A323="","",IF(I323="","Not required",IF(J323&lt;&gt;"","Closed",IF(H323="","Awaiting dev. close",IF(AsOf&gt;P323,"Overdue","Open")))))</f>
        <v/>
      </c>
      <c r="R323" s="27" t="str">
        <f aca="false">IF(J323="","",IF(COUNTIFS($D$5:$D$400,D323,$F$5:$F$400,F323,$B$5:$B$400,"&gt;"&amp;J323,$B$5:$B$400,"&lt;="&amp;(J323+EffWin))&gt;0,"Ineffective",IF(AsOf-J323&gt;=EffWin,"Effective","Check pending")))</f>
        <v/>
      </c>
      <c r="S323" s="36" t="str">
        <f aca="false">IF(A323="","",DATE(YEAR(B323),MONTH(B323),1))</f>
        <v/>
      </c>
      <c r="T323" s="36" t="str">
        <f aca="false">IF(H323="","",DATE(YEAR(H323),MONTH(H323),1))</f>
        <v/>
      </c>
      <c r="U323" s="27" t="str">
        <f aca="false">IF(H323="","",IF(AsOf-H323&lt;=90,L323,""))</f>
        <v/>
      </c>
      <c r="V323" s="27" t="str">
        <f aca="false">IF(H323="","",IF(AND(AsOf-H323&gt;90,AsOf-H323&lt;=270),L323,""))</f>
        <v/>
      </c>
    </row>
    <row r="324" customFormat="false" ht="15" hidden="false" customHeight="false" outlineLevel="0" collapsed="false">
      <c r="A324" s="2"/>
      <c r="B324" s="37"/>
      <c r="C324" s="2"/>
      <c r="D324" s="2"/>
      <c r="E324" s="2"/>
      <c r="F324" s="2"/>
      <c r="G324" s="2"/>
      <c r="H324" s="37"/>
      <c r="I324" s="2"/>
      <c r="J324" s="37"/>
      <c r="K324" s="27" t="str">
        <f aca="false">IF(A324="","",IF(H324="","Open","Closed"))</f>
        <v/>
      </c>
      <c r="L324" s="27" t="str">
        <f aca="false">IF(A324="","",IF(H324="",AsOf-B324,H324-B324))</f>
        <v/>
      </c>
      <c r="M324" s="27" t="str">
        <f aca="false">IF(A324="","",IF(AND(K324="Open",L324&gt;Target),"Yes","No"))</f>
        <v/>
      </c>
      <c r="N324" s="27" t="str">
        <f aca="false">IF(K324&lt;&gt;"Open","",IF(L324&lt;=30,"0-30",IF(L324&lt;=60,"31-60",IF(L324&lt;=90,"61-90","90+"))))</f>
        <v/>
      </c>
      <c r="O324" s="27" t="str">
        <f aca="false">IF(A324="","",IF(COUNTIFS($D$5:$D$400,D324,$F$5:$F$400,F324,$B$5:$B$400,"&gt;="&amp;(B324-RepeatWin),$B$5:$B$400,"&lt;"&amp;B324)&gt;0,"Yes","No"))</f>
        <v/>
      </c>
      <c r="P324" s="35" t="str">
        <f aca="false">IF(OR(I324="",H324=""),"",H324+CapaDue)</f>
        <v/>
      </c>
      <c r="Q324" s="27" t="str">
        <f aca="false">IF(A324="","",IF(I324="","Not required",IF(J324&lt;&gt;"","Closed",IF(H324="","Awaiting dev. close",IF(AsOf&gt;P324,"Overdue","Open")))))</f>
        <v/>
      </c>
      <c r="R324" s="27" t="str">
        <f aca="false">IF(J324="","",IF(COUNTIFS($D$5:$D$400,D324,$F$5:$F$400,F324,$B$5:$B$400,"&gt;"&amp;J324,$B$5:$B$400,"&lt;="&amp;(J324+EffWin))&gt;0,"Ineffective",IF(AsOf-J324&gt;=EffWin,"Effective","Check pending")))</f>
        <v/>
      </c>
      <c r="S324" s="36" t="str">
        <f aca="false">IF(A324="","",DATE(YEAR(B324),MONTH(B324),1))</f>
        <v/>
      </c>
      <c r="T324" s="36" t="str">
        <f aca="false">IF(H324="","",DATE(YEAR(H324),MONTH(H324),1))</f>
        <v/>
      </c>
      <c r="U324" s="27" t="str">
        <f aca="false">IF(H324="","",IF(AsOf-H324&lt;=90,L324,""))</f>
        <v/>
      </c>
      <c r="V324" s="27" t="str">
        <f aca="false">IF(H324="","",IF(AND(AsOf-H324&gt;90,AsOf-H324&lt;=270),L324,""))</f>
        <v/>
      </c>
    </row>
    <row r="325" customFormat="false" ht="15" hidden="false" customHeight="false" outlineLevel="0" collapsed="false">
      <c r="A325" s="2"/>
      <c r="B325" s="37"/>
      <c r="C325" s="2"/>
      <c r="D325" s="2"/>
      <c r="E325" s="2"/>
      <c r="F325" s="2"/>
      <c r="G325" s="2"/>
      <c r="H325" s="37"/>
      <c r="I325" s="2"/>
      <c r="J325" s="37"/>
      <c r="K325" s="27" t="str">
        <f aca="false">IF(A325="","",IF(H325="","Open","Closed"))</f>
        <v/>
      </c>
      <c r="L325" s="27" t="str">
        <f aca="false">IF(A325="","",IF(H325="",AsOf-B325,H325-B325))</f>
        <v/>
      </c>
      <c r="M325" s="27" t="str">
        <f aca="false">IF(A325="","",IF(AND(K325="Open",L325&gt;Target),"Yes","No"))</f>
        <v/>
      </c>
      <c r="N325" s="27" t="str">
        <f aca="false">IF(K325&lt;&gt;"Open","",IF(L325&lt;=30,"0-30",IF(L325&lt;=60,"31-60",IF(L325&lt;=90,"61-90","90+"))))</f>
        <v/>
      </c>
      <c r="O325" s="27" t="str">
        <f aca="false">IF(A325="","",IF(COUNTIFS($D$5:$D$400,D325,$F$5:$F$400,F325,$B$5:$B$400,"&gt;="&amp;(B325-RepeatWin),$B$5:$B$400,"&lt;"&amp;B325)&gt;0,"Yes","No"))</f>
        <v/>
      </c>
      <c r="P325" s="35" t="str">
        <f aca="false">IF(OR(I325="",H325=""),"",H325+CapaDue)</f>
        <v/>
      </c>
      <c r="Q325" s="27" t="str">
        <f aca="false">IF(A325="","",IF(I325="","Not required",IF(J325&lt;&gt;"","Closed",IF(H325="","Awaiting dev. close",IF(AsOf&gt;P325,"Overdue","Open")))))</f>
        <v/>
      </c>
      <c r="R325" s="27" t="str">
        <f aca="false">IF(J325="","",IF(COUNTIFS($D$5:$D$400,D325,$F$5:$F$400,F325,$B$5:$B$400,"&gt;"&amp;J325,$B$5:$B$400,"&lt;="&amp;(J325+EffWin))&gt;0,"Ineffective",IF(AsOf-J325&gt;=EffWin,"Effective","Check pending")))</f>
        <v/>
      </c>
      <c r="S325" s="36" t="str">
        <f aca="false">IF(A325="","",DATE(YEAR(B325),MONTH(B325),1))</f>
        <v/>
      </c>
      <c r="T325" s="36" t="str">
        <f aca="false">IF(H325="","",DATE(YEAR(H325),MONTH(H325),1))</f>
        <v/>
      </c>
      <c r="U325" s="27" t="str">
        <f aca="false">IF(H325="","",IF(AsOf-H325&lt;=90,L325,""))</f>
        <v/>
      </c>
      <c r="V325" s="27" t="str">
        <f aca="false">IF(H325="","",IF(AND(AsOf-H325&gt;90,AsOf-H325&lt;=270),L325,""))</f>
        <v/>
      </c>
    </row>
    <row r="326" customFormat="false" ht="15" hidden="false" customHeight="false" outlineLevel="0" collapsed="false">
      <c r="A326" s="2"/>
      <c r="B326" s="37"/>
      <c r="C326" s="2"/>
      <c r="D326" s="2"/>
      <c r="E326" s="2"/>
      <c r="F326" s="2"/>
      <c r="G326" s="2"/>
      <c r="H326" s="37"/>
      <c r="I326" s="2"/>
      <c r="J326" s="37"/>
      <c r="K326" s="27" t="str">
        <f aca="false">IF(A326="","",IF(H326="","Open","Closed"))</f>
        <v/>
      </c>
      <c r="L326" s="27" t="str">
        <f aca="false">IF(A326="","",IF(H326="",AsOf-B326,H326-B326))</f>
        <v/>
      </c>
      <c r="M326" s="27" t="str">
        <f aca="false">IF(A326="","",IF(AND(K326="Open",L326&gt;Target),"Yes","No"))</f>
        <v/>
      </c>
      <c r="N326" s="27" t="str">
        <f aca="false">IF(K326&lt;&gt;"Open","",IF(L326&lt;=30,"0-30",IF(L326&lt;=60,"31-60",IF(L326&lt;=90,"61-90","90+"))))</f>
        <v/>
      </c>
      <c r="O326" s="27" t="str">
        <f aca="false">IF(A326="","",IF(COUNTIFS($D$5:$D$400,D326,$F$5:$F$400,F326,$B$5:$B$400,"&gt;="&amp;(B326-RepeatWin),$B$5:$B$400,"&lt;"&amp;B326)&gt;0,"Yes","No"))</f>
        <v/>
      </c>
      <c r="P326" s="35" t="str">
        <f aca="false">IF(OR(I326="",H326=""),"",H326+CapaDue)</f>
        <v/>
      </c>
      <c r="Q326" s="27" t="str">
        <f aca="false">IF(A326="","",IF(I326="","Not required",IF(J326&lt;&gt;"","Closed",IF(H326="","Awaiting dev. close",IF(AsOf&gt;P326,"Overdue","Open")))))</f>
        <v/>
      </c>
      <c r="R326" s="27" t="str">
        <f aca="false">IF(J326="","",IF(COUNTIFS($D$5:$D$400,D326,$F$5:$F$400,F326,$B$5:$B$400,"&gt;"&amp;J326,$B$5:$B$400,"&lt;="&amp;(J326+EffWin))&gt;0,"Ineffective",IF(AsOf-J326&gt;=EffWin,"Effective","Check pending")))</f>
        <v/>
      </c>
      <c r="S326" s="36" t="str">
        <f aca="false">IF(A326="","",DATE(YEAR(B326),MONTH(B326),1))</f>
        <v/>
      </c>
      <c r="T326" s="36" t="str">
        <f aca="false">IF(H326="","",DATE(YEAR(H326),MONTH(H326),1))</f>
        <v/>
      </c>
      <c r="U326" s="27" t="str">
        <f aca="false">IF(H326="","",IF(AsOf-H326&lt;=90,L326,""))</f>
        <v/>
      </c>
      <c r="V326" s="27" t="str">
        <f aca="false">IF(H326="","",IF(AND(AsOf-H326&gt;90,AsOf-H326&lt;=270),L326,""))</f>
        <v/>
      </c>
    </row>
    <row r="327" customFormat="false" ht="15" hidden="false" customHeight="false" outlineLevel="0" collapsed="false">
      <c r="A327" s="2"/>
      <c r="B327" s="37"/>
      <c r="C327" s="2"/>
      <c r="D327" s="2"/>
      <c r="E327" s="2"/>
      <c r="F327" s="2"/>
      <c r="G327" s="2"/>
      <c r="H327" s="37"/>
      <c r="I327" s="2"/>
      <c r="J327" s="37"/>
      <c r="K327" s="27" t="str">
        <f aca="false">IF(A327="","",IF(H327="","Open","Closed"))</f>
        <v/>
      </c>
      <c r="L327" s="27" t="str">
        <f aca="false">IF(A327="","",IF(H327="",AsOf-B327,H327-B327))</f>
        <v/>
      </c>
      <c r="M327" s="27" t="str">
        <f aca="false">IF(A327="","",IF(AND(K327="Open",L327&gt;Target),"Yes","No"))</f>
        <v/>
      </c>
      <c r="N327" s="27" t="str">
        <f aca="false">IF(K327&lt;&gt;"Open","",IF(L327&lt;=30,"0-30",IF(L327&lt;=60,"31-60",IF(L327&lt;=90,"61-90","90+"))))</f>
        <v/>
      </c>
      <c r="O327" s="27" t="str">
        <f aca="false">IF(A327="","",IF(COUNTIFS($D$5:$D$400,D327,$F$5:$F$400,F327,$B$5:$B$400,"&gt;="&amp;(B327-RepeatWin),$B$5:$B$400,"&lt;"&amp;B327)&gt;0,"Yes","No"))</f>
        <v/>
      </c>
      <c r="P327" s="35" t="str">
        <f aca="false">IF(OR(I327="",H327=""),"",H327+CapaDue)</f>
        <v/>
      </c>
      <c r="Q327" s="27" t="str">
        <f aca="false">IF(A327="","",IF(I327="","Not required",IF(J327&lt;&gt;"","Closed",IF(H327="","Awaiting dev. close",IF(AsOf&gt;P327,"Overdue","Open")))))</f>
        <v/>
      </c>
      <c r="R327" s="27" t="str">
        <f aca="false">IF(J327="","",IF(COUNTIFS($D$5:$D$400,D327,$F$5:$F$400,F327,$B$5:$B$400,"&gt;"&amp;J327,$B$5:$B$400,"&lt;="&amp;(J327+EffWin))&gt;0,"Ineffective",IF(AsOf-J327&gt;=EffWin,"Effective","Check pending")))</f>
        <v/>
      </c>
      <c r="S327" s="36" t="str">
        <f aca="false">IF(A327="","",DATE(YEAR(B327),MONTH(B327),1))</f>
        <v/>
      </c>
      <c r="T327" s="36" t="str">
        <f aca="false">IF(H327="","",DATE(YEAR(H327),MONTH(H327),1))</f>
        <v/>
      </c>
      <c r="U327" s="27" t="str">
        <f aca="false">IF(H327="","",IF(AsOf-H327&lt;=90,L327,""))</f>
        <v/>
      </c>
      <c r="V327" s="27" t="str">
        <f aca="false">IF(H327="","",IF(AND(AsOf-H327&gt;90,AsOf-H327&lt;=270),L327,""))</f>
        <v/>
      </c>
    </row>
    <row r="328" customFormat="false" ht="15" hidden="false" customHeight="false" outlineLevel="0" collapsed="false">
      <c r="A328" s="2"/>
      <c r="B328" s="37"/>
      <c r="C328" s="2"/>
      <c r="D328" s="2"/>
      <c r="E328" s="2"/>
      <c r="F328" s="2"/>
      <c r="G328" s="2"/>
      <c r="H328" s="37"/>
      <c r="I328" s="2"/>
      <c r="J328" s="37"/>
      <c r="K328" s="27" t="str">
        <f aca="false">IF(A328="","",IF(H328="","Open","Closed"))</f>
        <v/>
      </c>
      <c r="L328" s="27" t="str">
        <f aca="false">IF(A328="","",IF(H328="",AsOf-B328,H328-B328))</f>
        <v/>
      </c>
      <c r="M328" s="27" t="str">
        <f aca="false">IF(A328="","",IF(AND(K328="Open",L328&gt;Target),"Yes","No"))</f>
        <v/>
      </c>
      <c r="N328" s="27" t="str">
        <f aca="false">IF(K328&lt;&gt;"Open","",IF(L328&lt;=30,"0-30",IF(L328&lt;=60,"31-60",IF(L328&lt;=90,"61-90","90+"))))</f>
        <v/>
      </c>
      <c r="O328" s="27" t="str">
        <f aca="false">IF(A328="","",IF(COUNTIFS($D$5:$D$400,D328,$F$5:$F$400,F328,$B$5:$B$400,"&gt;="&amp;(B328-RepeatWin),$B$5:$B$400,"&lt;"&amp;B328)&gt;0,"Yes","No"))</f>
        <v/>
      </c>
      <c r="P328" s="35" t="str">
        <f aca="false">IF(OR(I328="",H328=""),"",H328+CapaDue)</f>
        <v/>
      </c>
      <c r="Q328" s="27" t="str">
        <f aca="false">IF(A328="","",IF(I328="","Not required",IF(J328&lt;&gt;"","Closed",IF(H328="","Awaiting dev. close",IF(AsOf&gt;P328,"Overdue","Open")))))</f>
        <v/>
      </c>
      <c r="R328" s="27" t="str">
        <f aca="false">IF(J328="","",IF(COUNTIFS($D$5:$D$400,D328,$F$5:$F$400,F328,$B$5:$B$400,"&gt;"&amp;J328,$B$5:$B$400,"&lt;="&amp;(J328+EffWin))&gt;0,"Ineffective",IF(AsOf-J328&gt;=EffWin,"Effective","Check pending")))</f>
        <v/>
      </c>
      <c r="S328" s="36" t="str">
        <f aca="false">IF(A328="","",DATE(YEAR(B328),MONTH(B328),1))</f>
        <v/>
      </c>
      <c r="T328" s="36" t="str">
        <f aca="false">IF(H328="","",DATE(YEAR(H328),MONTH(H328),1))</f>
        <v/>
      </c>
      <c r="U328" s="27" t="str">
        <f aca="false">IF(H328="","",IF(AsOf-H328&lt;=90,L328,""))</f>
        <v/>
      </c>
      <c r="V328" s="27" t="str">
        <f aca="false">IF(H328="","",IF(AND(AsOf-H328&gt;90,AsOf-H328&lt;=270),L328,""))</f>
        <v/>
      </c>
    </row>
    <row r="329" customFormat="false" ht="15" hidden="false" customHeight="false" outlineLevel="0" collapsed="false">
      <c r="A329" s="2"/>
      <c r="B329" s="37"/>
      <c r="C329" s="2"/>
      <c r="D329" s="2"/>
      <c r="E329" s="2"/>
      <c r="F329" s="2"/>
      <c r="G329" s="2"/>
      <c r="H329" s="37"/>
      <c r="I329" s="2"/>
      <c r="J329" s="37"/>
      <c r="K329" s="27" t="str">
        <f aca="false">IF(A329="","",IF(H329="","Open","Closed"))</f>
        <v/>
      </c>
      <c r="L329" s="27" t="str">
        <f aca="false">IF(A329="","",IF(H329="",AsOf-B329,H329-B329))</f>
        <v/>
      </c>
      <c r="M329" s="27" t="str">
        <f aca="false">IF(A329="","",IF(AND(K329="Open",L329&gt;Target),"Yes","No"))</f>
        <v/>
      </c>
      <c r="N329" s="27" t="str">
        <f aca="false">IF(K329&lt;&gt;"Open","",IF(L329&lt;=30,"0-30",IF(L329&lt;=60,"31-60",IF(L329&lt;=90,"61-90","90+"))))</f>
        <v/>
      </c>
      <c r="O329" s="27" t="str">
        <f aca="false">IF(A329="","",IF(COUNTIFS($D$5:$D$400,D329,$F$5:$F$400,F329,$B$5:$B$400,"&gt;="&amp;(B329-RepeatWin),$B$5:$B$400,"&lt;"&amp;B329)&gt;0,"Yes","No"))</f>
        <v/>
      </c>
      <c r="P329" s="35" t="str">
        <f aca="false">IF(OR(I329="",H329=""),"",H329+CapaDue)</f>
        <v/>
      </c>
      <c r="Q329" s="27" t="str">
        <f aca="false">IF(A329="","",IF(I329="","Not required",IF(J329&lt;&gt;"","Closed",IF(H329="","Awaiting dev. close",IF(AsOf&gt;P329,"Overdue","Open")))))</f>
        <v/>
      </c>
      <c r="R329" s="27" t="str">
        <f aca="false">IF(J329="","",IF(COUNTIFS($D$5:$D$400,D329,$F$5:$F$400,F329,$B$5:$B$400,"&gt;"&amp;J329,$B$5:$B$400,"&lt;="&amp;(J329+EffWin))&gt;0,"Ineffective",IF(AsOf-J329&gt;=EffWin,"Effective","Check pending")))</f>
        <v/>
      </c>
      <c r="S329" s="36" t="str">
        <f aca="false">IF(A329="","",DATE(YEAR(B329),MONTH(B329),1))</f>
        <v/>
      </c>
      <c r="T329" s="36" t="str">
        <f aca="false">IF(H329="","",DATE(YEAR(H329),MONTH(H329),1))</f>
        <v/>
      </c>
      <c r="U329" s="27" t="str">
        <f aca="false">IF(H329="","",IF(AsOf-H329&lt;=90,L329,""))</f>
        <v/>
      </c>
      <c r="V329" s="27" t="str">
        <f aca="false">IF(H329="","",IF(AND(AsOf-H329&gt;90,AsOf-H329&lt;=270),L329,""))</f>
        <v/>
      </c>
    </row>
    <row r="330" customFormat="false" ht="15" hidden="false" customHeight="false" outlineLevel="0" collapsed="false">
      <c r="A330" s="2"/>
      <c r="B330" s="37"/>
      <c r="C330" s="2"/>
      <c r="D330" s="2"/>
      <c r="E330" s="2"/>
      <c r="F330" s="2"/>
      <c r="G330" s="2"/>
      <c r="H330" s="37"/>
      <c r="I330" s="2"/>
      <c r="J330" s="37"/>
      <c r="K330" s="27" t="str">
        <f aca="false">IF(A330="","",IF(H330="","Open","Closed"))</f>
        <v/>
      </c>
      <c r="L330" s="27" t="str">
        <f aca="false">IF(A330="","",IF(H330="",AsOf-B330,H330-B330))</f>
        <v/>
      </c>
      <c r="M330" s="27" t="str">
        <f aca="false">IF(A330="","",IF(AND(K330="Open",L330&gt;Target),"Yes","No"))</f>
        <v/>
      </c>
      <c r="N330" s="27" t="str">
        <f aca="false">IF(K330&lt;&gt;"Open","",IF(L330&lt;=30,"0-30",IF(L330&lt;=60,"31-60",IF(L330&lt;=90,"61-90","90+"))))</f>
        <v/>
      </c>
      <c r="O330" s="27" t="str">
        <f aca="false">IF(A330="","",IF(COUNTIFS($D$5:$D$400,D330,$F$5:$F$400,F330,$B$5:$B$400,"&gt;="&amp;(B330-RepeatWin),$B$5:$B$400,"&lt;"&amp;B330)&gt;0,"Yes","No"))</f>
        <v/>
      </c>
      <c r="P330" s="35" t="str">
        <f aca="false">IF(OR(I330="",H330=""),"",H330+CapaDue)</f>
        <v/>
      </c>
      <c r="Q330" s="27" t="str">
        <f aca="false">IF(A330="","",IF(I330="","Not required",IF(J330&lt;&gt;"","Closed",IF(H330="","Awaiting dev. close",IF(AsOf&gt;P330,"Overdue","Open")))))</f>
        <v/>
      </c>
      <c r="R330" s="27" t="str">
        <f aca="false">IF(J330="","",IF(COUNTIFS($D$5:$D$400,D330,$F$5:$F$400,F330,$B$5:$B$400,"&gt;"&amp;J330,$B$5:$B$400,"&lt;="&amp;(J330+EffWin))&gt;0,"Ineffective",IF(AsOf-J330&gt;=EffWin,"Effective","Check pending")))</f>
        <v/>
      </c>
      <c r="S330" s="36" t="str">
        <f aca="false">IF(A330="","",DATE(YEAR(B330),MONTH(B330),1))</f>
        <v/>
      </c>
      <c r="T330" s="36" t="str">
        <f aca="false">IF(H330="","",DATE(YEAR(H330),MONTH(H330),1))</f>
        <v/>
      </c>
      <c r="U330" s="27" t="str">
        <f aca="false">IF(H330="","",IF(AsOf-H330&lt;=90,L330,""))</f>
        <v/>
      </c>
      <c r="V330" s="27" t="str">
        <f aca="false">IF(H330="","",IF(AND(AsOf-H330&gt;90,AsOf-H330&lt;=270),L330,""))</f>
        <v/>
      </c>
    </row>
    <row r="331" customFormat="false" ht="15" hidden="false" customHeight="false" outlineLevel="0" collapsed="false">
      <c r="A331" s="2"/>
      <c r="B331" s="37"/>
      <c r="C331" s="2"/>
      <c r="D331" s="2"/>
      <c r="E331" s="2"/>
      <c r="F331" s="2"/>
      <c r="G331" s="2"/>
      <c r="H331" s="37"/>
      <c r="I331" s="2"/>
      <c r="J331" s="37"/>
      <c r="K331" s="27" t="str">
        <f aca="false">IF(A331="","",IF(H331="","Open","Closed"))</f>
        <v/>
      </c>
      <c r="L331" s="27" t="str">
        <f aca="false">IF(A331="","",IF(H331="",AsOf-B331,H331-B331))</f>
        <v/>
      </c>
      <c r="M331" s="27" t="str">
        <f aca="false">IF(A331="","",IF(AND(K331="Open",L331&gt;Target),"Yes","No"))</f>
        <v/>
      </c>
      <c r="N331" s="27" t="str">
        <f aca="false">IF(K331&lt;&gt;"Open","",IF(L331&lt;=30,"0-30",IF(L331&lt;=60,"31-60",IF(L331&lt;=90,"61-90","90+"))))</f>
        <v/>
      </c>
      <c r="O331" s="27" t="str">
        <f aca="false">IF(A331="","",IF(COUNTIFS($D$5:$D$400,D331,$F$5:$F$400,F331,$B$5:$B$400,"&gt;="&amp;(B331-RepeatWin),$B$5:$B$400,"&lt;"&amp;B331)&gt;0,"Yes","No"))</f>
        <v/>
      </c>
      <c r="P331" s="35" t="str">
        <f aca="false">IF(OR(I331="",H331=""),"",H331+CapaDue)</f>
        <v/>
      </c>
      <c r="Q331" s="27" t="str">
        <f aca="false">IF(A331="","",IF(I331="","Not required",IF(J331&lt;&gt;"","Closed",IF(H331="","Awaiting dev. close",IF(AsOf&gt;P331,"Overdue","Open")))))</f>
        <v/>
      </c>
      <c r="R331" s="27" t="str">
        <f aca="false">IF(J331="","",IF(COUNTIFS($D$5:$D$400,D331,$F$5:$F$400,F331,$B$5:$B$400,"&gt;"&amp;J331,$B$5:$B$400,"&lt;="&amp;(J331+EffWin))&gt;0,"Ineffective",IF(AsOf-J331&gt;=EffWin,"Effective","Check pending")))</f>
        <v/>
      </c>
      <c r="S331" s="36" t="str">
        <f aca="false">IF(A331="","",DATE(YEAR(B331),MONTH(B331),1))</f>
        <v/>
      </c>
      <c r="T331" s="36" t="str">
        <f aca="false">IF(H331="","",DATE(YEAR(H331),MONTH(H331),1))</f>
        <v/>
      </c>
      <c r="U331" s="27" t="str">
        <f aca="false">IF(H331="","",IF(AsOf-H331&lt;=90,L331,""))</f>
        <v/>
      </c>
      <c r="V331" s="27" t="str">
        <f aca="false">IF(H331="","",IF(AND(AsOf-H331&gt;90,AsOf-H331&lt;=270),L331,""))</f>
        <v/>
      </c>
    </row>
    <row r="332" customFormat="false" ht="15" hidden="false" customHeight="false" outlineLevel="0" collapsed="false">
      <c r="A332" s="2"/>
      <c r="B332" s="37"/>
      <c r="C332" s="2"/>
      <c r="D332" s="2"/>
      <c r="E332" s="2"/>
      <c r="F332" s="2"/>
      <c r="G332" s="2"/>
      <c r="H332" s="37"/>
      <c r="I332" s="2"/>
      <c r="J332" s="37"/>
      <c r="K332" s="27" t="str">
        <f aca="false">IF(A332="","",IF(H332="","Open","Closed"))</f>
        <v/>
      </c>
      <c r="L332" s="27" t="str">
        <f aca="false">IF(A332="","",IF(H332="",AsOf-B332,H332-B332))</f>
        <v/>
      </c>
      <c r="M332" s="27" t="str">
        <f aca="false">IF(A332="","",IF(AND(K332="Open",L332&gt;Target),"Yes","No"))</f>
        <v/>
      </c>
      <c r="N332" s="27" t="str">
        <f aca="false">IF(K332&lt;&gt;"Open","",IF(L332&lt;=30,"0-30",IF(L332&lt;=60,"31-60",IF(L332&lt;=90,"61-90","90+"))))</f>
        <v/>
      </c>
      <c r="O332" s="27" t="str">
        <f aca="false">IF(A332="","",IF(COUNTIFS($D$5:$D$400,D332,$F$5:$F$400,F332,$B$5:$B$400,"&gt;="&amp;(B332-RepeatWin),$B$5:$B$400,"&lt;"&amp;B332)&gt;0,"Yes","No"))</f>
        <v/>
      </c>
      <c r="P332" s="35" t="str">
        <f aca="false">IF(OR(I332="",H332=""),"",H332+CapaDue)</f>
        <v/>
      </c>
      <c r="Q332" s="27" t="str">
        <f aca="false">IF(A332="","",IF(I332="","Not required",IF(J332&lt;&gt;"","Closed",IF(H332="","Awaiting dev. close",IF(AsOf&gt;P332,"Overdue","Open")))))</f>
        <v/>
      </c>
      <c r="R332" s="27" t="str">
        <f aca="false">IF(J332="","",IF(COUNTIFS($D$5:$D$400,D332,$F$5:$F$400,F332,$B$5:$B$400,"&gt;"&amp;J332,$B$5:$B$400,"&lt;="&amp;(J332+EffWin))&gt;0,"Ineffective",IF(AsOf-J332&gt;=EffWin,"Effective","Check pending")))</f>
        <v/>
      </c>
      <c r="S332" s="36" t="str">
        <f aca="false">IF(A332="","",DATE(YEAR(B332),MONTH(B332),1))</f>
        <v/>
      </c>
      <c r="T332" s="36" t="str">
        <f aca="false">IF(H332="","",DATE(YEAR(H332),MONTH(H332),1))</f>
        <v/>
      </c>
      <c r="U332" s="27" t="str">
        <f aca="false">IF(H332="","",IF(AsOf-H332&lt;=90,L332,""))</f>
        <v/>
      </c>
      <c r="V332" s="27" t="str">
        <f aca="false">IF(H332="","",IF(AND(AsOf-H332&gt;90,AsOf-H332&lt;=270),L332,""))</f>
        <v/>
      </c>
    </row>
    <row r="333" customFormat="false" ht="15" hidden="false" customHeight="false" outlineLevel="0" collapsed="false">
      <c r="A333" s="2"/>
      <c r="B333" s="37"/>
      <c r="C333" s="2"/>
      <c r="D333" s="2"/>
      <c r="E333" s="2"/>
      <c r="F333" s="2"/>
      <c r="G333" s="2"/>
      <c r="H333" s="37"/>
      <c r="I333" s="2"/>
      <c r="J333" s="37"/>
      <c r="K333" s="27" t="str">
        <f aca="false">IF(A333="","",IF(H333="","Open","Closed"))</f>
        <v/>
      </c>
      <c r="L333" s="27" t="str">
        <f aca="false">IF(A333="","",IF(H333="",AsOf-B333,H333-B333))</f>
        <v/>
      </c>
      <c r="M333" s="27" t="str">
        <f aca="false">IF(A333="","",IF(AND(K333="Open",L333&gt;Target),"Yes","No"))</f>
        <v/>
      </c>
      <c r="N333" s="27" t="str">
        <f aca="false">IF(K333&lt;&gt;"Open","",IF(L333&lt;=30,"0-30",IF(L333&lt;=60,"31-60",IF(L333&lt;=90,"61-90","90+"))))</f>
        <v/>
      </c>
      <c r="O333" s="27" t="str">
        <f aca="false">IF(A333="","",IF(COUNTIFS($D$5:$D$400,D333,$F$5:$F$400,F333,$B$5:$B$400,"&gt;="&amp;(B333-RepeatWin),$B$5:$B$400,"&lt;"&amp;B333)&gt;0,"Yes","No"))</f>
        <v/>
      </c>
      <c r="P333" s="35" t="str">
        <f aca="false">IF(OR(I333="",H333=""),"",H333+CapaDue)</f>
        <v/>
      </c>
      <c r="Q333" s="27" t="str">
        <f aca="false">IF(A333="","",IF(I333="","Not required",IF(J333&lt;&gt;"","Closed",IF(H333="","Awaiting dev. close",IF(AsOf&gt;P333,"Overdue","Open")))))</f>
        <v/>
      </c>
      <c r="R333" s="27" t="str">
        <f aca="false">IF(J333="","",IF(COUNTIFS($D$5:$D$400,D333,$F$5:$F$400,F333,$B$5:$B$400,"&gt;"&amp;J333,$B$5:$B$400,"&lt;="&amp;(J333+EffWin))&gt;0,"Ineffective",IF(AsOf-J333&gt;=EffWin,"Effective","Check pending")))</f>
        <v/>
      </c>
      <c r="S333" s="36" t="str">
        <f aca="false">IF(A333="","",DATE(YEAR(B333),MONTH(B333),1))</f>
        <v/>
      </c>
      <c r="T333" s="36" t="str">
        <f aca="false">IF(H333="","",DATE(YEAR(H333),MONTH(H333),1))</f>
        <v/>
      </c>
      <c r="U333" s="27" t="str">
        <f aca="false">IF(H333="","",IF(AsOf-H333&lt;=90,L333,""))</f>
        <v/>
      </c>
      <c r="V333" s="27" t="str">
        <f aca="false">IF(H333="","",IF(AND(AsOf-H333&gt;90,AsOf-H333&lt;=270),L333,""))</f>
        <v/>
      </c>
    </row>
    <row r="334" customFormat="false" ht="15" hidden="false" customHeight="false" outlineLevel="0" collapsed="false">
      <c r="A334" s="2"/>
      <c r="B334" s="37"/>
      <c r="C334" s="2"/>
      <c r="D334" s="2"/>
      <c r="E334" s="2"/>
      <c r="F334" s="2"/>
      <c r="G334" s="2"/>
      <c r="H334" s="37"/>
      <c r="I334" s="2"/>
      <c r="J334" s="37"/>
      <c r="K334" s="27" t="str">
        <f aca="false">IF(A334="","",IF(H334="","Open","Closed"))</f>
        <v/>
      </c>
      <c r="L334" s="27" t="str">
        <f aca="false">IF(A334="","",IF(H334="",AsOf-B334,H334-B334))</f>
        <v/>
      </c>
      <c r="M334" s="27" t="str">
        <f aca="false">IF(A334="","",IF(AND(K334="Open",L334&gt;Target),"Yes","No"))</f>
        <v/>
      </c>
      <c r="N334" s="27" t="str">
        <f aca="false">IF(K334&lt;&gt;"Open","",IF(L334&lt;=30,"0-30",IF(L334&lt;=60,"31-60",IF(L334&lt;=90,"61-90","90+"))))</f>
        <v/>
      </c>
      <c r="O334" s="27" t="str">
        <f aca="false">IF(A334="","",IF(COUNTIFS($D$5:$D$400,D334,$F$5:$F$400,F334,$B$5:$B$400,"&gt;="&amp;(B334-RepeatWin),$B$5:$B$400,"&lt;"&amp;B334)&gt;0,"Yes","No"))</f>
        <v/>
      </c>
      <c r="P334" s="35" t="str">
        <f aca="false">IF(OR(I334="",H334=""),"",H334+CapaDue)</f>
        <v/>
      </c>
      <c r="Q334" s="27" t="str">
        <f aca="false">IF(A334="","",IF(I334="","Not required",IF(J334&lt;&gt;"","Closed",IF(H334="","Awaiting dev. close",IF(AsOf&gt;P334,"Overdue","Open")))))</f>
        <v/>
      </c>
      <c r="R334" s="27" t="str">
        <f aca="false">IF(J334="","",IF(COUNTIFS($D$5:$D$400,D334,$F$5:$F$400,F334,$B$5:$B$400,"&gt;"&amp;J334,$B$5:$B$400,"&lt;="&amp;(J334+EffWin))&gt;0,"Ineffective",IF(AsOf-J334&gt;=EffWin,"Effective","Check pending")))</f>
        <v/>
      </c>
      <c r="S334" s="36" t="str">
        <f aca="false">IF(A334="","",DATE(YEAR(B334),MONTH(B334),1))</f>
        <v/>
      </c>
      <c r="T334" s="36" t="str">
        <f aca="false">IF(H334="","",DATE(YEAR(H334),MONTH(H334),1))</f>
        <v/>
      </c>
      <c r="U334" s="27" t="str">
        <f aca="false">IF(H334="","",IF(AsOf-H334&lt;=90,L334,""))</f>
        <v/>
      </c>
      <c r="V334" s="27" t="str">
        <f aca="false">IF(H334="","",IF(AND(AsOf-H334&gt;90,AsOf-H334&lt;=270),L334,""))</f>
        <v/>
      </c>
    </row>
    <row r="335" customFormat="false" ht="15" hidden="false" customHeight="false" outlineLevel="0" collapsed="false">
      <c r="A335" s="2"/>
      <c r="B335" s="37"/>
      <c r="C335" s="2"/>
      <c r="D335" s="2"/>
      <c r="E335" s="2"/>
      <c r="F335" s="2"/>
      <c r="G335" s="2"/>
      <c r="H335" s="37"/>
      <c r="I335" s="2"/>
      <c r="J335" s="37"/>
      <c r="K335" s="27" t="str">
        <f aca="false">IF(A335="","",IF(H335="","Open","Closed"))</f>
        <v/>
      </c>
      <c r="L335" s="27" t="str">
        <f aca="false">IF(A335="","",IF(H335="",AsOf-B335,H335-B335))</f>
        <v/>
      </c>
      <c r="M335" s="27" t="str">
        <f aca="false">IF(A335="","",IF(AND(K335="Open",L335&gt;Target),"Yes","No"))</f>
        <v/>
      </c>
      <c r="N335" s="27" t="str">
        <f aca="false">IF(K335&lt;&gt;"Open","",IF(L335&lt;=30,"0-30",IF(L335&lt;=60,"31-60",IF(L335&lt;=90,"61-90","90+"))))</f>
        <v/>
      </c>
      <c r="O335" s="27" t="str">
        <f aca="false">IF(A335="","",IF(COUNTIFS($D$5:$D$400,D335,$F$5:$F$400,F335,$B$5:$B$400,"&gt;="&amp;(B335-RepeatWin),$B$5:$B$400,"&lt;"&amp;B335)&gt;0,"Yes","No"))</f>
        <v/>
      </c>
      <c r="P335" s="35" t="str">
        <f aca="false">IF(OR(I335="",H335=""),"",H335+CapaDue)</f>
        <v/>
      </c>
      <c r="Q335" s="27" t="str">
        <f aca="false">IF(A335="","",IF(I335="","Not required",IF(J335&lt;&gt;"","Closed",IF(H335="","Awaiting dev. close",IF(AsOf&gt;P335,"Overdue","Open")))))</f>
        <v/>
      </c>
      <c r="R335" s="27" t="str">
        <f aca="false">IF(J335="","",IF(COUNTIFS($D$5:$D$400,D335,$F$5:$F$400,F335,$B$5:$B$400,"&gt;"&amp;J335,$B$5:$B$400,"&lt;="&amp;(J335+EffWin))&gt;0,"Ineffective",IF(AsOf-J335&gt;=EffWin,"Effective","Check pending")))</f>
        <v/>
      </c>
      <c r="S335" s="36" t="str">
        <f aca="false">IF(A335="","",DATE(YEAR(B335),MONTH(B335),1))</f>
        <v/>
      </c>
      <c r="T335" s="36" t="str">
        <f aca="false">IF(H335="","",DATE(YEAR(H335),MONTH(H335),1))</f>
        <v/>
      </c>
      <c r="U335" s="27" t="str">
        <f aca="false">IF(H335="","",IF(AsOf-H335&lt;=90,L335,""))</f>
        <v/>
      </c>
      <c r="V335" s="27" t="str">
        <f aca="false">IF(H335="","",IF(AND(AsOf-H335&gt;90,AsOf-H335&lt;=270),L335,""))</f>
        <v/>
      </c>
    </row>
    <row r="336" customFormat="false" ht="15" hidden="false" customHeight="false" outlineLevel="0" collapsed="false">
      <c r="A336" s="2"/>
      <c r="B336" s="37"/>
      <c r="C336" s="2"/>
      <c r="D336" s="2"/>
      <c r="E336" s="2"/>
      <c r="F336" s="2"/>
      <c r="G336" s="2"/>
      <c r="H336" s="37"/>
      <c r="I336" s="2"/>
      <c r="J336" s="37"/>
      <c r="K336" s="27" t="str">
        <f aca="false">IF(A336="","",IF(H336="","Open","Closed"))</f>
        <v/>
      </c>
      <c r="L336" s="27" t="str">
        <f aca="false">IF(A336="","",IF(H336="",AsOf-B336,H336-B336))</f>
        <v/>
      </c>
      <c r="M336" s="27" t="str">
        <f aca="false">IF(A336="","",IF(AND(K336="Open",L336&gt;Target),"Yes","No"))</f>
        <v/>
      </c>
      <c r="N336" s="27" t="str">
        <f aca="false">IF(K336&lt;&gt;"Open","",IF(L336&lt;=30,"0-30",IF(L336&lt;=60,"31-60",IF(L336&lt;=90,"61-90","90+"))))</f>
        <v/>
      </c>
      <c r="O336" s="27" t="str">
        <f aca="false">IF(A336="","",IF(COUNTIFS($D$5:$D$400,D336,$F$5:$F$400,F336,$B$5:$B$400,"&gt;="&amp;(B336-RepeatWin),$B$5:$B$400,"&lt;"&amp;B336)&gt;0,"Yes","No"))</f>
        <v/>
      </c>
      <c r="P336" s="35" t="str">
        <f aca="false">IF(OR(I336="",H336=""),"",H336+CapaDue)</f>
        <v/>
      </c>
      <c r="Q336" s="27" t="str">
        <f aca="false">IF(A336="","",IF(I336="","Not required",IF(J336&lt;&gt;"","Closed",IF(H336="","Awaiting dev. close",IF(AsOf&gt;P336,"Overdue","Open")))))</f>
        <v/>
      </c>
      <c r="R336" s="27" t="str">
        <f aca="false">IF(J336="","",IF(COUNTIFS($D$5:$D$400,D336,$F$5:$F$400,F336,$B$5:$B$400,"&gt;"&amp;J336,$B$5:$B$400,"&lt;="&amp;(J336+EffWin))&gt;0,"Ineffective",IF(AsOf-J336&gt;=EffWin,"Effective","Check pending")))</f>
        <v/>
      </c>
      <c r="S336" s="36" t="str">
        <f aca="false">IF(A336="","",DATE(YEAR(B336),MONTH(B336),1))</f>
        <v/>
      </c>
      <c r="T336" s="36" t="str">
        <f aca="false">IF(H336="","",DATE(YEAR(H336),MONTH(H336),1))</f>
        <v/>
      </c>
      <c r="U336" s="27" t="str">
        <f aca="false">IF(H336="","",IF(AsOf-H336&lt;=90,L336,""))</f>
        <v/>
      </c>
      <c r="V336" s="27" t="str">
        <f aca="false">IF(H336="","",IF(AND(AsOf-H336&gt;90,AsOf-H336&lt;=270),L336,""))</f>
        <v/>
      </c>
    </row>
    <row r="337" customFormat="false" ht="15" hidden="false" customHeight="false" outlineLevel="0" collapsed="false">
      <c r="A337" s="2"/>
      <c r="B337" s="37"/>
      <c r="C337" s="2"/>
      <c r="D337" s="2"/>
      <c r="E337" s="2"/>
      <c r="F337" s="2"/>
      <c r="G337" s="2"/>
      <c r="H337" s="37"/>
      <c r="I337" s="2"/>
      <c r="J337" s="37"/>
      <c r="K337" s="27" t="str">
        <f aca="false">IF(A337="","",IF(H337="","Open","Closed"))</f>
        <v/>
      </c>
      <c r="L337" s="27" t="str">
        <f aca="false">IF(A337="","",IF(H337="",AsOf-B337,H337-B337))</f>
        <v/>
      </c>
      <c r="M337" s="27" t="str">
        <f aca="false">IF(A337="","",IF(AND(K337="Open",L337&gt;Target),"Yes","No"))</f>
        <v/>
      </c>
      <c r="N337" s="27" t="str">
        <f aca="false">IF(K337&lt;&gt;"Open","",IF(L337&lt;=30,"0-30",IF(L337&lt;=60,"31-60",IF(L337&lt;=90,"61-90","90+"))))</f>
        <v/>
      </c>
      <c r="O337" s="27" t="str">
        <f aca="false">IF(A337="","",IF(COUNTIFS($D$5:$D$400,D337,$F$5:$F$400,F337,$B$5:$B$400,"&gt;="&amp;(B337-RepeatWin),$B$5:$B$400,"&lt;"&amp;B337)&gt;0,"Yes","No"))</f>
        <v/>
      </c>
      <c r="P337" s="35" t="str">
        <f aca="false">IF(OR(I337="",H337=""),"",H337+CapaDue)</f>
        <v/>
      </c>
      <c r="Q337" s="27" t="str">
        <f aca="false">IF(A337="","",IF(I337="","Not required",IF(J337&lt;&gt;"","Closed",IF(H337="","Awaiting dev. close",IF(AsOf&gt;P337,"Overdue","Open")))))</f>
        <v/>
      </c>
      <c r="R337" s="27" t="str">
        <f aca="false">IF(J337="","",IF(COUNTIFS($D$5:$D$400,D337,$F$5:$F$400,F337,$B$5:$B$400,"&gt;"&amp;J337,$B$5:$B$400,"&lt;="&amp;(J337+EffWin))&gt;0,"Ineffective",IF(AsOf-J337&gt;=EffWin,"Effective","Check pending")))</f>
        <v/>
      </c>
      <c r="S337" s="36" t="str">
        <f aca="false">IF(A337="","",DATE(YEAR(B337),MONTH(B337),1))</f>
        <v/>
      </c>
      <c r="T337" s="36" t="str">
        <f aca="false">IF(H337="","",DATE(YEAR(H337),MONTH(H337),1))</f>
        <v/>
      </c>
      <c r="U337" s="27" t="str">
        <f aca="false">IF(H337="","",IF(AsOf-H337&lt;=90,L337,""))</f>
        <v/>
      </c>
      <c r="V337" s="27" t="str">
        <f aca="false">IF(H337="","",IF(AND(AsOf-H337&gt;90,AsOf-H337&lt;=270),L337,""))</f>
        <v/>
      </c>
    </row>
    <row r="338" customFormat="false" ht="15" hidden="false" customHeight="false" outlineLevel="0" collapsed="false">
      <c r="A338" s="2"/>
      <c r="B338" s="37"/>
      <c r="C338" s="2"/>
      <c r="D338" s="2"/>
      <c r="E338" s="2"/>
      <c r="F338" s="2"/>
      <c r="G338" s="2"/>
      <c r="H338" s="37"/>
      <c r="I338" s="2"/>
      <c r="J338" s="37"/>
      <c r="K338" s="27" t="str">
        <f aca="false">IF(A338="","",IF(H338="","Open","Closed"))</f>
        <v/>
      </c>
      <c r="L338" s="27" t="str">
        <f aca="false">IF(A338="","",IF(H338="",AsOf-B338,H338-B338))</f>
        <v/>
      </c>
      <c r="M338" s="27" t="str">
        <f aca="false">IF(A338="","",IF(AND(K338="Open",L338&gt;Target),"Yes","No"))</f>
        <v/>
      </c>
      <c r="N338" s="27" t="str">
        <f aca="false">IF(K338&lt;&gt;"Open","",IF(L338&lt;=30,"0-30",IF(L338&lt;=60,"31-60",IF(L338&lt;=90,"61-90","90+"))))</f>
        <v/>
      </c>
      <c r="O338" s="27" t="str">
        <f aca="false">IF(A338="","",IF(COUNTIFS($D$5:$D$400,D338,$F$5:$F$400,F338,$B$5:$B$400,"&gt;="&amp;(B338-RepeatWin),$B$5:$B$400,"&lt;"&amp;B338)&gt;0,"Yes","No"))</f>
        <v/>
      </c>
      <c r="P338" s="35" t="str">
        <f aca="false">IF(OR(I338="",H338=""),"",H338+CapaDue)</f>
        <v/>
      </c>
      <c r="Q338" s="27" t="str">
        <f aca="false">IF(A338="","",IF(I338="","Not required",IF(J338&lt;&gt;"","Closed",IF(H338="","Awaiting dev. close",IF(AsOf&gt;P338,"Overdue","Open")))))</f>
        <v/>
      </c>
      <c r="R338" s="27" t="str">
        <f aca="false">IF(J338="","",IF(COUNTIFS($D$5:$D$400,D338,$F$5:$F$400,F338,$B$5:$B$400,"&gt;"&amp;J338,$B$5:$B$400,"&lt;="&amp;(J338+EffWin))&gt;0,"Ineffective",IF(AsOf-J338&gt;=EffWin,"Effective","Check pending")))</f>
        <v/>
      </c>
      <c r="S338" s="36" t="str">
        <f aca="false">IF(A338="","",DATE(YEAR(B338),MONTH(B338),1))</f>
        <v/>
      </c>
      <c r="T338" s="36" t="str">
        <f aca="false">IF(H338="","",DATE(YEAR(H338),MONTH(H338),1))</f>
        <v/>
      </c>
      <c r="U338" s="27" t="str">
        <f aca="false">IF(H338="","",IF(AsOf-H338&lt;=90,L338,""))</f>
        <v/>
      </c>
      <c r="V338" s="27" t="str">
        <f aca="false">IF(H338="","",IF(AND(AsOf-H338&gt;90,AsOf-H338&lt;=270),L338,""))</f>
        <v/>
      </c>
    </row>
    <row r="339" customFormat="false" ht="15" hidden="false" customHeight="false" outlineLevel="0" collapsed="false">
      <c r="A339" s="2"/>
      <c r="B339" s="37"/>
      <c r="C339" s="2"/>
      <c r="D339" s="2"/>
      <c r="E339" s="2"/>
      <c r="F339" s="2"/>
      <c r="G339" s="2"/>
      <c r="H339" s="37"/>
      <c r="I339" s="2"/>
      <c r="J339" s="37"/>
      <c r="K339" s="27" t="str">
        <f aca="false">IF(A339="","",IF(H339="","Open","Closed"))</f>
        <v/>
      </c>
      <c r="L339" s="27" t="str">
        <f aca="false">IF(A339="","",IF(H339="",AsOf-B339,H339-B339))</f>
        <v/>
      </c>
      <c r="M339" s="27" t="str">
        <f aca="false">IF(A339="","",IF(AND(K339="Open",L339&gt;Target),"Yes","No"))</f>
        <v/>
      </c>
      <c r="N339" s="27" t="str">
        <f aca="false">IF(K339&lt;&gt;"Open","",IF(L339&lt;=30,"0-30",IF(L339&lt;=60,"31-60",IF(L339&lt;=90,"61-90","90+"))))</f>
        <v/>
      </c>
      <c r="O339" s="27" t="str">
        <f aca="false">IF(A339="","",IF(COUNTIFS($D$5:$D$400,D339,$F$5:$F$400,F339,$B$5:$B$400,"&gt;="&amp;(B339-RepeatWin),$B$5:$B$400,"&lt;"&amp;B339)&gt;0,"Yes","No"))</f>
        <v/>
      </c>
      <c r="P339" s="35" t="str">
        <f aca="false">IF(OR(I339="",H339=""),"",H339+CapaDue)</f>
        <v/>
      </c>
      <c r="Q339" s="27" t="str">
        <f aca="false">IF(A339="","",IF(I339="","Not required",IF(J339&lt;&gt;"","Closed",IF(H339="","Awaiting dev. close",IF(AsOf&gt;P339,"Overdue","Open")))))</f>
        <v/>
      </c>
      <c r="R339" s="27" t="str">
        <f aca="false">IF(J339="","",IF(COUNTIFS($D$5:$D$400,D339,$F$5:$F$400,F339,$B$5:$B$400,"&gt;"&amp;J339,$B$5:$B$400,"&lt;="&amp;(J339+EffWin))&gt;0,"Ineffective",IF(AsOf-J339&gt;=EffWin,"Effective","Check pending")))</f>
        <v/>
      </c>
      <c r="S339" s="36" t="str">
        <f aca="false">IF(A339="","",DATE(YEAR(B339),MONTH(B339),1))</f>
        <v/>
      </c>
      <c r="T339" s="36" t="str">
        <f aca="false">IF(H339="","",DATE(YEAR(H339),MONTH(H339),1))</f>
        <v/>
      </c>
      <c r="U339" s="27" t="str">
        <f aca="false">IF(H339="","",IF(AsOf-H339&lt;=90,L339,""))</f>
        <v/>
      </c>
      <c r="V339" s="27" t="str">
        <f aca="false">IF(H339="","",IF(AND(AsOf-H339&gt;90,AsOf-H339&lt;=270),L339,""))</f>
        <v/>
      </c>
    </row>
    <row r="340" customFormat="false" ht="15" hidden="false" customHeight="false" outlineLevel="0" collapsed="false">
      <c r="A340" s="2"/>
      <c r="B340" s="37"/>
      <c r="C340" s="2"/>
      <c r="D340" s="2"/>
      <c r="E340" s="2"/>
      <c r="F340" s="2"/>
      <c r="G340" s="2"/>
      <c r="H340" s="37"/>
      <c r="I340" s="2"/>
      <c r="J340" s="37"/>
      <c r="K340" s="27" t="str">
        <f aca="false">IF(A340="","",IF(H340="","Open","Closed"))</f>
        <v/>
      </c>
      <c r="L340" s="27" t="str">
        <f aca="false">IF(A340="","",IF(H340="",AsOf-B340,H340-B340))</f>
        <v/>
      </c>
      <c r="M340" s="27" t="str">
        <f aca="false">IF(A340="","",IF(AND(K340="Open",L340&gt;Target),"Yes","No"))</f>
        <v/>
      </c>
      <c r="N340" s="27" t="str">
        <f aca="false">IF(K340&lt;&gt;"Open","",IF(L340&lt;=30,"0-30",IF(L340&lt;=60,"31-60",IF(L340&lt;=90,"61-90","90+"))))</f>
        <v/>
      </c>
      <c r="O340" s="27" t="str">
        <f aca="false">IF(A340="","",IF(COUNTIFS($D$5:$D$400,D340,$F$5:$F$400,F340,$B$5:$B$400,"&gt;="&amp;(B340-RepeatWin),$B$5:$B$400,"&lt;"&amp;B340)&gt;0,"Yes","No"))</f>
        <v/>
      </c>
      <c r="P340" s="35" t="str">
        <f aca="false">IF(OR(I340="",H340=""),"",H340+CapaDue)</f>
        <v/>
      </c>
      <c r="Q340" s="27" t="str">
        <f aca="false">IF(A340="","",IF(I340="","Not required",IF(J340&lt;&gt;"","Closed",IF(H340="","Awaiting dev. close",IF(AsOf&gt;P340,"Overdue","Open")))))</f>
        <v/>
      </c>
      <c r="R340" s="27" t="str">
        <f aca="false">IF(J340="","",IF(COUNTIFS($D$5:$D$400,D340,$F$5:$F$400,F340,$B$5:$B$400,"&gt;"&amp;J340,$B$5:$B$400,"&lt;="&amp;(J340+EffWin))&gt;0,"Ineffective",IF(AsOf-J340&gt;=EffWin,"Effective","Check pending")))</f>
        <v/>
      </c>
      <c r="S340" s="36" t="str">
        <f aca="false">IF(A340="","",DATE(YEAR(B340),MONTH(B340),1))</f>
        <v/>
      </c>
      <c r="T340" s="36" t="str">
        <f aca="false">IF(H340="","",DATE(YEAR(H340),MONTH(H340),1))</f>
        <v/>
      </c>
      <c r="U340" s="27" t="str">
        <f aca="false">IF(H340="","",IF(AsOf-H340&lt;=90,L340,""))</f>
        <v/>
      </c>
      <c r="V340" s="27" t="str">
        <f aca="false">IF(H340="","",IF(AND(AsOf-H340&gt;90,AsOf-H340&lt;=270),L340,""))</f>
        <v/>
      </c>
    </row>
    <row r="341" customFormat="false" ht="15" hidden="false" customHeight="false" outlineLevel="0" collapsed="false">
      <c r="A341" s="2"/>
      <c r="B341" s="37"/>
      <c r="C341" s="2"/>
      <c r="D341" s="2"/>
      <c r="E341" s="2"/>
      <c r="F341" s="2"/>
      <c r="G341" s="2"/>
      <c r="H341" s="37"/>
      <c r="I341" s="2"/>
      <c r="J341" s="37"/>
      <c r="K341" s="27" t="str">
        <f aca="false">IF(A341="","",IF(H341="","Open","Closed"))</f>
        <v/>
      </c>
      <c r="L341" s="27" t="str">
        <f aca="false">IF(A341="","",IF(H341="",AsOf-B341,H341-B341))</f>
        <v/>
      </c>
      <c r="M341" s="27" t="str">
        <f aca="false">IF(A341="","",IF(AND(K341="Open",L341&gt;Target),"Yes","No"))</f>
        <v/>
      </c>
      <c r="N341" s="27" t="str">
        <f aca="false">IF(K341&lt;&gt;"Open","",IF(L341&lt;=30,"0-30",IF(L341&lt;=60,"31-60",IF(L341&lt;=90,"61-90","90+"))))</f>
        <v/>
      </c>
      <c r="O341" s="27" t="str">
        <f aca="false">IF(A341="","",IF(COUNTIFS($D$5:$D$400,D341,$F$5:$F$400,F341,$B$5:$B$400,"&gt;="&amp;(B341-RepeatWin),$B$5:$B$400,"&lt;"&amp;B341)&gt;0,"Yes","No"))</f>
        <v/>
      </c>
      <c r="P341" s="35" t="str">
        <f aca="false">IF(OR(I341="",H341=""),"",H341+CapaDue)</f>
        <v/>
      </c>
      <c r="Q341" s="27" t="str">
        <f aca="false">IF(A341="","",IF(I341="","Not required",IF(J341&lt;&gt;"","Closed",IF(H341="","Awaiting dev. close",IF(AsOf&gt;P341,"Overdue","Open")))))</f>
        <v/>
      </c>
      <c r="R341" s="27" t="str">
        <f aca="false">IF(J341="","",IF(COUNTIFS($D$5:$D$400,D341,$F$5:$F$400,F341,$B$5:$B$400,"&gt;"&amp;J341,$B$5:$B$400,"&lt;="&amp;(J341+EffWin))&gt;0,"Ineffective",IF(AsOf-J341&gt;=EffWin,"Effective","Check pending")))</f>
        <v/>
      </c>
      <c r="S341" s="36" t="str">
        <f aca="false">IF(A341="","",DATE(YEAR(B341),MONTH(B341),1))</f>
        <v/>
      </c>
      <c r="T341" s="36" t="str">
        <f aca="false">IF(H341="","",DATE(YEAR(H341),MONTH(H341),1))</f>
        <v/>
      </c>
      <c r="U341" s="27" t="str">
        <f aca="false">IF(H341="","",IF(AsOf-H341&lt;=90,L341,""))</f>
        <v/>
      </c>
      <c r="V341" s="27" t="str">
        <f aca="false">IF(H341="","",IF(AND(AsOf-H341&gt;90,AsOf-H341&lt;=270),L341,""))</f>
        <v/>
      </c>
    </row>
    <row r="342" customFormat="false" ht="15" hidden="false" customHeight="false" outlineLevel="0" collapsed="false">
      <c r="A342" s="2"/>
      <c r="B342" s="37"/>
      <c r="C342" s="2"/>
      <c r="D342" s="2"/>
      <c r="E342" s="2"/>
      <c r="F342" s="2"/>
      <c r="G342" s="2"/>
      <c r="H342" s="37"/>
      <c r="I342" s="2"/>
      <c r="J342" s="37"/>
      <c r="K342" s="27" t="str">
        <f aca="false">IF(A342="","",IF(H342="","Open","Closed"))</f>
        <v/>
      </c>
      <c r="L342" s="27" t="str">
        <f aca="false">IF(A342="","",IF(H342="",AsOf-B342,H342-B342))</f>
        <v/>
      </c>
      <c r="M342" s="27" t="str">
        <f aca="false">IF(A342="","",IF(AND(K342="Open",L342&gt;Target),"Yes","No"))</f>
        <v/>
      </c>
      <c r="N342" s="27" t="str">
        <f aca="false">IF(K342&lt;&gt;"Open","",IF(L342&lt;=30,"0-30",IF(L342&lt;=60,"31-60",IF(L342&lt;=90,"61-90","90+"))))</f>
        <v/>
      </c>
      <c r="O342" s="27" t="str">
        <f aca="false">IF(A342="","",IF(COUNTIFS($D$5:$D$400,D342,$F$5:$F$400,F342,$B$5:$B$400,"&gt;="&amp;(B342-RepeatWin),$B$5:$B$400,"&lt;"&amp;B342)&gt;0,"Yes","No"))</f>
        <v/>
      </c>
      <c r="P342" s="35" t="str">
        <f aca="false">IF(OR(I342="",H342=""),"",H342+CapaDue)</f>
        <v/>
      </c>
      <c r="Q342" s="27" t="str">
        <f aca="false">IF(A342="","",IF(I342="","Not required",IF(J342&lt;&gt;"","Closed",IF(H342="","Awaiting dev. close",IF(AsOf&gt;P342,"Overdue","Open")))))</f>
        <v/>
      </c>
      <c r="R342" s="27" t="str">
        <f aca="false">IF(J342="","",IF(COUNTIFS($D$5:$D$400,D342,$F$5:$F$400,F342,$B$5:$B$400,"&gt;"&amp;J342,$B$5:$B$400,"&lt;="&amp;(J342+EffWin))&gt;0,"Ineffective",IF(AsOf-J342&gt;=EffWin,"Effective","Check pending")))</f>
        <v/>
      </c>
      <c r="S342" s="36" t="str">
        <f aca="false">IF(A342="","",DATE(YEAR(B342),MONTH(B342),1))</f>
        <v/>
      </c>
      <c r="T342" s="36" t="str">
        <f aca="false">IF(H342="","",DATE(YEAR(H342),MONTH(H342),1))</f>
        <v/>
      </c>
      <c r="U342" s="27" t="str">
        <f aca="false">IF(H342="","",IF(AsOf-H342&lt;=90,L342,""))</f>
        <v/>
      </c>
      <c r="V342" s="27" t="str">
        <f aca="false">IF(H342="","",IF(AND(AsOf-H342&gt;90,AsOf-H342&lt;=270),L342,""))</f>
        <v/>
      </c>
    </row>
    <row r="343" customFormat="false" ht="15" hidden="false" customHeight="false" outlineLevel="0" collapsed="false">
      <c r="A343" s="2"/>
      <c r="B343" s="37"/>
      <c r="C343" s="2"/>
      <c r="D343" s="2"/>
      <c r="E343" s="2"/>
      <c r="F343" s="2"/>
      <c r="G343" s="2"/>
      <c r="H343" s="37"/>
      <c r="I343" s="2"/>
      <c r="J343" s="37"/>
      <c r="K343" s="27" t="str">
        <f aca="false">IF(A343="","",IF(H343="","Open","Closed"))</f>
        <v/>
      </c>
      <c r="L343" s="27" t="str">
        <f aca="false">IF(A343="","",IF(H343="",AsOf-B343,H343-B343))</f>
        <v/>
      </c>
      <c r="M343" s="27" t="str">
        <f aca="false">IF(A343="","",IF(AND(K343="Open",L343&gt;Target),"Yes","No"))</f>
        <v/>
      </c>
      <c r="N343" s="27" t="str">
        <f aca="false">IF(K343&lt;&gt;"Open","",IF(L343&lt;=30,"0-30",IF(L343&lt;=60,"31-60",IF(L343&lt;=90,"61-90","90+"))))</f>
        <v/>
      </c>
      <c r="O343" s="27" t="str">
        <f aca="false">IF(A343="","",IF(COUNTIFS($D$5:$D$400,D343,$F$5:$F$400,F343,$B$5:$B$400,"&gt;="&amp;(B343-RepeatWin),$B$5:$B$400,"&lt;"&amp;B343)&gt;0,"Yes","No"))</f>
        <v/>
      </c>
      <c r="P343" s="35" t="str">
        <f aca="false">IF(OR(I343="",H343=""),"",H343+CapaDue)</f>
        <v/>
      </c>
      <c r="Q343" s="27" t="str">
        <f aca="false">IF(A343="","",IF(I343="","Not required",IF(J343&lt;&gt;"","Closed",IF(H343="","Awaiting dev. close",IF(AsOf&gt;P343,"Overdue","Open")))))</f>
        <v/>
      </c>
      <c r="R343" s="27" t="str">
        <f aca="false">IF(J343="","",IF(COUNTIFS($D$5:$D$400,D343,$F$5:$F$400,F343,$B$5:$B$400,"&gt;"&amp;J343,$B$5:$B$400,"&lt;="&amp;(J343+EffWin))&gt;0,"Ineffective",IF(AsOf-J343&gt;=EffWin,"Effective","Check pending")))</f>
        <v/>
      </c>
      <c r="S343" s="36" t="str">
        <f aca="false">IF(A343="","",DATE(YEAR(B343),MONTH(B343),1))</f>
        <v/>
      </c>
      <c r="T343" s="36" t="str">
        <f aca="false">IF(H343="","",DATE(YEAR(H343),MONTH(H343),1))</f>
        <v/>
      </c>
      <c r="U343" s="27" t="str">
        <f aca="false">IF(H343="","",IF(AsOf-H343&lt;=90,L343,""))</f>
        <v/>
      </c>
      <c r="V343" s="27" t="str">
        <f aca="false">IF(H343="","",IF(AND(AsOf-H343&gt;90,AsOf-H343&lt;=270),L343,""))</f>
        <v/>
      </c>
    </row>
    <row r="344" customFormat="false" ht="15" hidden="false" customHeight="false" outlineLevel="0" collapsed="false">
      <c r="A344" s="2"/>
      <c r="B344" s="37"/>
      <c r="C344" s="2"/>
      <c r="D344" s="2"/>
      <c r="E344" s="2"/>
      <c r="F344" s="2"/>
      <c r="G344" s="2"/>
      <c r="H344" s="37"/>
      <c r="I344" s="2"/>
      <c r="J344" s="37"/>
      <c r="K344" s="27" t="str">
        <f aca="false">IF(A344="","",IF(H344="","Open","Closed"))</f>
        <v/>
      </c>
      <c r="L344" s="27" t="str">
        <f aca="false">IF(A344="","",IF(H344="",AsOf-B344,H344-B344))</f>
        <v/>
      </c>
      <c r="M344" s="27" t="str">
        <f aca="false">IF(A344="","",IF(AND(K344="Open",L344&gt;Target),"Yes","No"))</f>
        <v/>
      </c>
      <c r="N344" s="27" t="str">
        <f aca="false">IF(K344&lt;&gt;"Open","",IF(L344&lt;=30,"0-30",IF(L344&lt;=60,"31-60",IF(L344&lt;=90,"61-90","90+"))))</f>
        <v/>
      </c>
      <c r="O344" s="27" t="str">
        <f aca="false">IF(A344="","",IF(COUNTIFS($D$5:$D$400,D344,$F$5:$F$400,F344,$B$5:$B$400,"&gt;="&amp;(B344-RepeatWin),$B$5:$B$400,"&lt;"&amp;B344)&gt;0,"Yes","No"))</f>
        <v/>
      </c>
      <c r="P344" s="35" t="str">
        <f aca="false">IF(OR(I344="",H344=""),"",H344+CapaDue)</f>
        <v/>
      </c>
      <c r="Q344" s="27" t="str">
        <f aca="false">IF(A344="","",IF(I344="","Not required",IF(J344&lt;&gt;"","Closed",IF(H344="","Awaiting dev. close",IF(AsOf&gt;P344,"Overdue","Open")))))</f>
        <v/>
      </c>
      <c r="R344" s="27" t="str">
        <f aca="false">IF(J344="","",IF(COUNTIFS($D$5:$D$400,D344,$F$5:$F$400,F344,$B$5:$B$400,"&gt;"&amp;J344,$B$5:$B$400,"&lt;="&amp;(J344+EffWin))&gt;0,"Ineffective",IF(AsOf-J344&gt;=EffWin,"Effective","Check pending")))</f>
        <v/>
      </c>
      <c r="S344" s="36" t="str">
        <f aca="false">IF(A344="","",DATE(YEAR(B344),MONTH(B344),1))</f>
        <v/>
      </c>
      <c r="T344" s="36" t="str">
        <f aca="false">IF(H344="","",DATE(YEAR(H344),MONTH(H344),1))</f>
        <v/>
      </c>
      <c r="U344" s="27" t="str">
        <f aca="false">IF(H344="","",IF(AsOf-H344&lt;=90,L344,""))</f>
        <v/>
      </c>
      <c r="V344" s="27" t="str">
        <f aca="false">IF(H344="","",IF(AND(AsOf-H344&gt;90,AsOf-H344&lt;=270),L344,""))</f>
        <v/>
      </c>
    </row>
    <row r="345" customFormat="false" ht="15" hidden="false" customHeight="false" outlineLevel="0" collapsed="false">
      <c r="A345" s="2"/>
      <c r="B345" s="37"/>
      <c r="C345" s="2"/>
      <c r="D345" s="2"/>
      <c r="E345" s="2"/>
      <c r="F345" s="2"/>
      <c r="G345" s="2"/>
      <c r="H345" s="37"/>
      <c r="I345" s="2"/>
      <c r="J345" s="37"/>
      <c r="K345" s="27" t="str">
        <f aca="false">IF(A345="","",IF(H345="","Open","Closed"))</f>
        <v/>
      </c>
      <c r="L345" s="27" t="str">
        <f aca="false">IF(A345="","",IF(H345="",AsOf-B345,H345-B345))</f>
        <v/>
      </c>
      <c r="M345" s="27" t="str">
        <f aca="false">IF(A345="","",IF(AND(K345="Open",L345&gt;Target),"Yes","No"))</f>
        <v/>
      </c>
      <c r="N345" s="27" t="str">
        <f aca="false">IF(K345&lt;&gt;"Open","",IF(L345&lt;=30,"0-30",IF(L345&lt;=60,"31-60",IF(L345&lt;=90,"61-90","90+"))))</f>
        <v/>
      </c>
      <c r="O345" s="27" t="str">
        <f aca="false">IF(A345="","",IF(COUNTIFS($D$5:$D$400,D345,$F$5:$F$400,F345,$B$5:$B$400,"&gt;="&amp;(B345-RepeatWin),$B$5:$B$400,"&lt;"&amp;B345)&gt;0,"Yes","No"))</f>
        <v/>
      </c>
      <c r="P345" s="35" t="str">
        <f aca="false">IF(OR(I345="",H345=""),"",H345+CapaDue)</f>
        <v/>
      </c>
      <c r="Q345" s="27" t="str">
        <f aca="false">IF(A345="","",IF(I345="","Not required",IF(J345&lt;&gt;"","Closed",IF(H345="","Awaiting dev. close",IF(AsOf&gt;P345,"Overdue","Open")))))</f>
        <v/>
      </c>
      <c r="R345" s="27" t="str">
        <f aca="false">IF(J345="","",IF(COUNTIFS($D$5:$D$400,D345,$F$5:$F$400,F345,$B$5:$B$400,"&gt;"&amp;J345,$B$5:$B$400,"&lt;="&amp;(J345+EffWin))&gt;0,"Ineffective",IF(AsOf-J345&gt;=EffWin,"Effective","Check pending")))</f>
        <v/>
      </c>
      <c r="S345" s="36" t="str">
        <f aca="false">IF(A345="","",DATE(YEAR(B345),MONTH(B345),1))</f>
        <v/>
      </c>
      <c r="T345" s="36" t="str">
        <f aca="false">IF(H345="","",DATE(YEAR(H345),MONTH(H345),1))</f>
        <v/>
      </c>
      <c r="U345" s="27" t="str">
        <f aca="false">IF(H345="","",IF(AsOf-H345&lt;=90,L345,""))</f>
        <v/>
      </c>
      <c r="V345" s="27" t="str">
        <f aca="false">IF(H345="","",IF(AND(AsOf-H345&gt;90,AsOf-H345&lt;=270),L345,""))</f>
        <v/>
      </c>
    </row>
    <row r="346" customFormat="false" ht="15" hidden="false" customHeight="false" outlineLevel="0" collapsed="false">
      <c r="A346" s="2"/>
      <c r="B346" s="37"/>
      <c r="C346" s="2"/>
      <c r="D346" s="2"/>
      <c r="E346" s="2"/>
      <c r="F346" s="2"/>
      <c r="G346" s="2"/>
      <c r="H346" s="37"/>
      <c r="I346" s="2"/>
      <c r="J346" s="37"/>
      <c r="K346" s="27" t="str">
        <f aca="false">IF(A346="","",IF(H346="","Open","Closed"))</f>
        <v/>
      </c>
      <c r="L346" s="27" t="str">
        <f aca="false">IF(A346="","",IF(H346="",AsOf-B346,H346-B346))</f>
        <v/>
      </c>
      <c r="M346" s="27" t="str">
        <f aca="false">IF(A346="","",IF(AND(K346="Open",L346&gt;Target),"Yes","No"))</f>
        <v/>
      </c>
      <c r="N346" s="27" t="str">
        <f aca="false">IF(K346&lt;&gt;"Open","",IF(L346&lt;=30,"0-30",IF(L346&lt;=60,"31-60",IF(L346&lt;=90,"61-90","90+"))))</f>
        <v/>
      </c>
      <c r="O346" s="27" t="str">
        <f aca="false">IF(A346="","",IF(COUNTIFS($D$5:$D$400,D346,$F$5:$F$400,F346,$B$5:$B$400,"&gt;="&amp;(B346-RepeatWin),$B$5:$B$400,"&lt;"&amp;B346)&gt;0,"Yes","No"))</f>
        <v/>
      </c>
      <c r="P346" s="35" t="str">
        <f aca="false">IF(OR(I346="",H346=""),"",H346+CapaDue)</f>
        <v/>
      </c>
      <c r="Q346" s="27" t="str">
        <f aca="false">IF(A346="","",IF(I346="","Not required",IF(J346&lt;&gt;"","Closed",IF(H346="","Awaiting dev. close",IF(AsOf&gt;P346,"Overdue","Open")))))</f>
        <v/>
      </c>
      <c r="R346" s="27" t="str">
        <f aca="false">IF(J346="","",IF(COUNTIFS($D$5:$D$400,D346,$F$5:$F$400,F346,$B$5:$B$400,"&gt;"&amp;J346,$B$5:$B$400,"&lt;="&amp;(J346+EffWin))&gt;0,"Ineffective",IF(AsOf-J346&gt;=EffWin,"Effective","Check pending")))</f>
        <v/>
      </c>
      <c r="S346" s="36" t="str">
        <f aca="false">IF(A346="","",DATE(YEAR(B346),MONTH(B346),1))</f>
        <v/>
      </c>
      <c r="T346" s="36" t="str">
        <f aca="false">IF(H346="","",DATE(YEAR(H346),MONTH(H346),1))</f>
        <v/>
      </c>
      <c r="U346" s="27" t="str">
        <f aca="false">IF(H346="","",IF(AsOf-H346&lt;=90,L346,""))</f>
        <v/>
      </c>
      <c r="V346" s="27" t="str">
        <f aca="false">IF(H346="","",IF(AND(AsOf-H346&gt;90,AsOf-H346&lt;=270),L346,""))</f>
        <v/>
      </c>
    </row>
    <row r="347" customFormat="false" ht="15" hidden="false" customHeight="false" outlineLevel="0" collapsed="false">
      <c r="A347" s="2"/>
      <c r="B347" s="37"/>
      <c r="C347" s="2"/>
      <c r="D347" s="2"/>
      <c r="E347" s="2"/>
      <c r="F347" s="2"/>
      <c r="G347" s="2"/>
      <c r="H347" s="37"/>
      <c r="I347" s="2"/>
      <c r="J347" s="37"/>
      <c r="K347" s="27" t="str">
        <f aca="false">IF(A347="","",IF(H347="","Open","Closed"))</f>
        <v/>
      </c>
      <c r="L347" s="27" t="str">
        <f aca="false">IF(A347="","",IF(H347="",AsOf-B347,H347-B347))</f>
        <v/>
      </c>
      <c r="M347" s="27" t="str">
        <f aca="false">IF(A347="","",IF(AND(K347="Open",L347&gt;Target),"Yes","No"))</f>
        <v/>
      </c>
      <c r="N347" s="27" t="str">
        <f aca="false">IF(K347&lt;&gt;"Open","",IF(L347&lt;=30,"0-30",IF(L347&lt;=60,"31-60",IF(L347&lt;=90,"61-90","90+"))))</f>
        <v/>
      </c>
      <c r="O347" s="27" t="str">
        <f aca="false">IF(A347="","",IF(COUNTIFS($D$5:$D$400,D347,$F$5:$F$400,F347,$B$5:$B$400,"&gt;="&amp;(B347-RepeatWin),$B$5:$B$400,"&lt;"&amp;B347)&gt;0,"Yes","No"))</f>
        <v/>
      </c>
      <c r="P347" s="35" t="str">
        <f aca="false">IF(OR(I347="",H347=""),"",H347+CapaDue)</f>
        <v/>
      </c>
      <c r="Q347" s="27" t="str">
        <f aca="false">IF(A347="","",IF(I347="","Not required",IF(J347&lt;&gt;"","Closed",IF(H347="","Awaiting dev. close",IF(AsOf&gt;P347,"Overdue","Open")))))</f>
        <v/>
      </c>
      <c r="R347" s="27" t="str">
        <f aca="false">IF(J347="","",IF(COUNTIFS($D$5:$D$400,D347,$F$5:$F$400,F347,$B$5:$B$400,"&gt;"&amp;J347,$B$5:$B$400,"&lt;="&amp;(J347+EffWin))&gt;0,"Ineffective",IF(AsOf-J347&gt;=EffWin,"Effective","Check pending")))</f>
        <v/>
      </c>
      <c r="S347" s="36" t="str">
        <f aca="false">IF(A347="","",DATE(YEAR(B347),MONTH(B347),1))</f>
        <v/>
      </c>
      <c r="T347" s="36" t="str">
        <f aca="false">IF(H347="","",DATE(YEAR(H347),MONTH(H347),1))</f>
        <v/>
      </c>
      <c r="U347" s="27" t="str">
        <f aca="false">IF(H347="","",IF(AsOf-H347&lt;=90,L347,""))</f>
        <v/>
      </c>
      <c r="V347" s="27" t="str">
        <f aca="false">IF(H347="","",IF(AND(AsOf-H347&gt;90,AsOf-H347&lt;=270),L347,""))</f>
        <v/>
      </c>
    </row>
    <row r="348" customFormat="false" ht="15" hidden="false" customHeight="false" outlineLevel="0" collapsed="false">
      <c r="A348" s="2"/>
      <c r="B348" s="37"/>
      <c r="C348" s="2"/>
      <c r="D348" s="2"/>
      <c r="E348" s="2"/>
      <c r="F348" s="2"/>
      <c r="G348" s="2"/>
      <c r="H348" s="37"/>
      <c r="I348" s="2"/>
      <c r="J348" s="37"/>
      <c r="K348" s="27" t="str">
        <f aca="false">IF(A348="","",IF(H348="","Open","Closed"))</f>
        <v/>
      </c>
      <c r="L348" s="27" t="str">
        <f aca="false">IF(A348="","",IF(H348="",AsOf-B348,H348-B348))</f>
        <v/>
      </c>
      <c r="M348" s="27" t="str">
        <f aca="false">IF(A348="","",IF(AND(K348="Open",L348&gt;Target),"Yes","No"))</f>
        <v/>
      </c>
      <c r="N348" s="27" t="str">
        <f aca="false">IF(K348&lt;&gt;"Open","",IF(L348&lt;=30,"0-30",IF(L348&lt;=60,"31-60",IF(L348&lt;=90,"61-90","90+"))))</f>
        <v/>
      </c>
      <c r="O348" s="27" t="str">
        <f aca="false">IF(A348="","",IF(COUNTIFS($D$5:$D$400,D348,$F$5:$F$400,F348,$B$5:$B$400,"&gt;="&amp;(B348-RepeatWin),$B$5:$B$400,"&lt;"&amp;B348)&gt;0,"Yes","No"))</f>
        <v/>
      </c>
      <c r="P348" s="35" t="str">
        <f aca="false">IF(OR(I348="",H348=""),"",H348+CapaDue)</f>
        <v/>
      </c>
      <c r="Q348" s="27" t="str">
        <f aca="false">IF(A348="","",IF(I348="","Not required",IF(J348&lt;&gt;"","Closed",IF(H348="","Awaiting dev. close",IF(AsOf&gt;P348,"Overdue","Open")))))</f>
        <v/>
      </c>
      <c r="R348" s="27" t="str">
        <f aca="false">IF(J348="","",IF(COUNTIFS($D$5:$D$400,D348,$F$5:$F$400,F348,$B$5:$B$400,"&gt;"&amp;J348,$B$5:$B$400,"&lt;="&amp;(J348+EffWin))&gt;0,"Ineffective",IF(AsOf-J348&gt;=EffWin,"Effective","Check pending")))</f>
        <v/>
      </c>
      <c r="S348" s="36" t="str">
        <f aca="false">IF(A348="","",DATE(YEAR(B348),MONTH(B348),1))</f>
        <v/>
      </c>
      <c r="T348" s="36" t="str">
        <f aca="false">IF(H348="","",DATE(YEAR(H348),MONTH(H348),1))</f>
        <v/>
      </c>
      <c r="U348" s="27" t="str">
        <f aca="false">IF(H348="","",IF(AsOf-H348&lt;=90,L348,""))</f>
        <v/>
      </c>
      <c r="V348" s="27" t="str">
        <f aca="false">IF(H348="","",IF(AND(AsOf-H348&gt;90,AsOf-H348&lt;=270),L348,""))</f>
        <v/>
      </c>
    </row>
    <row r="349" customFormat="false" ht="15" hidden="false" customHeight="false" outlineLevel="0" collapsed="false">
      <c r="A349" s="2"/>
      <c r="B349" s="37"/>
      <c r="C349" s="2"/>
      <c r="D349" s="2"/>
      <c r="E349" s="2"/>
      <c r="F349" s="2"/>
      <c r="G349" s="2"/>
      <c r="H349" s="37"/>
      <c r="I349" s="2"/>
      <c r="J349" s="37"/>
      <c r="K349" s="27" t="str">
        <f aca="false">IF(A349="","",IF(H349="","Open","Closed"))</f>
        <v/>
      </c>
      <c r="L349" s="27" t="str">
        <f aca="false">IF(A349="","",IF(H349="",AsOf-B349,H349-B349))</f>
        <v/>
      </c>
      <c r="M349" s="27" t="str">
        <f aca="false">IF(A349="","",IF(AND(K349="Open",L349&gt;Target),"Yes","No"))</f>
        <v/>
      </c>
      <c r="N349" s="27" t="str">
        <f aca="false">IF(K349&lt;&gt;"Open","",IF(L349&lt;=30,"0-30",IF(L349&lt;=60,"31-60",IF(L349&lt;=90,"61-90","90+"))))</f>
        <v/>
      </c>
      <c r="O349" s="27" t="str">
        <f aca="false">IF(A349="","",IF(COUNTIFS($D$5:$D$400,D349,$F$5:$F$400,F349,$B$5:$B$400,"&gt;="&amp;(B349-RepeatWin),$B$5:$B$400,"&lt;"&amp;B349)&gt;0,"Yes","No"))</f>
        <v/>
      </c>
      <c r="P349" s="35" t="str">
        <f aca="false">IF(OR(I349="",H349=""),"",H349+CapaDue)</f>
        <v/>
      </c>
      <c r="Q349" s="27" t="str">
        <f aca="false">IF(A349="","",IF(I349="","Not required",IF(J349&lt;&gt;"","Closed",IF(H349="","Awaiting dev. close",IF(AsOf&gt;P349,"Overdue","Open")))))</f>
        <v/>
      </c>
      <c r="R349" s="27" t="str">
        <f aca="false">IF(J349="","",IF(COUNTIFS($D$5:$D$400,D349,$F$5:$F$400,F349,$B$5:$B$400,"&gt;"&amp;J349,$B$5:$B$400,"&lt;="&amp;(J349+EffWin))&gt;0,"Ineffective",IF(AsOf-J349&gt;=EffWin,"Effective","Check pending")))</f>
        <v/>
      </c>
      <c r="S349" s="36" t="str">
        <f aca="false">IF(A349="","",DATE(YEAR(B349),MONTH(B349),1))</f>
        <v/>
      </c>
      <c r="T349" s="36" t="str">
        <f aca="false">IF(H349="","",DATE(YEAR(H349),MONTH(H349),1))</f>
        <v/>
      </c>
      <c r="U349" s="27" t="str">
        <f aca="false">IF(H349="","",IF(AsOf-H349&lt;=90,L349,""))</f>
        <v/>
      </c>
      <c r="V349" s="27" t="str">
        <f aca="false">IF(H349="","",IF(AND(AsOf-H349&gt;90,AsOf-H349&lt;=270),L349,""))</f>
        <v/>
      </c>
    </row>
    <row r="350" customFormat="false" ht="15" hidden="false" customHeight="false" outlineLevel="0" collapsed="false">
      <c r="A350" s="2"/>
      <c r="B350" s="37"/>
      <c r="C350" s="2"/>
      <c r="D350" s="2"/>
      <c r="E350" s="2"/>
      <c r="F350" s="2"/>
      <c r="G350" s="2"/>
      <c r="H350" s="37"/>
      <c r="I350" s="2"/>
      <c r="J350" s="37"/>
      <c r="K350" s="27" t="str">
        <f aca="false">IF(A350="","",IF(H350="","Open","Closed"))</f>
        <v/>
      </c>
      <c r="L350" s="27" t="str">
        <f aca="false">IF(A350="","",IF(H350="",AsOf-B350,H350-B350))</f>
        <v/>
      </c>
      <c r="M350" s="27" t="str">
        <f aca="false">IF(A350="","",IF(AND(K350="Open",L350&gt;Target),"Yes","No"))</f>
        <v/>
      </c>
      <c r="N350" s="27" t="str">
        <f aca="false">IF(K350&lt;&gt;"Open","",IF(L350&lt;=30,"0-30",IF(L350&lt;=60,"31-60",IF(L350&lt;=90,"61-90","90+"))))</f>
        <v/>
      </c>
      <c r="O350" s="27" t="str">
        <f aca="false">IF(A350="","",IF(COUNTIFS($D$5:$D$400,D350,$F$5:$F$400,F350,$B$5:$B$400,"&gt;="&amp;(B350-RepeatWin),$B$5:$B$400,"&lt;"&amp;B350)&gt;0,"Yes","No"))</f>
        <v/>
      </c>
      <c r="P350" s="35" t="str">
        <f aca="false">IF(OR(I350="",H350=""),"",H350+CapaDue)</f>
        <v/>
      </c>
      <c r="Q350" s="27" t="str">
        <f aca="false">IF(A350="","",IF(I350="","Not required",IF(J350&lt;&gt;"","Closed",IF(H350="","Awaiting dev. close",IF(AsOf&gt;P350,"Overdue","Open")))))</f>
        <v/>
      </c>
      <c r="R350" s="27" t="str">
        <f aca="false">IF(J350="","",IF(COUNTIFS($D$5:$D$400,D350,$F$5:$F$400,F350,$B$5:$B$400,"&gt;"&amp;J350,$B$5:$B$400,"&lt;="&amp;(J350+EffWin))&gt;0,"Ineffective",IF(AsOf-J350&gt;=EffWin,"Effective","Check pending")))</f>
        <v/>
      </c>
      <c r="S350" s="36" t="str">
        <f aca="false">IF(A350="","",DATE(YEAR(B350),MONTH(B350),1))</f>
        <v/>
      </c>
      <c r="T350" s="36" t="str">
        <f aca="false">IF(H350="","",DATE(YEAR(H350),MONTH(H350),1))</f>
        <v/>
      </c>
      <c r="U350" s="27" t="str">
        <f aca="false">IF(H350="","",IF(AsOf-H350&lt;=90,L350,""))</f>
        <v/>
      </c>
      <c r="V350" s="27" t="str">
        <f aca="false">IF(H350="","",IF(AND(AsOf-H350&gt;90,AsOf-H350&lt;=270),L350,""))</f>
        <v/>
      </c>
    </row>
    <row r="351" customFormat="false" ht="15" hidden="false" customHeight="false" outlineLevel="0" collapsed="false">
      <c r="A351" s="2"/>
      <c r="B351" s="37"/>
      <c r="C351" s="2"/>
      <c r="D351" s="2"/>
      <c r="E351" s="2"/>
      <c r="F351" s="2"/>
      <c r="G351" s="2"/>
      <c r="H351" s="37"/>
      <c r="I351" s="2"/>
      <c r="J351" s="37"/>
      <c r="K351" s="27" t="str">
        <f aca="false">IF(A351="","",IF(H351="","Open","Closed"))</f>
        <v/>
      </c>
      <c r="L351" s="27" t="str">
        <f aca="false">IF(A351="","",IF(H351="",AsOf-B351,H351-B351))</f>
        <v/>
      </c>
      <c r="M351" s="27" t="str">
        <f aca="false">IF(A351="","",IF(AND(K351="Open",L351&gt;Target),"Yes","No"))</f>
        <v/>
      </c>
      <c r="N351" s="27" t="str">
        <f aca="false">IF(K351&lt;&gt;"Open","",IF(L351&lt;=30,"0-30",IF(L351&lt;=60,"31-60",IF(L351&lt;=90,"61-90","90+"))))</f>
        <v/>
      </c>
      <c r="O351" s="27" t="str">
        <f aca="false">IF(A351="","",IF(COUNTIFS($D$5:$D$400,D351,$F$5:$F$400,F351,$B$5:$B$400,"&gt;="&amp;(B351-RepeatWin),$B$5:$B$400,"&lt;"&amp;B351)&gt;0,"Yes","No"))</f>
        <v/>
      </c>
      <c r="P351" s="35" t="str">
        <f aca="false">IF(OR(I351="",H351=""),"",H351+CapaDue)</f>
        <v/>
      </c>
      <c r="Q351" s="27" t="str">
        <f aca="false">IF(A351="","",IF(I351="","Not required",IF(J351&lt;&gt;"","Closed",IF(H351="","Awaiting dev. close",IF(AsOf&gt;P351,"Overdue","Open")))))</f>
        <v/>
      </c>
      <c r="R351" s="27" t="str">
        <f aca="false">IF(J351="","",IF(COUNTIFS($D$5:$D$400,D351,$F$5:$F$400,F351,$B$5:$B$400,"&gt;"&amp;J351,$B$5:$B$400,"&lt;="&amp;(J351+EffWin))&gt;0,"Ineffective",IF(AsOf-J351&gt;=EffWin,"Effective","Check pending")))</f>
        <v/>
      </c>
      <c r="S351" s="36" t="str">
        <f aca="false">IF(A351="","",DATE(YEAR(B351),MONTH(B351),1))</f>
        <v/>
      </c>
      <c r="T351" s="36" t="str">
        <f aca="false">IF(H351="","",DATE(YEAR(H351),MONTH(H351),1))</f>
        <v/>
      </c>
      <c r="U351" s="27" t="str">
        <f aca="false">IF(H351="","",IF(AsOf-H351&lt;=90,L351,""))</f>
        <v/>
      </c>
      <c r="V351" s="27" t="str">
        <f aca="false">IF(H351="","",IF(AND(AsOf-H351&gt;90,AsOf-H351&lt;=270),L351,""))</f>
        <v/>
      </c>
    </row>
    <row r="352" customFormat="false" ht="15" hidden="false" customHeight="false" outlineLevel="0" collapsed="false">
      <c r="A352" s="2"/>
      <c r="B352" s="37"/>
      <c r="C352" s="2"/>
      <c r="D352" s="2"/>
      <c r="E352" s="2"/>
      <c r="F352" s="2"/>
      <c r="G352" s="2"/>
      <c r="H352" s="37"/>
      <c r="I352" s="2"/>
      <c r="J352" s="37"/>
      <c r="K352" s="27" t="str">
        <f aca="false">IF(A352="","",IF(H352="","Open","Closed"))</f>
        <v/>
      </c>
      <c r="L352" s="27" t="str">
        <f aca="false">IF(A352="","",IF(H352="",AsOf-B352,H352-B352))</f>
        <v/>
      </c>
      <c r="M352" s="27" t="str">
        <f aca="false">IF(A352="","",IF(AND(K352="Open",L352&gt;Target),"Yes","No"))</f>
        <v/>
      </c>
      <c r="N352" s="27" t="str">
        <f aca="false">IF(K352&lt;&gt;"Open","",IF(L352&lt;=30,"0-30",IF(L352&lt;=60,"31-60",IF(L352&lt;=90,"61-90","90+"))))</f>
        <v/>
      </c>
      <c r="O352" s="27" t="str">
        <f aca="false">IF(A352="","",IF(COUNTIFS($D$5:$D$400,D352,$F$5:$F$400,F352,$B$5:$B$400,"&gt;="&amp;(B352-RepeatWin),$B$5:$B$400,"&lt;"&amp;B352)&gt;0,"Yes","No"))</f>
        <v/>
      </c>
      <c r="P352" s="35" t="str">
        <f aca="false">IF(OR(I352="",H352=""),"",H352+CapaDue)</f>
        <v/>
      </c>
      <c r="Q352" s="27" t="str">
        <f aca="false">IF(A352="","",IF(I352="","Not required",IF(J352&lt;&gt;"","Closed",IF(H352="","Awaiting dev. close",IF(AsOf&gt;P352,"Overdue","Open")))))</f>
        <v/>
      </c>
      <c r="R352" s="27" t="str">
        <f aca="false">IF(J352="","",IF(COUNTIFS($D$5:$D$400,D352,$F$5:$F$400,F352,$B$5:$B$400,"&gt;"&amp;J352,$B$5:$B$400,"&lt;="&amp;(J352+EffWin))&gt;0,"Ineffective",IF(AsOf-J352&gt;=EffWin,"Effective","Check pending")))</f>
        <v/>
      </c>
      <c r="S352" s="36" t="str">
        <f aca="false">IF(A352="","",DATE(YEAR(B352),MONTH(B352),1))</f>
        <v/>
      </c>
      <c r="T352" s="36" t="str">
        <f aca="false">IF(H352="","",DATE(YEAR(H352),MONTH(H352),1))</f>
        <v/>
      </c>
      <c r="U352" s="27" t="str">
        <f aca="false">IF(H352="","",IF(AsOf-H352&lt;=90,L352,""))</f>
        <v/>
      </c>
      <c r="V352" s="27" t="str">
        <f aca="false">IF(H352="","",IF(AND(AsOf-H352&gt;90,AsOf-H352&lt;=270),L352,""))</f>
        <v/>
      </c>
    </row>
    <row r="353" customFormat="false" ht="15" hidden="false" customHeight="false" outlineLevel="0" collapsed="false">
      <c r="A353" s="2"/>
      <c r="B353" s="37"/>
      <c r="C353" s="2"/>
      <c r="D353" s="2"/>
      <c r="E353" s="2"/>
      <c r="F353" s="2"/>
      <c r="G353" s="2"/>
      <c r="H353" s="37"/>
      <c r="I353" s="2"/>
      <c r="J353" s="37"/>
      <c r="K353" s="27" t="str">
        <f aca="false">IF(A353="","",IF(H353="","Open","Closed"))</f>
        <v/>
      </c>
      <c r="L353" s="27" t="str">
        <f aca="false">IF(A353="","",IF(H353="",AsOf-B353,H353-B353))</f>
        <v/>
      </c>
      <c r="M353" s="27" t="str">
        <f aca="false">IF(A353="","",IF(AND(K353="Open",L353&gt;Target),"Yes","No"))</f>
        <v/>
      </c>
      <c r="N353" s="27" t="str">
        <f aca="false">IF(K353&lt;&gt;"Open","",IF(L353&lt;=30,"0-30",IF(L353&lt;=60,"31-60",IF(L353&lt;=90,"61-90","90+"))))</f>
        <v/>
      </c>
      <c r="O353" s="27" t="str">
        <f aca="false">IF(A353="","",IF(COUNTIFS($D$5:$D$400,D353,$F$5:$F$400,F353,$B$5:$B$400,"&gt;="&amp;(B353-RepeatWin),$B$5:$B$400,"&lt;"&amp;B353)&gt;0,"Yes","No"))</f>
        <v/>
      </c>
      <c r="P353" s="35" t="str">
        <f aca="false">IF(OR(I353="",H353=""),"",H353+CapaDue)</f>
        <v/>
      </c>
      <c r="Q353" s="27" t="str">
        <f aca="false">IF(A353="","",IF(I353="","Not required",IF(J353&lt;&gt;"","Closed",IF(H353="","Awaiting dev. close",IF(AsOf&gt;P353,"Overdue","Open")))))</f>
        <v/>
      </c>
      <c r="R353" s="27" t="str">
        <f aca="false">IF(J353="","",IF(COUNTIFS($D$5:$D$400,D353,$F$5:$F$400,F353,$B$5:$B$400,"&gt;"&amp;J353,$B$5:$B$400,"&lt;="&amp;(J353+EffWin))&gt;0,"Ineffective",IF(AsOf-J353&gt;=EffWin,"Effective","Check pending")))</f>
        <v/>
      </c>
      <c r="S353" s="36" t="str">
        <f aca="false">IF(A353="","",DATE(YEAR(B353),MONTH(B353),1))</f>
        <v/>
      </c>
      <c r="T353" s="36" t="str">
        <f aca="false">IF(H353="","",DATE(YEAR(H353),MONTH(H353),1))</f>
        <v/>
      </c>
      <c r="U353" s="27" t="str">
        <f aca="false">IF(H353="","",IF(AsOf-H353&lt;=90,L353,""))</f>
        <v/>
      </c>
      <c r="V353" s="27" t="str">
        <f aca="false">IF(H353="","",IF(AND(AsOf-H353&gt;90,AsOf-H353&lt;=270),L353,""))</f>
        <v/>
      </c>
    </row>
    <row r="354" customFormat="false" ht="15" hidden="false" customHeight="false" outlineLevel="0" collapsed="false">
      <c r="A354" s="2"/>
      <c r="B354" s="37"/>
      <c r="C354" s="2"/>
      <c r="D354" s="2"/>
      <c r="E354" s="2"/>
      <c r="F354" s="2"/>
      <c r="G354" s="2"/>
      <c r="H354" s="37"/>
      <c r="I354" s="2"/>
      <c r="J354" s="37"/>
      <c r="K354" s="27" t="str">
        <f aca="false">IF(A354="","",IF(H354="","Open","Closed"))</f>
        <v/>
      </c>
      <c r="L354" s="27" t="str">
        <f aca="false">IF(A354="","",IF(H354="",AsOf-B354,H354-B354))</f>
        <v/>
      </c>
      <c r="M354" s="27" t="str">
        <f aca="false">IF(A354="","",IF(AND(K354="Open",L354&gt;Target),"Yes","No"))</f>
        <v/>
      </c>
      <c r="N354" s="27" t="str">
        <f aca="false">IF(K354&lt;&gt;"Open","",IF(L354&lt;=30,"0-30",IF(L354&lt;=60,"31-60",IF(L354&lt;=90,"61-90","90+"))))</f>
        <v/>
      </c>
      <c r="O354" s="27" t="str">
        <f aca="false">IF(A354="","",IF(COUNTIFS($D$5:$D$400,D354,$F$5:$F$400,F354,$B$5:$B$400,"&gt;="&amp;(B354-RepeatWin),$B$5:$B$400,"&lt;"&amp;B354)&gt;0,"Yes","No"))</f>
        <v/>
      </c>
      <c r="P354" s="35" t="str">
        <f aca="false">IF(OR(I354="",H354=""),"",H354+CapaDue)</f>
        <v/>
      </c>
      <c r="Q354" s="27" t="str">
        <f aca="false">IF(A354="","",IF(I354="","Not required",IF(J354&lt;&gt;"","Closed",IF(H354="","Awaiting dev. close",IF(AsOf&gt;P354,"Overdue","Open")))))</f>
        <v/>
      </c>
      <c r="R354" s="27" t="str">
        <f aca="false">IF(J354="","",IF(COUNTIFS($D$5:$D$400,D354,$F$5:$F$400,F354,$B$5:$B$400,"&gt;"&amp;J354,$B$5:$B$400,"&lt;="&amp;(J354+EffWin))&gt;0,"Ineffective",IF(AsOf-J354&gt;=EffWin,"Effective","Check pending")))</f>
        <v/>
      </c>
      <c r="S354" s="36" t="str">
        <f aca="false">IF(A354="","",DATE(YEAR(B354),MONTH(B354),1))</f>
        <v/>
      </c>
      <c r="T354" s="36" t="str">
        <f aca="false">IF(H354="","",DATE(YEAR(H354),MONTH(H354),1))</f>
        <v/>
      </c>
      <c r="U354" s="27" t="str">
        <f aca="false">IF(H354="","",IF(AsOf-H354&lt;=90,L354,""))</f>
        <v/>
      </c>
      <c r="V354" s="27" t="str">
        <f aca="false">IF(H354="","",IF(AND(AsOf-H354&gt;90,AsOf-H354&lt;=270),L354,""))</f>
        <v/>
      </c>
    </row>
    <row r="355" customFormat="false" ht="15" hidden="false" customHeight="false" outlineLevel="0" collapsed="false">
      <c r="A355" s="2"/>
      <c r="B355" s="37"/>
      <c r="C355" s="2"/>
      <c r="D355" s="2"/>
      <c r="E355" s="2"/>
      <c r="F355" s="2"/>
      <c r="G355" s="2"/>
      <c r="H355" s="37"/>
      <c r="I355" s="2"/>
      <c r="J355" s="37"/>
      <c r="K355" s="27" t="str">
        <f aca="false">IF(A355="","",IF(H355="","Open","Closed"))</f>
        <v/>
      </c>
      <c r="L355" s="27" t="str">
        <f aca="false">IF(A355="","",IF(H355="",AsOf-B355,H355-B355))</f>
        <v/>
      </c>
      <c r="M355" s="27" t="str">
        <f aca="false">IF(A355="","",IF(AND(K355="Open",L355&gt;Target),"Yes","No"))</f>
        <v/>
      </c>
      <c r="N355" s="27" t="str">
        <f aca="false">IF(K355&lt;&gt;"Open","",IF(L355&lt;=30,"0-30",IF(L355&lt;=60,"31-60",IF(L355&lt;=90,"61-90","90+"))))</f>
        <v/>
      </c>
      <c r="O355" s="27" t="str">
        <f aca="false">IF(A355="","",IF(COUNTIFS($D$5:$D$400,D355,$F$5:$F$400,F355,$B$5:$B$400,"&gt;="&amp;(B355-RepeatWin),$B$5:$B$400,"&lt;"&amp;B355)&gt;0,"Yes","No"))</f>
        <v/>
      </c>
      <c r="P355" s="35" t="str">
        <f aca="false">IF(OR(I355="",H355=""),"",H355+CapaDue)</f>
        <v/>
      </c>
      <c r="Q355" s="27" t="str">
        <f aca="false">IF(A355="","",IF(I355="","Not required",IF(J355&lt;&gt;"","Closed",IF(H355="","Awaiting dev. close",IF(AsOf&gt;P355,"Overdue","Open")))))</f>
        <v/>
      </c>
      <c r="R355" s="27" t="str">
        <f aca="false">IF(J355="","",IF(COUNTIFS($D$5:$D$400,D355,$F$5:$F$400,F355,$B$5:$B$400,"&gt;"&amp;J355,$B$5:$B$400,"&lt;="&amp;(J355+EffWin))&gt;0,"Ineffective",IF(AsOf-J355&gt;=EffWin,"Effective","Check pending")))</f>
        <v/>
      </c>
      <c r="S355" s="36" t="str">
        <f aca="false">IF(A355="","",DATE(YEAR(B355),MONTH(B355),1))</f>
        <v/>
      </c>
      <c r="T355" s="36" t="str">
        <f aca="false">IF(H355="","",DATE(YEAR(H355),MONTH(H355),1))</f>
        <v/>
      </c>
      <c r="U355" s="27" t="str">
        <f aca="false">IF(H355="","",IF(AsOf-H355&lt;=90,L355,""))</f>
        <v/>
      </c>
      <c r="V355" s="27" t="str">
        <f aca="false">IF(H355="","",IF(AND(AsOf-H355&gt;90,AsOf-H355&lt;=270),L355,""))</f>
        <v/>
      </c>
    </row>
    <row r="356" customFormat="false" ht="15" hidden="false" customHeight="false" outlineLevel="0" collapsed="false">
      <c r="A356" s="2"/>
      <c r="B356" s="37"/>
      <c r="C356" s="2"/>
      <c r="D356" s="2"/>
      <c r="E356" s="2"/>
      <c r="F356" s="2"/>
      <c r="G356" s="2"/>
      <c r="H356" s="37"/>
      <c r="I356" s="2"/>
      <c r="J356" s="37"/>
      <c r="K356" s="27" t="str">
        <f aca="false">IF(A356="","",IF(H356="","Open","Closed"))</f>
        <v/>
      </c>
      <c r="L356" s="27" t="str">
        <f aca="false">IF(A356="","",IF(H356="",AsOf-B356,H356-B356))</f>
        <v/>
      </c>
      <c r="M356" s="27" t="str">
        <f aca="false">IF(A356="","",IF(AND(K356="Open",L356&gt;Target),"Yes","No"))</f>
        <v/>
      </c>
      <c r="N356" s="27" t="str">
        <f aca="false">IF(K356&lt;&gt;"Open","",IF(L356&lt;=30,"0-30",IF(L356&lt;=60,"31-60",IF(L356&lt;=90,"61-90","90+"))))</f>
        <v/>
      </c>
      <c r="O356" s="27" t="str">
        <f aca="false">IF(A356="","",IF(COUNTIFS($D$5:$D$400,D356,$F$5:$F$400,F356,$B$5:$B$400,"&gt;="&amp;(B356-RepeatWin),$B$5:$B$400,"&lt;"&amp;B356)&gt;0,"Yes","No"))</f>
        <v/>
      </c>
      <c r="P356" s="35" t="str">
        <f aca="false">IF(OR(I356="",H356=""),"",H356+CapaDue)</f>
        <v/>
      </c>
      <c r="Q356" s="27" t="str">
        <f aca="false">IF(A356="","",IF(I356="","Not required",IF(J356&lt;&gt;"","Closed",IF(H356="","Awaiting dev. close",IF(AsOf&gt;P356,"Overdue","Open")))))</f>
        <v/>
      </c>
      <c r="R356" s="27" t="str">
        <f aca="false">IF(J356="","",IF(COUNTIFS($D$5:$D$400,D356,$F$5:$F$400,F356,$B$5:$B$400,"&gt;"&amp;J356,$B$5:$B$400,"&lt;="&amp;(J356+EffWin))&gt;0,"Ineffective",IF(AsOf-J356&gt;=EffWin,"Effective","Check pending")))</f>
        <v/>
      </c>
      <c r="S356" s="36" t="str">
        <f aca="false">IF(A356="","",DATE(YEAR(B356),MONTH(B356),1))</f>
        <v/>
      </c>
      <c r="T356" s="36" t="str">
        <f aca="false">IF(H356="","",DATE(YEAR(H356),MONTH(H356),1))</f>
        <v/>
      </c>
      <c r="U356" s="27" t="str">
        <f aca="false">IF(H356="","",IF(AsOf-H356&lt;=90,L356,""))</f>
        <v/>
      </c>
      <c r="V356" s="27" t="str">
        <f aca="false">IF(H356="","",IF(AND(AsOf-H356&gt;90,AsOf-H356&lt;=270),L356,""))</f>
        <v/>
      </c>
    </row>
    <row r="357" customFormat="false" ht="15" hidden="false" customHeight="false" outlineLevel="0" collapsed="false">
      <c r="A357" s="2"/>
      <c r="B357" s="37"/>
      <c r="C357" s="2"/>
      <c r="D357" s="2"/>
      <c r="E357" s="2"/>
      <c r="F357" s="2"/>
      <c r="G357" s="2"/>
      <c r="H357" s="37"/>
      <c r="I357" s="2"/>
      <c r="J357" s="37"/>
      <c r="K357" s="27" t="str">
        <f aca="false">IF(A357="","",IF(H357="","Open","Closed"))</f>
        <v/>
      </c>
      <c r="L357" s="27" t="str">
        <f aca="false">IF(A357="","",IF(H357="",AsOf-B357,H357-B357))</f>
        <v/>
      </c>
      <c r="M357" s="27" t="str">
        <f aca="false">IF(A357="","",IF(AND(K357="Open",L357&gt;Target),"Yes","No"))</f>
        <v/>
      </c>
      <c r="N357" s="27" t="str">
        <f aca="false">IF(K357&lt;&gt;"Open","",IF(L357&lt;=30,"0-30",IF(L357&lt;=60,"31-60",IF(L357&lt;=90,"61-90","90+"))))</f>
        <v/>
      </c>
      <c r="O357" s="27" t="str">
        <f aca="false">IF(A357="","",IF(COUNTIFS($D$5:$D$400,D357,$F$5:$F$400,F357,$B$5:$B$400,"&gt;="&amp;(B357-RepeatWin),$B$5:$B$400,"&lt;"&amp;B357)&gt;0,"Yes","No"))</f>
        <v/>
      </c>
      <c r="P357" s="35" t="str">
        <f aca="false">IF(OR(I357="",H357=""),"",H357+CapaDue)</f>
        <v/>
      </c>
      <c r="Q357" s="27" t="str">
        <f aca="false">IF(A357="","",IF(I357="","Not required",IF(J357&lt;&gt;"","Closed",IF(H357="","Awaiting dev. close",IF(AsOf&gt;P357,"Overdue","Open")))))</f>
        <v/>
      </c>
      <c r="R357" s="27" t="str">
        <f aca="false">IF(J357="","",IF(COUNTIFS($D$5:$D$400,D357,$F$5:$F$400,F357,$B$5:$B$400,"&gt;"&amp;J357,$B$5:$B$400,"&lt;="&amp;(J357+EffWin))&gt;0,"Ineffective",IF(AsOf-J357&gt;=EffWin,"Effective","Check pending")))</f>
        <v/>
      </c>
      <c r="S357" s="36" t="str">
        <f aca="false">IF(A357="","",DATE(YEAR(B357),MONTH(B357),1))</f>
        <v/>
      </c>
      <c r="T357" s="36" t="str">
        <f aca="false">IF(H357="","",DATE(YEAR(H357),MONTH(H357),1))</f>
        <v/>
      </c>
      <c r="U357" s="27" t="str">
        <f aca="false">IF(H357="","",IF(AsOf-H357&lt;=90,L357,""))</f>
        <v/>
      </c>
      <c r="V357" s="27" t="str">
        <f aca="false">IF(H357="","",IF(AND(AsOf-H357&gt;90,AsOf-H357&lt;=270),L357,""))</f>
        <v/>
      </c>
    </row>
    <row r="358" customFormat="false" ht="15" hidden="false" customHeight="false" outlineLevel="0" collapsed="false">
      <c r="A358" s="2"/>
      <c r="B358" s="37"/>
      <c r="C358" s="2"/>
      <c r="D358" s="2"/>
      <c r="E358" s="2"/>
      <c r="F358" s="2"/>
      <c r="G358" s="2"/>
      <c r="H358" s="37"/>
      <c r="I358" s="2"/>
      <c r="J358" s="37"/>
      <c r="K358" s="27" t="str">
        <f aca="false">IF(A358="","",IF(H358="","Open","Closed"))</f>
        <v/>
      </c>
      <c r="L358" s="27" t="str">
        <f aca="false">IF(A358="","",IF(H358="",AsOf-B358,H358-B358))</f>
        <v/>
      </c>
      <c r="M358" s="27" t="str">
        <f aca="false">IF(A358="","",IF(AND(K358="Open",L358&gt;Target),"Yes","No"))</f>
        <v/>
      </c>
      <c r="N358" s="27" t="str">
        <f aca="false">IF(K358&lt;&gt;"Open","",IF(L358&lt;=30,"0-30",IF(L358&lt;=60,"31-60",IF(L358&lt;=90,"61-90","90+"))))</f>
        <v/>
      </c>
      <c r="O358" s="27" t="str">
        <f aca="false">IF(A358="","",IF(COUNTIFS($D$5:$D$400,D358,$F$5:$F$400,F358,$B$5:$B$400,"&gt;="&amp;(B358-RepeatWin),$B$5:$B$400,"&lt;"&amp;B358)&gt;0,"Yes","No"))</f>
        <v/>
      </c>
      <c r="P358" s="35" t="str">
        <f aca="false">IF(OR(I358="",H358=""),"",H358+CapaDue)</f>
        <v/>
      </c>
      <c r="Q358" s="27" t="str">
        <f aca="false">IF(A358="","",IF(I358="","Not required",IF(J358&lt;&gt;"","Closed",IF(H358="","Awaiting dev. close",IF(AsOf&gt;P358,"Overdue","Open")))))</f>
        <v/>
      </c>
      <c r="R358" s="27" t="str">
        <f aca="false">IF(J358="","",IF(COUNTIFS($D$5:$D$400,D358,$F$5:$F$400,F358,$B$5:$B$400,"&gt;"&amp;J358,$B$5:$B$400,"&lt;="&amp;(J358+EffWin))&gt;0,"Ineffective",IF(AsOf-J358&gt;=EffWin,"Effective","Check pending")))</f>
        <v/>
      </c>
      <c r="S358" s="36" t="str">
        <f aca="false">IF(A358="","",DATE(YEAR(B358),MONTH(B358),1))</f>
        <v/>
      </c>
      <c r="T358" s="36" t="str">
        <f aca="false">IF(H358="","",DATE(YEAR(H358),MONTH(H358),1))</f>
        <v/>
      </c>
      <c r="U358" s="27" t="str">
        <f aca="false">IF(H358="","",IF(AsOf-H358&lt;=90,L358,""))</f>
        <v/>
      </c>
      <c r="V358" s="27" t="str">
        <f aca="false">IF(H358="","",IF(AND(AsOf-H358&gt;90,AsOf-H358&lt;=270),L358,""))</f>
        <v/>
      </c>
    </row>
    <row r="359" customFormat="false" ht="15" hidden="false" customHeight="false" outlineLevel="0" collapsed="false">
      <c r="A359" s="2"/>
      <c r="B359" s="37"/>
      <c r="C359" s="2"/>
      <c r="D359" s="2"/>
      <c r="E359" s="2"/>
      <c r="F359" s="2"/>
      <c r="G359" s="2"/>
      <c r="H359" s="37"/>
      <c r="I359" s="2"/>
      <c r="J359" s="37"/>
      <c r="K359" s="27" t="str">
        <f aca="false">IF(A359="","",IF(H359="","Open","Closed"))</f>
        <v/>
      </c>
      <c r="L359" s="27" t="str">
        <f aca="false">IF(A359="","",IF(H359="",AsOf-B359,H359-B359))</f>
        <v/>
      </c>
      <c r="M359" s="27" t="str">
        <f aca="false">IF(A359="","",IF(AND(K359="Open",L359&gt;Target),"Yes","No"))</f>
        <v/>
      </c>
      <c r="N359" s="27" t="str">
        <f aca="false">IF(K359&lt;&gt;"Open","",IF(L359&lt;=30,"0-30",IF(L359&lt;=60,"31-60",IF(L359&lt;=90,"61-90","90+"))))</f>
        <v/>
      </c>
      <c r="O359" s="27" t="str">
        <f aca="false">IF(A359="","",IF(COUNTIFS($D$5:$D$400,D359,$F$5:$F$400,F359,$B$5:$B$400,"&gt;="&amp;(B359-RepeatWin),$B$5:$B$400,"&lt;"&amp;B359)&gt;0,"Yes","No"))</f>
        <v/>
      </c>
      <c r="P359" s="35" t="str">
        <f aca="false">IF(OR(I359="",H359=""),"",H359+CapaDue)</f>
        <v/>
      </c>
      <c r="Q359" s="27" t="str">
        <f aca="false">IF(A359="","",IF(I359="","Not required",IF(J359&lt;&gt;"","Closed",IF(H359="","Awaiting dev. close",IF(AsOf&gt;P359,"Overdue","Open")))))</f>
        <v/>
      </c>
      <c r="R359" s="27" t="str">
        <f aca="false">IF(J359="","",IF(COUNTIFS($D$5:$D$400,D359,$F$5:$F$400,F359,$B$5:$B$400,"&gt;"&amp;J359,$B$5:$B$400,"&lt;="&amp;(J359+EffWin))&gt;0,"Ineffective",IF(AsOf-J359&gt;=EffWin,"Effective","Check pending")))</f>
        <v/>
      </c>
      <c r="S359" s="36" t="str">
        <f aca="false">IF(A359="","",DATE(YEAR(B359),MONTH(B359),1))</f>
        <v/>
      </c>
      <c r="T359" s="36" t="str">
        <f aca="false">IF(H359="","",DATE(YEAR(H359),MONTH(H359),1))</f>
        <v/>
      </c>
      <c r="U359" s="27" t="str">
        <f aca="false">IF(H359="","",IF(AsOf-H359&lt;=90,L359,""))</f>
        <v/>
      </c>
      <c r="V359" s="27" t="str">
        <f aca="false">IF(H359="","",IF(AND(AsOf-H359&gt;90,AsOf-H359&lt;=270),L359,""))</f>
        <v/>
      </c>
    </row>
    <row r="360" customFormat="false" ht="15" hidden="false" customHeight="false" outlineLevel="0" collapsed="false">
      <c r="A360" s="2"/>
      <c r="B360" s="37"/>
      <c r="C360" s="2"/>
      <c r="D360" s="2"/>
      <c r="E360" s="2"/>
      <c r="F360" s="2"/>
      <c r="G360" s="2"/>
      <c r="H360" s="37"/>
      <c r="I360" s="2"/>
      <c r="J360" s="37"/>
      <c r="K360" s="27" t="str">
        <f aca="false">IF(A360="","",IF(H360="","Open","Closed"))</f>
        <v/>
      </c>
      <c r="L360" s="27" t="str">
        <f aca="false">IF(A360="","",IF(H360="",AsOf-B360,H360-B360))</f>
        <v/>
      </c>
      <c r="M360" s="27" t="str">
        <f aca="false">IF(A360="","",IF(AND(K360="Open",L360&gt;Target),"Yes","No"))</f>
        <v/>
      </c>
      <c r="N360" s="27" t="str">
        <f aca="false">IF(K360&lt;&gt;"Open","",IF(L360&lt;=30,"0-30",IF(L360&lt;=60,"31-60",IF(L360&lt;=90,"61-90","90+"))))</f>
        <v/>
      </c>
      <c r="O360" s="27" t="str">
        <f aca="false">IF(A360="","",IF(COUNTIFS($D$5:$D$400,D360,$F$5:$F$400,F360,$B$5:$B$400,"&gt;="&amp;(B360-RepeatWin),$B$5:$B$400,"&lt;"&amp;B360)&gt;0,"Yes","No"))</f>
        <v/>
      </c>
      <c r="P360" s="35" t="str">
        <f aca="false">IF(OR(I360="",H360=""),"",H360+CapaDue)</f>
        <v/>
      </c>
      <c r="Q360" s="27" t="str">
        <f aca="false">IF(A360="","",IF(I360="","Not required",IF(J360&lt;&gt;"","Closed",IF(H360="","Awaiting dev. close",IF(AsOf&gt;P360,"Overdue","Open")))))</f>
        <v/>
      </c>
      <c r="R360" s="27" t="str">
        <f aca="false">IF(J360="","",IF(COUNTIFS($D$5:$D$400,D360,$F$5:$F$400,F360,$B$5:$B$400,"&gt;"&amp;J360,$B$5:$B$400,"&lt;="&amp;(J360+EffWin))&gt;0,"Ineffective",IF(AsOf-J360&gt;=EffWin,"Effective","Check pending")))</f>
        <v/>
      </c>
      <c r="S360" s="36" t="str">
        <f aca="false">IF(A360="","",DATE(YEAR(B360),MONTH(B360),1))</f>
        <v/>
      </c>
      <c r="T360" s="36" t="str">
        <f aca="false">IF(H360="","",DATE(YEAR(H360),MONTH(H360),1))</f>
        <v/>
      </c>
      <c r="U360" s="27" t="str">
        <f aca="false">IF(H360="","",IF(AsOf-H360&lt;=90,L360,""))</f>
        <v/>
      </c>
      <c r="V360" s="27" t="str">
        <f aca="false">IF(H360="","",IF(AND(AsOf-H360&gt;90,AsOf-H360&lt;=270),L360,""))</f>
        <v/>
      </c>
    </row>
    <row r="361" customFormat="false" ht="15" hidden="false" customHeight="false" outlineLevel="0" collapsed="false">
      <c r="A361" s="2"/>
      <c r="B361" s="37"/>
      <c r="C361" s="2"/>
      <c r="D361" s="2"/>
      <c r="E361" s="2"/>
      <c r="F361" s="2"/>
      <c r="G361" s="2"/>
      <c r="H361" s="37"/>
      <c r="I361" s="2"/>
      <c r="J361" s="37"/>
      <c r="K361" s="27" t="str">
        <f aca="false">IF(A361="","",IF(H361="","Open","Closed"))</f>
        <v/>
      </c>
      <c r="L361" s="27" t="str">
        <f aca="false">IF(A361="","",IF(H361="",AsOf-B361,H361-B361))</f>
        <v/>
      </c>
      <c r="M361" s="27" t="str">
        <f aca="false">IF(A361="","",IF(AND(K361="Open",L361&gt;Target),"Yes","No"))</f>
        <v/>
      </c>
      <c r="N361" s="27" t="str">
        <f aca="false">IF(K361&lt;&gt;"Open","",IF(L361&lt;=30,"0-30",IF(L361&lt;=60,"31-60",IF(L361&lt;=90,"61-90","90+"))))</f>
        <v/>
      </c>
      <c r="O361" s="27" t="str">
        <f aca="false">IF(A361="","",IF(COUNTIFS($D$5:$D$400,D361,$F$5:$F$400,F361,$B$5:$B$400,"&gt;="&amp;(B361-RepeatWin),$B$5:$B$400,"&lt;"&amp;B361)&gt;0,"Yes","No"))</f>
        <v/>
      </c>
      <c r="P361" s="35" t="str">
        <f aca="false">IF(OR(I361="",H361=""),"",H361+CapaDue)</f>
        <v/>
      </c>
      <c r="Q361" s="27" t="str">
        <f aca="false">IF(A361="","",IF(I361="","Not required",IF(J361&lt;&gt;"","Closed",IF(H361="","Awaiting dev. close",IF(AsOf&gt;P361,"Overdue","Open")))))</f>
        <v/>
      </c>
      <c r="R361" s="27" t="str">
        <f aca="false">IF(J361="","",IF(COUNTIFS($D$5:$D$400,D361,$F$5:$F$400,F361,$B$5:$B$400,"&gt;"&amp;J361,$B$5:$B$400,"&lt;="&amp;(J361+EffWin))&gt;0,"Ineffective",IF(AsOf-J361&gt;=EffWin,"Effective","Check pending")))</f>
        <v/>
      </c>
      <c r="S361" s="36" t="str">
        <f aca="false">IF(A361="","",DATE(YEAR(B361),MONTH(B361),1))</f>
        <v/>
      </c>
      <c r="T361" s="36" t="str">
        <f aca="false">IF(H361="","",DATE(YEAR(H361),MONTH(H361),1))</f>
        <v/>
      </c>
      <c r="U361" s="27" t="str">
        <f aca="false">IF(H361="","",IF(AsOf-H361&lt;=90,L361,""))</f>
        <v/>
      </c>
      <c r="V361" s="27" t="str">
        <f aca="false">IF(H361="","",IF(AND(AsOf-H361&gt;90,AsOf-H361&lt;=270),L361,""))</f>
        <v/>
      </c>
    </row>
    <row r="362" customFormat="false" ht="15" hidden="false" customHeight="false" outlineLevel="0" collapsed="false">
      <c r="A362" s="2"/>
      <c r="B362" s="37"/>
      <c r="C362" s="2"/>
      <c r="D362" s="2"/>
      <c r="E362" s="2"/>
      <c r="F362" s="2"/>
      <c r="G362" s="2"/>
      <c r="H362" s="37"/>
      <c r="I362" s="2"/>
      <c r="J362" s="37"/>
      <c r="K362" s="27" t="str">
        <f aca="false">IF(A362="","",IF(H362="","Open","Closed"))</f>
        <v/>
      </c>
      <c r="L362" s="27" t="str">
        <f aca="false">IF(A362="","",IF(H362="",AsOf-B362,H362-B362))</f>
        <v/>
      </c>
      <c r="M362" s="27" t="str">
        <f aca="false">IF(A362="","",IF(AND(K362="Open",L362&gt;Target),"Yes","No"))</f>
        <v/>
      </c>
      <c r="N362" s="27" t="str">
        <f aca="false">IF(K362&lt;&gt;"Open","",IF(L362&lt;=30,"0-30",IF(L362&lt;=60,"31-60",IF(L362&lt;=90,"61-90","90+"))))</f>
        <v/>
      </c>
      <c r="O362" s="27" t="str">
        <f aca="false">IF(A362="","",IF(COUNTIFS($D$5:$D$400,D362,$F$5:$F$400,F362,$B$5:$B$400,"&gt;="&amp;(B362-RepeatWin),$B$5:$B$400,"&lt;"&amp;B362)&gt;0,"Yes","No"))</f>
        <v/>
      </c>
      <c r="P362" s="35" t="str">
        <f aca="false">IF(OR(I362="",H362=""),"",H362+CapaDue)</f>
        <v/>
      </c>
      <c r="Q362" s="27" t="str">
        <f aca="false">IF(A362="","",IF(I362="","Not required",IF(J362&lt;&gt;"","Closed",IF(H362="","Awaiting dev. close",IF(AsOf&gt;P362,"Overdue","Open")))))</f>
        <v/>
      </c>
      <c r="R362" s="27" t="str">
        <f aca="false">IF(J362="","",IF(COUNTIFS($D$5:$D$400,D362,$F$5:$F$400,F362,$B$5:$B$400,"&gt;"&amp;J362,$B$5:$B$400,"&lt;="&amp;(J362+EffWin))&gt;0,"Ineffective",IF(AsOf-J362&gt;=EffWin,"Effective","Check pending")))</f>
        <v/>
      </c>
      <c r="S362" s="36" t="str">
        <f aca="false">IF(A362="","",DATE(YEAR(B362),MONTH(B362),1))</f>
        <v/>
      </c>
      <c r="T362" s="36" t="str">
        <f aca="false">IF(H362="","",DATE(YEAR(H362),MONTH(H362),1))</f>
        <v/>
      </c>
      <c r="U362" s="27" t="str">
        <f aca="false">IF(H362="","",IF(AsOf-H362&lt;=90,L362,""))</f>
        <v/>
      </c>
      <c r="V362" s="27" t="str">
        <f aca="false">IF(H362="","",IF(AND(AsOf-H362&gt;90,AsOf-H362&lt;=270),L362,""))</f>
        <v/>
      </c>
    </row>
    <row r="363" customFormat="false" ht="15" hidden="false" customHeight="false" outlineLevel="0" collapsed="false">
      <c r="A363" s="2"/>
      <c r="B363" s="37"/>
      <c r="C363" s="2"/>
      <c r="D363" s="2"/>
      <c r="E363" s="2"/>
      <c r="F363" s="2"/>
      <c r="G363" s="2"/>
      <c r="H363" s="37"/>
      <c r="I363" s="2"/>
      <c r="J363" s="37"/>
      <c r="K363" s="27" t="str">
        <f aca="false">IF(A363="","",IF(H363="","Open","Closed"))</f>
        <v/>
      </c>
      <c r="L363" s="27" t="str">
        <f aca="false">IF(A363="","",IF(H363="",AsOf-B363,H363-B363))</f>
        <v/>
      </c>
      <c r="M363" s="27" t="str">
        <f aca="false">IF(A363="","",IF(AND(K363="Open",L363&gt;Target),"Yes","No"))</f>
        <v/>
      </c>
      <c r="N363" s="27" t="str">
        <f aca="false">IF(K363&lt;&gt;"Open","",IF(L363&lt;=30,"0-30",IF(L363&lt;=60,"31-60",IF(L363&lt;=90,"61-90","90+"))))</f>
        <v/>
      </c>
      <c r="O363" s="27" t="str">
        <f aca="false">IF(A363="","",IF(COUNTIFS($D$5:$D$400,D363,$F$5:$F$400,F363,$B$5:$B$400,"&gt;="&amp;(B363-RepeatWin),$B$5:$B$400,"&lt;"&amp;B363)&gt;0,"Yes","No"))</f>
        <v/>
      </c>
      <c r="P363" s="35" t="str">
        <f aca="false">IF(OR(I363="",H363=""),"",H363+CapaDue)</f>
        <v/>
      </c>
      <c r="Q363" s="27" t="str">
        <f aca="false">IF(A363="","",IF(I363="","Not required",IF(J363&lt;&gt;"","Closed",IF(H363="","Awaiting dev. close",IF(AsOf&gt;P363,"Overdue","Open")))))</f>
        <v/>
      </c>
      <c r="R363" s="27" t="str">
        <f aca="false">IF(J363="","",IF(COUNTIFS($D$5:$D$400,D363,$F$5:$F$400,F363,$B$5:$B$400,"&gt;"&amp;J363,$B$5:$B$400,"&lt;="&amp;(J363+EffWin))&gt;0,"Ineffective",IF(AsOf-J363&gt;=EffWin,"Effective","Check pending")))</f>
        <v/>
      </c>
      <c r="S363" s="36" t="str">
        <f aca="false">IF(A363="","",DATE(YEAR(B363),MONTH(B363),1))</f>
        <v/>
      </c>
      <c r="T363" s="36" t="str">
        <f aca="false">IF(H363="","",DATE(YEAR(H363),MONTH(H363),1))</f>
        <v/>
      </c>
      <c r="U363" s="27" t="str">
        <f aca="false">IF(H363="","",IF(AsOf-H363&lt;=90,L363,""))</f>
        <v/>
      </c>
      <c r="V363" s="27" t="str">
        <f aca="false">IF(H363="","",IF(AND(AsOf-H363&gt;90,AsOf-H363&lt;=270),L363,""))</f>
        <v/>
      </c>
    </row>
    <row r="364" customFormat="false" ht="15" hidden="false" customHeight="false" outlineLevel="0" collapsed="false">
      <c r="A364" s="2"/>
      <c r="B364" s="37"/>
      <c r="C364" s="2"/>
      <c r="D364" s="2"/>
      <c r="E364" s="2"/>
      <c r="F364" s="2"/>
      <c r="G364" s="2"/>
      <c r="H364" s="37"/>
      <c r="I364" s="2"/>
      <c r="J364" s="37"/>
      <c r="K364" s="27" t="str">
        <f aca="false">IF(A364="","",IF(H364="","Open","Closed"))</f>
        <v/>
      </c>
      <c r="L364" s="27" t="str">
        <f aca="false">IF(A364="","",IF(H364="",AsOf-B364,H364-B364))</f>
        <v/>
      </c>
      <c r="M364" s="27" t="str">
        <f aca="false">IF(A364="","",IF(AND(K364="Open",L364&gt;Target),"Yes","No"))</f>
        <v/>
      </c>
      <c r="N364" s="27" t="str">
        <f aca="false">IF(K364&lt;&gt;"Open","",IF(L364&lt;=30,"0-30",IF(L364&lt;=60,"31-60",IF(L364&lt;=90,"61-90","90+"))))</f>
        <v/>
      </c>
      <c r="O364" s="27" t="str">
        <f aca="false">IF(A364="","",IF(COUNTIFS($D$5:$D$400,D364,$F$5:$F$400,F364,$B$5:$B$400,"&gt;="&amp;(B364-RepeatWin),$B$5:$B$400,"&lt;"&amp;B364)&gt;0,"Yes","No"))</f>
        <v/>
      </c>
      <c r="P364" s="35" t="str">
        <f aca="false">IF(OR(I364="",H364=""),"",H364+CapaDue)</f>
        <v/>
      </c>
      <c r="Q364" s="27" t="str">
        <f aca="false">IF(A364="","",IF(I364="","Not required",IF(J364&lt;&gt;"","Closed",IF(H364="","Awaiting dev. close",IF(AsOf&gt;P364,"Overdue","Open")))))</f>
        <v/>
      </c>
      <c r="R364" s="27" t="str">
        <f aca="false">IF(J364="","",IF(COUNTIFS($D$5:$D$400,D364,$F$5:$F$400,F364,$B$5:$B$400,"&gt;"&amp;J364,$B$5:$B$400,"&lt;="&amp;(J364+EffWin))&gt;0,"Ineffective",IF(AsOf-J364&gt;=EffWin,"Effective","Check pending")))</f>
        <v/>
      </c>
      <c r="S364" s="36" t="str">
        <f aca="false">IF(A364="","",DATE(YEAR(B364),MONTH(B364),1))</f>
        <v/>
      </c>
      <c r="T364" s="36" t="str">
        <f aca="false">IF(H364="","",DATE(YEAR(H364),MONTH(H364),1))</f>
        <v/>
      </c>
      <c r="U364" s="27" t="str">
        <f aca="false">IF(H364="","",IF(AsOf-H364&lt;=90,L364,""))</f>
        <v/>
      </c>
      <c r="V364" s="27" t="str">
        <f aca="false">IF(H364="","",IF(AND(AsOf-H364&gt;90,AsOf-H364&lt;=270),L364,""))</f>
        <v/>
      </c>
    </row>
    <row r="365" customFormat="false" ht="15" hidden="false" customHeight="false" outlineLevel="0" collapsed="false">
      <c r="A365" s="2"/>
      <c r="B365" s="37"/>
      <c r="C365" s="2"/>
      <c r="D365" s="2"/>
      <c r="E365" s="2"/>
      <c r="F365" s="2"/>
      <c r="G365" s="2"/>
      <c r="H365" s="37"/>
      <c r="I365" s="2"/>
      <c r="J365" s="37"/>
      <c r="K365" s="27" t="str">
        <f aca="false">IF(A365="","",IF(H365="","Open","Closed"))</f>
        <v/>
      </c>
      <c r="L365" s="27" t="str">
        <f aca="false">IF(A365="","",IF(H365="",AsOf-B365,H365-B365))</f>
        <v/>
      </c>
      <c r="M365" s="27" t="str">
        <f aca="false">IF(A365="","",IF(AND(K365="Open",L365&gt;Target),"Yes","No"))</f>
        <v/>
      </c>
      <c r="N365" s="27" t="str">
        <f aca="false">IF(K365&lt;&gt;"Open","",IF(L365&lt;=30,"0-30",IF(L365&lt;=60,"31-60",IF(L365&lt;=90,"61-90","90+"))))</f>
        <v/>
      </c>
      <c r="O365" s="27" t="str">
        <f aca="false">IF(A365="","",IF(COUNTIFS($D$5:$D$400,D365,$F$5:$F$400,F365,$B$5:$B$400,"&gt;="&amp;(B365-RepeatWin),$B$5:$B$400,"&lt;"&amp;B365)&gt;0,"Yes","No"))</f>
        <v/>
      </c>
      <c r="P365" s="35" t="str">
        <f aca="false">IF(OR(I365="",H365=""),"",H365+CapaDue)</f>
        <v/>
      </c>
      <c r="Q365" s="27" t="str">
        <f aca="false">IF(A365="","",IF(I365="","Not required",IF(J365&lt;&gt;"","Closed",IF(H365="","Awaiting dev. close",IF(AsOf&gt;P365,"Overdue","Open")))))</f>
        <v/>
      </c>
      <c r="R365" s="27" t="str">
        <f aca="false">IF(J365="","",IF(COUNTIFS($D$5:$D$400,D365,$F$5:$F$400,F365,$B$5:$B$400,"&gt;"&amp;J365,$B$5:$B$400,"&lt;="&amp;(J365+EffWin))&gt;0,"Ineffective",IF(AsOf-J365&gt;=EffWin,"Effective","Check pending")))</f>
        <v/>
      </c>
      <c r="S365" s="36" t="str">
        <f aca="false">IF(A365="","",DATE(YEAR(B365),MONTH(B365),1))</f>
        <v/>
      </c>
      <c r="T365" s="36" t="str">
        <f aca="false">IF(H365="","",DATE(YEAR(H365),MONTH(H365),1))</f>
        <v/>
      </c>
      <c r="U365" s="27" t="str">
        <f aca="false">IF(H365="","",IF(AsOf-H365&lt;=90,L365,""))</f>
        <v/>
      </c>
      <c r="V365" s="27" t="str">
        <f aca="false">IF(H365="","",IF(AND(AsOf-H365&gt;90,AsOf-H365&lt;=270),L365,""))</f>
        <v/>
      </c>
    </row>
    <row r="366" customFormat="false" ht="15" hidden="false" customHeight="false" outlineLevel="0" collapsed="false">
      <c r="A366" s="2"/>
      <c r="B366" s="37"/>
      <c r="C366" s="2"/>
      <c r="D366" s="2"/>
      <c r="E366" s="2"/>
      <c r="F366" s="2"/>
      <c r="G366" s="2"/>
      <c r="H366" s="37"/>
      <c r="I366" s="2"/>
      <c r="J366" s="37"/>
      <c r="K366" s="27" t="str">
        <f aca="false">IF(A366="","",IF(H366="","Open","Closed"))</f>
        <v/>
      </c>
      <c r="L366" s="27" t="str">
        <f aca="false">IF(A366="","",IF(H366="",AsOf-B366,H366-B366))</f>
        <v/>
      </c>
      <c r="M366" s="27" t="str">
        <f aca="false">IF(A366="","",IF(AND(K366="Open",L366&gt;Target),"Yes","No"))</f>
        <v/>
      </c>
      <c r="N366" s="27" t="str">
        <f aca="false">IF(K366&lt;&gt;"Open","",IF(L366&lt;=30,"0-30",IF(L366&lt;=60,"31-60",IF(L366&lt;=90,"61-90","90+"))))</f>
        <v/>
      </c>
      <c r="O366" s="27" t="str">
        <f aca="false">IF(A366="","",IF(COUNTIFS($D$5:$D$400,D366,$F$5:$F$400,F366,$B$5:$B$400,"&gt;="&amp;(B366-RepeatWin),$B$5:$B$400,"&lt;"&amp;B366)&gt;0,"Yes","No"))</f>
        <v/>
      </c>
      <c r="P366" s="35" t="str">
        <f aca="false">IF(OR(I366="",H366=""),"",H366+CapaDue)</f>
        <v/>
      </c>
      <c r="Q366" s="27" t="str">
        <f aca="false">IF(A366="","",IF(I366="","Not required",IF(J366&lt;&gt;"","Closed",IF(H366="","Awaiting dev. close",IF(AsOf&gt;P366,"Overdue","Open")))))</f>
        <v/>
      </c>
      <c r="R366" s="27" t="str">
        <f aca="false">IF(J366="","",IF(COUNTIFS($D$5:$D$400,D366,$F$5:$F$400,F366,$B$5:$B$400,"&gt;"&amp;J366,$B$5:$B$400,"&lt;="&amp;(J366+EffWin))&gt;0,"Ineffective",IF(AsOf-J366&gt;=EffWin,"Effective","Check pending")))</f>
        <v/>
      </c>
      <c r="S366" s="36" t="str">
        <f aca="false">IF(A366="","",DATE(YEAR(B366),MONTH(B366),1))</f>
        <v/>
      </c>
      <c r="T366" s="36" t="str">
        <f aca="false">IF(H366="","",DATE(YEAR(H366),MONTH(H366),1))</f>
        <v/>
      </c>
      <c r="U366" s="27" t="str">
        <f aca="false">IF(H366="","",IF(AsOf-H366&lt;=90,L366,""))</f>
        <v/>
      </c>
      <c r="V366" s="27" t="str">
        <f aca="false">IF(H366="","",IF(AND(AsOf-H366&gt;90,AsOf-H366&lt;=270),L366,""))</f>
        <v/>
      </c>
    </row>
    <row r="367" customFormat="false" ht="15" hidden="false" customHeight="false" outlineLevel="0" collapsed="false">
      <c r="A367" s="2"/>
      <c r="B367" s="37"/>
      <c r="C367" s="2"/>
      <c r="D367" s="2"/>
      <c r="E367" s="2"/>
      <c r="F367" s="2"/>
      <c r="G367" s="2"/>
      <c r="H367" s="37"/>
      <c r="I367" s="2"/>
      <c r="J367" s="37"/>
      <c r="K367" s="27" t="str">
        <f aca="false">IF(A367="","",IF(H367="","Open","Closed"))</f>
        <v/>
      </c>
      <c r="L367" s="27" t="str">
        <f aca="false">IF(A367="","",IF(H367="",AsOf-B367,H367-B367))</f>
        <v/>
      </c>
      <c r="M367" s="27" t="str">
        <f aca="false">IF(A367="","",IF(AND(K367="Open",L367&gt;Target),"Yes","No"))</f>
        <v/>
      </c>
      <c r="N367" s="27" t="str">
        <f aca="false">IF(K367&lt;&gt;"Open","",IF(L367&lt;=30,"0-30",IF(L367&lt;=60,"31-60",IF(L367&lt;=90,"61-90","90+"))))</f>
        <v/>
      </c>
      <c r="O367" s="27" t="str">
        <f aca="false">IF(A367="","",IF(COUNTIFS($D$5:$D$400,D367,$F$5:$F$400,F367,$B$5:$B$400,"&gt;="&amp;(B367-RepeatWin),$B$5:$B$400,"&lt;"&amp;B367)&gt;0,"Yes","No"))</f>
        <v/>
      </c>
      <c r="P367" s="35" t="str">
        <f aca="false">IF(OR(I367="",H367=""),"",H367+CapaDue)</f>
        <v/>
      </c>
      <c r="Q367" s="27" t="str">
        <f aca="false">IF(A367="","",IF(I367="","Not required",IF(J367&lt;&gt;"","Closed",IF(H367="","Awaiting dev. close",IF(AsOf&gt;P367,"Overdue","Open")))))</f>
        <v/>
      </c>
      <c r="R367" s="27" t="str">
        <f aca="false">IF(J367="","",IF(COUNTIFS($D$5:$D$400,D367,$F$5:$F$400,F367,$B$5:$B$400,"&gt;"&amp;J367,$B$5:$B$400,"&lt;="&amp;(J367+EffWin))&gt;0,"Ineffective",IF(AsOf-J367&gt;=EffWin,"Effective","Check pending")))</f>
        <v/>
      </c>
      <c r="S367" s="36" t="str">
        <f aca="false">IF(A367="","",DATE(YEAR(B367),MONTH(B367),1))</f>
        <v/>
      </c>
      <c r="T367" s="36" t="str">
        <f aca="false">IF(H367="","",DATE(YEAR(H367),MONTH(H367),1))</f>
        <v/>
      </c>
      <c r="U367" s="27" t="str">
        <f aca="false">IF(H367="","",IF(AsOf-H367&lt;=90,L367,""))</f>
        <v/>
      </c>
      <c r="V367" s="27" t="str">
        <f aca="false">IF(H367="","",IF(AND(AsOf-H367&gt;90,AsOf-H367&lt;=270),L367,""))</f>
        <v/>
      </c>
    </row>
    <row r="368" customFormat="false" ht="15" hidden="false" customHeight="false" outlineLevel="0" collapsed="false">
      <c r="A368" s="2"/>
      <c r="B368" s="37"/>
      <c r="C368" s="2"/>
      <c r="D368" s="2"/>
      <c r="E368" s="2"/>
      <c r="F368" s="2"/>
      <c r="G368" s="2"/>
      <c r="H368" s="37"/>
      <c r="I368" s="2"/>
      <c r="J368" s="37"/>
      <c r="K368" s="27" t="str">
        <f aca="false">IF(A368="","",IF(H368="","Open","Closed"))</f>
        <v/>
      </c>
      <c r="L368" s="27" t="str">
        <f aca="false">IF(A368="","",IF(H368="",AsOf-B368,H368-B368))</f>
        <v/>
      </c>
      <c r="M368" s="27" t="str">
        <f aca="false">IF(A368="","",IF(AND(K368="Open",L368&gt;Target),"Yes","No"))</f>
        <v/>
      </c>
      <c r="N368" s="27" t="str">
        <f aca="false">IF(K368&lt;&gt;"Open","",IF(L368&lt;=30,"0-30",IF(L368&lt;=60,"31-60",IF(L368&lt;=90,"61-90","90+"))))</f>
        <v/>
      </c>
      <c r="O368" s="27" t="str">
        <f aca="false">IF(A368="","",IF(COUNTIFS($D$5:$D$400,D368,$F$5:$F$400,F368,$B$5:$B$400,"&gt;="&amp;(B368-RepeatWin),$B$5:$B$400,"&lt;"&amp;B368)&gt;0,"Yes","No"))</f>
        <v/>
      </c>
      <c r="P368" s="35" t="str">
        <f aca="false">IF(OR(I368="",H368=""),"",H368+CapaDue)</f>
        <v/>
      </c>
      <c r="Q368" s="27" t="str">
        <f aca="false">IF(A368="","",IF(I368="","Not required",IF(J368&lt;&gt;"","Closed",IF(H368="","Awaiting dev. close",IF(AsOf&gt;P368,"Overdue","Open")))))</f>
        <v/>
      </c>
      <c r="R368" s="27" t="str">
        <f aca="false">IF(J368="","",IF(COUNTIFS($D$5:$D$400,D368,$F$5:$F$400,F368,$B$5:$B$400,"&gt;"&amp;J368,$B$5:$B$400,"&lt;="&amp;(J368+EffWin))&gt;0,"Ineffective",IF(AsOf-J368&gt;=EffWin,"Effective","Check pending")))</f>
        <v/>
      </c>
      <c r="S368" s="36" t="str">
        <f aca="false">IF(A368="","",DATE(YEAR(B368),MONTH(B368),1))</f>
        <v/>
      </c>
      <c r="T368" s="36" t="str">
        <f aca="false">IF(H368="","",DATE(YEAR(H368),MONTH(H368),1))</f>
        <v/>
      </c>
      <c r="U368" s="27" t="str">
        <f aca="false">IF(H368="","",IF(AsOf-H368&lt;=90,L368,""))</f>
        <v/>
      </c>
      <c r="V368" s="27" t="str">
        <f aca="false">IF(H368="","",IF(AND(AsOf-H368&gt;90,AsOf-H368&lt;=270),L368,""))</f>
        <v/>
      </c>
    </row>
    <row r="369" customFormat="false" ht="15" hidden="false" customHeight="false" outlineLevel="0" collapsed="false">
      <c r="A369" s="2"/>
      <c r="B369" s="37"/>
      <c r="C369" s="2"/>
      <c r="D369" s="2"/>
      <c r="E369" s="2"/>
      <c r="F369" s="2"/>
      <c r="G369" s="2"/>
      <c r="H369" s="37"/>
      <c r="I369" s="2"/>
      <c r="J369" s="37"/>
      <c r="K369" s="27" t="str">
        <f aca="false">IF(A369="","",IF(H369="","Open","Closed"))</f>
        <v/>
      </c>
      <c r="L369" s="27" t="str">
        <f aca="false">IF(A369="","",IF(H369="",AsOf-B369,H369-B369))</f>
        <v/>
      </c>
      <c r="M369" s="27" t="str">
        <f aca="false">IF(A369="","",IF(AND(K369="Open",L369&gt;Target),"Yes","No"))</f>
        <v/>
      </c>
      <c r="N369" s="27" t="str">
        <f aca="false">IF(K369&lt;&gt;"Open","",IF(L369&lt;=30,"0-30",IF(L369&lt;=60,"31-60",IF(L369&lt;=90,"61-90","90+"))))</f>
        <v/>
      </c>
      <c r="O369" s="27" t="str">
        <f aca="false">IF(A369="","",IF(COUNTIFS($D$5:$D$400,D369,$F$5:$F$400,F369,$B$5:$B$400,"&gt;="&amp;(B369-RepeatWin),$B$5:$B$400,"&lt;"&amp;B369)&gt;0,"Yes","No"))</f>
        <v/>
      </c>
      <c r="P369" s="35" t="str">
        <f aca="false">IF(OR(I369="",H369=""),"",H369+CapaDue)</f>
        <v/>
      </c>
      <c r="Q369" s="27" t="str">
        <f aca="false">IF(A369="","",IF(I369="","Not required",IF(J369&lt;&gt;"","Closed",IF(H369="","Awaiting dev. close",IF(AsOf&gt;P369,"Overdue","Open")))))</f>
        <v/>
      </c>
      <c r="R369" s="27" t="str">
        <f aca="false">IF(J369="","",IF(COUNTIFS($D$5:$D$400,D369,$F$5:$F$400,F369,$B$5:$B$400,"&gt;"&amp;J369,$B$5:$B$400,"&lt;="&amp;(J369+EffWin))&gt;0,"Ineffective",IF(AsOf-J369&gt;=EffWin,"Effective","Check pending")))</f>
        <v/>
      </c>
      <c r="S369" s="36" t="str">
        <f aca="false">IF(A369="","",DATE(YEAR(B369),MONTH(B369),1))</f>
        <v/>
      </c>
      <c r="T369" s="36" t="str">
        <f aca="false">IF(H369="","",DATE(YEAR(H369),MONTH(H369),1))</f>
        <v/>
      </c>
      <c r="U369" s="27" t="str">
        <f aca="false">IF(H369="","",IF(AsOf-H369&lt;=90,L369,""))</f>
        <v/>
      </c>
      <c r="V369" s="27" t="str">
        <f aca="false">IF(H369="","",IF(AND(AsOf-H369&gt;90,AsOf-H369&lt;=270),L369,""))</f>
        <v/>
      </c>
    </row>
    <row r="370" customFormat="false" ht="15" hidden="false" customHeight="false" outlineLevel="0" collapsed="false">
      <c r="A370" s="2"/>
      <c r="B370" s="37"/>
      <c r="C370" s="2"/>
      <c r="D370" s="2"/>
      <c r="E370" s="2"/>
      <c r="F370" s="2"/>
      <c r="G370" s="2"/>
      <c r="H370" s="37"/>
      <c r="I370" s="2"/>
      <c r="J370" s="37"/>
      <c r="K370" s="27" t="str">
        <f aca="false">IF(A370="","",IF(H370="","Open","Closed"))</f>
        <v/>
      </c>
      <c r="L370" s="27" t="str">
        <f aca="false">IF(A370="","",IF(H370="",AsOf-B370,H370-B370))</f>
        <v/>
      </c>
      <c r="M370" s="27" t="str">
        <f aca="false">IF(A370="","",IF(AND(K370="Open",L370&gt;Target),"Yes","No"))</f>
        <v/>
      </c>
      <c r="N370" s="27" t="str">
        <f aca="false">IF(K370&lt;&gt;"Open","",IF(L370&lt;=30,"0-30",IF(L370&lt;=60,"31-60",IF(L370&lt;=90,"61-90","90+"))))</f>
        <v/>
      </c>
      <c r="O370" s="27" t="str">
        <f aca="false">IF(A370="","",IF(COUNTIFS($D$5:$D$400,D370,$F$5:$F$400,F370,$B$5:$B$400,"&gt;="&amp;(B370-RepeatWin),$B$5:$B$400,"&lt;"&amp;B370)&gt;0,"Yes","No"))</f>
        <v/>
      </c>
      <c r="P370" s="35" t="str">
        <f aca="false">IF(OR(I370="",H370=""),"",H370+CapaDue)</f>
        <v/>
      </c>
      <c r="Q370" s="27" t="str">
        <f aca="false">IF(A370="","",IF(I370="","Not required",IF(J370&lt;&gt;"","Closed",IF(H370="","Awaiting dev. close",IF(AsOf&gt;P370,"Overdue","Open")))))</f>
        <v/>
      </c>
      <c r="R370" s="27" t="str">
        <f aca="false">IF(J370="","",IF(COUNTIFS($D$5:$D$400,D370,$F$5:$F$400,F370,$B$5:$B$400,"&gt;"&amp;J370,$B$5:$B$400,"&lt;="&amp;(J370+EffWin))&gt;0,"Ineffective",IF(AsOf-J370&gt;=EffWin,"Effective","Check pending")))</f>
        <v/>
      </c>
      <c r="S370" s="36" t="str">
        <f aca="false">IF(A370="","",DATE(YEAR(B370),MONTH(B370),1))</f>
        <v/>
      </c>
      <c r="T370" s="36" t="str">
        <f aca="false">IF(H370="","",DATE(YEAR(H370),MONTH(H370),1))</f>
        <v/>
      </c>
      <c r="U370" s="27" t="str">
        <f aca="false">IF(H370="","",IF(AsOf-H370&lt;=90,L370,""))</f>
        <v/>
      </c>
      <c r="V370" s="27" t="str">
        <f aca="false">IF(H370="","",IF(AND(AsOf-H370&gt;90,AsOf-H370&lt;=270),L370,""))</f>
        <v/>
      </c>
    </row>
    <row r="371" customFormat="false" ht="15" hidden="false" customHeight="false" outlineLevel="0" collapsed="false">
      <c r="A371" s="2"/>
      <c r="B371" s="37"/>
      <c r="C371" s="2"/>
      <c r="D371" s="2"/>
      <c r="E371" s="2"/>
      <c r="F371" s="2"/>
      <c r="G371" s="2"/>
      <c r="H371" s="37"/>
      <c r="I371" s="2"/>
      <c r="J371" s="37"/>
      <c r="K371" s="27" t="str">
        <f aca="false">IF(A371="","",IF(H371="","Open","Closed"))</f>
        <v/>
      </c>
      <c r="L371" s="27" t="str">
        <f aca="false">IF(A371="","",IF(H371="",AsOf-B371,H371-B371))</f>
        <v/>
      </c>
      <c r="M371" s="27" t="str">
        <f aca="false">IF(A371="","",IF(AND(K371="Open",L371&gt;Target),"Yes","No"))</f>
        <v/>
      </c>
      <c r="N371" s="27" t="str">
        <f aca="false">IF(K371&lt;&gt;"Open","",IF(L371&lt;=30,"0-30",IF(L371&lt;=60,"31-60",IF(L371&lt;=90,"61-90","90+"))))</f>
        <v/>
      </c>
      <c r="O371" s="27" t="str">
        <f aca="false">IF(A371="","",IF(COUNTIFS($D$5:$D$400,D371,$F$5:$F$400,F371,$B$5:$B$400,"&gt;="&amp;(B371-RepeatWin),$B$5:$B$400,"&lt;"&amp;B371)&gt;0,"Yes","No"))</f>
        <v/>
      </c>
      <c r="P371" s="35" t="str">
        <f aca="false">IF(OR(I371="",H371=""),"",H371+CapaDue)</f>
        <v/>
      </c>
      <c r="Q371" s="27" t="str">
        <f aca="false">IF(A371="","",IF(I371="","Not required",IF(J371&lt;&gt;"","Closed",IF(H371="","Awaiting dev. close",IF(AsOf&gt;P371,"Overdue","Open")))))</f>
        <v/>
      </c>
      <c r="R371" s="27" t="str">
        <f aca="false">IF(J371="","",IF(COUNTIFS($D$5:$D$400,D371,$F$5:$F$400,F371,$B$5:$B$400,"&gt;"&amp;J371,$B$5:$B$400,"&lt;="&amp;(J371+EffWin))&gt;0,"Ineffective",IF(AsOf-J371&gt;=EffWin,"Effective","Check pending")))</f>
        <v/>
      </c>
      <c r="S371" s="36" t="str">
        <f aca="false">IF(A371="","",DATE(YEAR(B371),MONTH(B371),1))</f>
        <v/>
      </c>
      <c r="T371" s="36" t="str">
        <f aca="false">IF(H371="","",DATE(YEAR(H371),MONTH(H371),1))</f>
        <v/>
      </c>
      <c r="U371" s="27" t="str">
        <f aca="false">IF(H371="","",IF(AsOf-H371&lt;=90,L371,""))</f>
        <v/>
      </c>
      <c r="V371" s="27" t="str">
        <f aca="false">IF(H371="","",IF(AND(AsOf-H371&gt;90,AsOf-H371&lt;=270),L371,""))</f>
        <v/>
      </c>
    </row>
    <row r="372" customFormat="false" ht="15" hidden="false" customHeight="false" outlineLevel="0" collapsed="false">
      <c r="A372" s="2"/>
      <c r="B372" s="37"/>
      <c r="C372" s="2"/>
      <c r="D372" s="2"/>
      <c r="E372" s="2"/>
      <c r="F372" s="2"/>
      <c r="G372" s="2"/>
      <c r="H372" s="37"/>
      <c r="I372" s="2"/>
      <c r="J372" s="37"/>
      <c r="K372" s="27" t="str">
        <f aca="false">IF(A372="","",IF(H372="","Open","Closed"))</f>
        <v/>
      </c>
      <c r="L372" s="27" t="str">
        <f aca="false">IF(A372="","",IF(H372="",AsOf-B372,H372-B372))</f>
        <v/>
      </c>
      <c r="M372" s="27" t="str">
        <f aca="false">IF(A372="","",IF(AND(K372="Open",L372&gt;Target),"Yes","No"))</f>
        <v/>
      </c>
      <c r="N372" s="27" t="str">
        <f aca="false">IF(K372&lt;&gt;"Open","",IF(L372&lt;=30,"0-30",IF(L372&lt;=60,"31-60",IF(L372&lt;=90,"61-90","90+"))))</f>
        <v/>
      </c>
      <c r="O372" s="27" t="str">
        <f aca="false">IF(A372="","",IF(COUNTIFS($D$5:$D$400,D372,$F$5:$F$400,F372,$B$5:$B$400,"&gt;="&amp;(B372-RepeatWin),$B$5:$B$400,"&lt;"&amp;B372)&gt;0,"Yes","No"))</f>
        <v/>
      </c>
      <c r="P372" s="35" t="str">
        <f aca="false">IF(OR(I372="",H372=""),"",H372+CapaDue)</f>
        <v/>
      </c>
      <c r="Q372" s="27" t="str">
        <f aca="false">IF(A372="","",IF(I372="","Not required",IF(J372&lt;&gt;"","Closed",IF(H372="","Awaiting dev. close",IF(AsOf&gt;P372,"Overdue","Open")))))</f>
        <v/>
      </c>
      <c r="R372" s="27" t="str">
        <f aca="false">IF(J372="","",IF(COUNTIFS($D$5:$D$400,D372,$F$5:$F$400,F372,$B$5:$B$400,"&gt;"&amp;J372,$B$5:$B$400,"&lt;="&amp;(J372+EffWin))&gt;0,"Ineffective",IF(AsOf-J372&gt;=EffWin,"Effective","Check pending")))</f>
        <v/>
      </c>
      <c r="S372" s="36" t="str">
        <f aca="false">IF(A372="","",DATE(YEAR(B372),MONTH(B372),1))</f>
        <v/>
      </c>
      <c r="T372" s="36" t="str">
        <f aca="false">IF(H372="","",DATE(YEAR(H372),MONTH(H372),1))</f>
        <v/>
      </c>
      <c r="U372" s="27" t="str">
        <f aca="false">IF(H372="","",IF(AsOf-H372&lt;=90,L372,""))</f>
        <v/>
      </c>
      <c r="V372" s="27" t="str">
        <f aca="false">IF(H372="","",IF(AND(AsOf-H372&gt;90,AsOf-H372&lt;=270),L372,""))</f>
        <v/>
      </c>
    </row>
    <row r="373" customFormat="false" ht="15" hidden="false" customHeight="false" outlineLevel="0" collapsed="false">
      <c r="A373" s="2"/>
      <c r="B373" s="37"/>
      <c r="C373" s="2"/>
      <c r="D373" s="2"/>
      <c r="E373" s="2"/>
      <c r="F373" s="2"/>
      <c r="G373" s="2"/>
      <c r="H373" s="37"/>
      <c r="I373" s="2"/>
      <c r="J373" s="37"/>
      <c r="K373" s="27" t="str">
        <f aca="false">IF(A373="","",IF(H373="","Open","Closed"))</f>
        <v/>
      </c>
      <c r="L373" s="27" t="str">
        <f aca="false">IF(A373="","",IF(H373="",AsOf-B373,H373-B373))</f>
        <v/>
      </c>
      <c r="M373" s="27" t="str">
        <f aca="false">IF(A373="","",IF(AND(K373="Open",L373&gt;Target),"Yes","No"))</f>
        <v/>
      </c>
      <c r="N373" s="27" t="str">
        <f aca="false">IF(K373&lt;&gt;"Open","",IF(L373&lt;=30,"0-30",IF(L373&lt;=60,"31-60",IF(L373&lt;=90,"61-90","90+"))))</f>
        <v/>
      </c>
      <c r="O373" s="27" t="str">
        <f aca="false">IF(A373="","",IF(COUNTIFS($D$5:$D$400,D373,$F$5:$F$400,F373,$B$5:$B$400,"&gt;="&amp;(B373-RepeatWin),$B$5:$B$400,"&lt;"&amp;B373)&gt;0,"Yes","No"))</f>
        <v/>
      </c>
      <c r="P373" s="35" t="str">
        <f aca="false">IF(OR(I373="",H373=""),"",H373+CapaDue)</f>
        <v/>
      </c>
      <c r="Q373" s="27" t="str">
        <f aca="false">IF(A373="","",IF(I373="","Not required",IF(J373&lt;&gt;"","Closed",IF(H373="","Awaiting dev. close",IF(AsOf&gt;P373,"Overdue","Open")))))</f>
        <v/>
      </c>
      <c r="R373" s="27" t="str">
        <f aca="false">IF(J373="","",IF(COUNTIFS($D$5:$D$400,D373,$F$5:$F$400,F373,$B$5:$B$400,"&gt;"&amp;J373,$B$5:$B$400,"&lt;="&amp;(J373+EffWin))&gt;0,"Ineffective",IF(AsOf-J373&gt;=EffWin,"Effective","Check pending")))</f>
        <v/>
      </c>
      <c r="S373" s="36" t="str">
        <f aca="false">IF(A373="","",DATE(YEAR(B373),MONTH(B373),1))</f>
        <v/>
      </c>
      <c r="T373" s="36" t="str">
        <f aca="false">IF(H373="","",DATE(YEAR(H373),MONTH(H373),1))</f>
        <v/>
      </c>
      <c r="U373" s="27" t="str">
        <f aca="false">IF(H373="","",IF(AsOf-H373&lt;=90,L373,""))</f>
        <v/>
      </c>
      <c r="V373" s="27" t="str">
        <f aca="false">IF(H373="","",IF(AND(AsOf-H373&gt;90,AsOf-H373&lt;=270),L373,""))</f>
        <v/>
      </c>
    </row>
    <row r="374" customFormat="false" ht="15" hidden="false" customHeight="false" outlineLevel="0" collapsed="false">
      <c r="A374" s="2"/>
      <c r="B374" s="37"/>
      <c r="C374" s="2"/>
      <c r="D374" s="2"/>
      <c r="E374" s="2"/>
      <c r="F374" s="2"/>
      <c r="G374" s="2"/>
      <c r="H374" s="37"/>
      <c r="I374" s="2"/>
      <c r="J374" s="37"/>
      <c r="K374" s="27" t="str">
        <f aca="false">IF(A374="","",IF(H374="","Open","Closed"))</f>
        <v/>
      </c>
      <c r="L374" s="27" t="str">
        <f aca="false">IF(A374="","",IF(H374="",AsOf-B374,H374-B374))</f>
        <v/>
      </c>
      <c r="M374" s="27" t="str">
        <f aca="false">IF(A374="","",IF(AND(K374="Open",L374&gt;Target),"Yes","No"))</f>
        <v/>
      </c>
      <c r="N374" s="27" t="str">
        <f aca="false">IF(K374&lt;&gt;"Open","",IF(L374&lt;=30,"0-30",IF(L374&lt;=60,"31-60",IF(L374&lt;=90,"61-90","90+"))))</f>
        <v/>
      </c>
      <c r="O374" s="27" t="str">
        <f aca="false">IF(A374="","",IF(COUNTIFS($D$5:$D$400,D374,$F$5:$F$400,F374,$B$5:$B$400,"&gt;="&amp;(B374-RepeatWin),$B$5:$B$400,"&lt;"&amp;B374)&gt;0,"Yes","No"))</f>
        <v/>
      </c>
      <c r="P374" s="35" t="str">
        <f aca="false">IF(OR(I374="",H374=""),"",H374+CapaDue)</f>
        <v/>
      </c>
      <c r="Q374" s="27" t="str">
        <f aca="false">IF(A374="","",IF(I374="","Not required",IF(J374&lt;&gt;"","Closed",IF(H374="","Awaiting dev. close",IF(AsOf&gt;P374,"Overdue","Open")))))</f>
        <v/>
      </c>
      <c r="R374" s="27" t="str">
        <f aca="false">IF(J374="","",IF(COUNTIFS($D$5:$D$400,D374,$F$5:$F$400,F374,$B$5:$B$400,"&gt;"&amp;J374,$B$5:$B$400,"&lt;="&amp;(J374+EffWin))&gt;0,"Ineffective",IF(AsOf-J374&gt;=EffWin,"Effective","Check pending")))</f>
        <v/>
      </c>
      <c r="S374" s="36" t="str">
        <f aca="false">IF(A374="","",DATE(YEAR(B374),MONTH(B374),1))</f>
        <v/>
      </c>
      <c r="T374" s="36" t="str">
        <f aca="false">IF(H374="","",DATE(YEAR(H374),MONTH(H374),1))</f>
        <v/>
      </c>
      <c r="U374" s="27" t="str">
        <f aca="false">IF(H374="","",IF(AsOf-H374&lt;=90,L374,""))</f>
        <v/>
      </c>
      <c r="V374" s="27" t="str">
        <f aca="false">IF(H374="","",IF(AND(AsOf-H374&gt;90,AsOf-H374&lt;=270),L374,""))</f>
        <v/>
      </c>
    </row>
    <row r="375" customFormat="false" ht="15" hidden="false" customHeight="false" outlineLevel="0" collapsed="false">
      <c r="A375" s="2"/>
      <c r="B375" s="37"/>
      <c r="C375" s="2"/>
      <c r="D375" s="2"/>
      <c r="E375" s="2"/>
      <c r="F375" s="2"/>
      <c r="G375" s="2"/>
      <c r="H375" s="37"/>
      <c r="I375" s="2"/>
      <c r="J375" s="37"/>
      <c r="K375" s="27" t="str">
        <f aca="false">IF(A375="","",IF(H375="","Open","Closed"))</f>
        <v/>
      </c>
      <c r="L375" s="27" t="str">
        <f aca="false">IF(A375="","",IF(H375="",AsOf-B375,H375-B375))</f>
        <v/>
      </c>
      <c r="M375" s="27" t="str">
        <f aca="false">IF(A375="","",IF(AND(K375="Open",L375&gt;Target),"Yes","No"))</f>
        <v/>
      </c>
      <c r="N375" s="27" t="str">
        <f aca="false">IF(K375&lt;&gt;"Open","",IF(L375&lt;=30,"0-30",IF(L375&lt;=60,"31-60",IF(L375&lt;=90,"61-90","90+"))))</f>
        <v/>
      </c>
      <c r="O375" s="27" t="str">
        <f aca="false">IF(A375="","",IF(COUNTIFS($D$5:$D$400,D375,$F$5:$F$400,F375,$B$5:$B$400,"&gt;="&amp;(B375-RepeatWin),$B$5:$B$400,"&lt;"&amp;B375)&gt;0,"Yes","No"))</f>
        <v/>
      </c>
      <c r="P375" s="35" t="str">
        <f aca="false">IF(OR(I375="",H375=""),"",H375+CapaDue)</f>
        <v/>
      </c>
      <c r="Q375" s="27" t="str">
        <f aca="false">IF(A375="","",IF(I375="","Not required",IF(J375&lt;&gt;"","Closed",IF(H375="","Awaiting dev. close",IF(AsOf&gt;P375,"Overdue","Open")))))</f>
        <v/>
      </c>
      <c r="R375" s="27" t="str">
        <f aca="false">IF(J375="","",IF(COUNTIFS($D$5:$D$400,D375,$F$5:$F$400,F375,$B$5:$B$400,"&gt;"&amp;J375,$B$5:$B$400,"&lt;="&amp;(J375+EffWin))&gt;0,"Ineffective",IF(AsOf-J375&gt;=EffWin,"Effective","Check pending")))</f>
        <v/>
      </c>
      <c r="S375" s="36" t="str">
        <f aca="false">IF(A375="","",DATE(YEAR(B375),MONTH(B375),1))</f>
        <v/>
      </c>
      <c r="T375" s="36" t="str">
        <f aca="false">IF(H375="","",DATE(YEAR(H375),MONTH(H375),1))</f>
        <v/>
      </c>
      <c r="U375" s="27" t="str">
        <f aca="false">IF(H375="","",IF(AsOf-H375&lt;=90,L375,""))</f>
        <v/>
      </c>
      <c r="V375" s="27" t="str">
        <f aca="false">IF(H375="","",IF(AND(AsOf-H375&gt;90,AsOf-H375&lt;=270),L375,""))</f>
        <v/>
      </c>
    </row>
    <row r="376" customFormat="false" ht="15" hidden="false" customHeight="false" outlineLevel="0" collapsed="false">
      <c r="A376" s="2"/>
      <c r="B376" s="37"/>
      <c r="C376" s="2"/>
      <c r="D376" s="2"/>
      <c r="E376" s="2"/>
      <c r="F376" s="2"/>
      <c r="G376" s="2"/>
      <c r="H376" s="37"/>
      <c r="I376" s="2"/>
      <c r="J376" s="37"/>
      <c r="K376" s="27" t="str">
        <f aca="false">IF(A376="","",IF(H376="","Open","Closed"))</f>
        <v/>
      </c>
      <c r="L376" s="27" t="str">
        <f aca="false">IF(A376="","",IF(H376="",AsOf-B376,H376-B376))</f>
        <v/>
      </c>
      <c r="M376" s="27" t="str">
        <f aca="false">IF(A376="","",IF(AND(K376="Open",L376&gt;Target),"Yes","No"))</f>
        <v/>
      </c>
      <c r="N376" s="27" t="str">
        <f aca="false">IF(K376&lt;&gt;"Open","",IF(L376&lt;=30,"0-30",IF(L376&lt;=60,"31-60",IF(L376&lt;=90,"61-90","90+"))))</f>
        <v/>
      </c>
      <c r="O376" s="27" t="str">
        <f aca="false">IF(A376="","",IF(COUNTIFS($D$5:$D$400,D376,$F$5:$F$400,F376,$B$5:$B$400,"&gt;="&amp;(B376-RepeatWin),$B$5:$B$400,"&lt;"&amp;B376)&gt;0,"Yes","No"))</f>
        <v/>
      </c>
      <c r="P376" s="35" t="str">
        <f aca="false">IF(OR(I376="",H376=""),"",H376+CapaDue)</f>
        <v/>
      </c>
      <c r="Q376" s="27" t="str">
        <f aca="false">IF(A376="","",IF(I376="","Not required",IF(J376&lt;&gt;"","Closed",IF(H376="","Awaiting dev. close",IF(AsOf&gt;P376,"Overdue","Open")))))</f>
        <v/>
      </c>
      <c r="R376" s="27" t="str">
        <f aca="false">IF(J376="","",IF(COUNTIFS($D$5:$D$400,D376,$F$5:$F$400,F376,$B$5:$B$400,"&gt;"&amp;J376,$B$5:$B$400,"&lt;="&amp;(J376+EffWin))&gt;0,"Ineffective",IF(AsOf-J376&gt;=EffWin,"Effective","Check pending")))</f>
        <v/>
      </c>
      <c r="S376" s="36" t="str">
        <f aca="false">IF(A376="","",DATE(YEAR(B376),MONTH(B376),1))</f>
        <v/>
      </c>
      <c r="T376" s="36" t="str">
        <f aca="false">IF(H376="","",DATE(YEAR(H376),MONTH(H376),1))</f>
        <v/>
      </c>
      <c r="U376" s="27" t="str">
        <f aca="false">IF(H376="","",IF(AsOf-H376&lt;=90,L376,""))</f>
        <v/>
      </c>
      <c r="V376" s="27" t="str">
        <f aca="false">IF(H376="","",IF(AND(AsOf-H376&gt;90,AsOf-H376&lt;=270),L376,""))</f>
        <v/>
      </c>
    </row>
    <row r="377" customFormat="false" ht="15" hidden="false" customHeight="false" outlineLevel="0" collapsed="false">
      <c r="A377" s="2"/>
      <c r="B377" s="37"/>
      <c r="C377" s="2"/>
      <c r="D377" s="2"/>
      <c r="E377" s="2"/>
      <c r="F377" s="2"/>
      <c r="G377" s="2"/>
      <c r="H377" s="37"/>
      <c r="I377" s="2"/>
      <c r="J377" s="37"/>
      <c r="K377" s="27" t="str">
        <f aca="false">IF(A377="","",IF(H377="","Open","Closed"))</f>
        <v/>
      </c>
      <c r="L377" s="27" t="str">
        <f aca="false">IF(A377="","",IF(H377="",AsOf-B377,H377-B377))</f>
        <v/>
      </c>
      <c r="M377" s="27" t="str">
        <f aca="false">IF(A377="","",IF(AND(K377="Open",L377&gt;Target),"Yes","No"))</f>
        <v/>
      </c>
      <c r="N377" s="27" t="str">
        <f aca="false">IF(K377&lt;&gt;"Open","",IF(L377&lt;=30,"0-30",IF(L377&lt;=60,"31-60",IF(L377&lt;=90,"61-90","90+"))))</f>
        <v/>
      </c>
      <c r="O377" s="27" t="str">
        <f aca="false">IF(A377="","",IF(COUNTIFS($D$5:$D$400,D377,$F$5:$F$400,F377,$B$5:$B$400,"&gt;="&amp;(B377-RepeatWin),$B$5:$B$400,"&lt;"&amp;B377)&gt;0,"Yes","No"))</f>
        <v/>
      </c>
      <c r="P377" s="35" t="str">
        <f aca="false">IF(OR(I377="",H377=""),"",H377+CapaDue)</f>
        <v/>
      </c>
      <c r="Q377" s="27" t="str">
        <f aca="false">IF(A377="","",IF(I377="","Not required",IF(J377&lt;&gt;"","Closed",IF(H377="","Awaiting dev. close",IF(AsOf&gt;P377,"Overdue","Open")))))</f>
        <v/>
      </c>
      <c r="R377" s="27" t="str">
        <f aca="false">IF(J377="","",IF(COUNTIFS($D$5:$D$400,D377,$F$5:$F$400,F377,$B$5:$B$400,"&gt;"&amp;J377,$B$5:$B$400,"&lt;="&amp;(J377+EffWin))&gt;0,"Ineffective",IF(AsOf-J377&gt;=EffWin,"Effective","Check pending")))</f>
        <v/>
      </c>
      <c r="S377" s="36" t="str">
        <f aca="false">IF(A377="","",DATE(YEAR(B377),MONTH(B377),1))</f>
        <v/>
      </c>
      <c r="T377" s="36" t="str">
        <f aca="false">IF(H377="","",DATE(YEAR(H377),MONTH(H377),1))</f>
        <v/>
      </c>
      <c r="U377" s="27" t="str">
        <f aca="false">IF(H377="","",IF(AsOf-H377&lt;=90,L377,""))</f>
        <v/>
      </c>
      <c r="V377" s="27" t="str">
        <f aca="false">IF(H377="","",IF(AND(AsOf-H377&gt;90,AsOf-H377&lt;=270),L377,""))</f>
        <v/>
      </c>
    </row>
    <row r="378" customFormat="false" ht="15" hidden="false" customHeight="false" outlineLevel="0" collapsed="false">
      <c r="A378" s="2"/>
      <c r="B378" s="37"/>
      <c r="C378" s="2"/>
      <c r="D378" s="2"/>
      <c r="E378" s="2"/>
      <c r="F378" s="2"/>
      <c r="G378" s="2"/>
      <c r="H378" s="37"/>
      <c r="I378" s="2"/>
      <c r="J378" s="37"/>
      <c r="K378" s="27" t="str">
        <f aca="false">IF(A378="","",IF(H378="","Open","Closed"))</f>
        <v/>
      </c>
      <c r="L378" s="27" t="str">
        <f aca="false">IF(A378="","",IF(H378="",AsOf-B378,H378-B378))</f>
        <v/>
      </c>
      <c r="M378" s="27" t="str">
        <f aca="false">IF(A378="","",IF(AND(K378="Open",L378&gt;Target),"Yes","No"))</f>
        <v/>
      </c>
      <c r="N378" s="27" t="str">
        <f aca="false">IF(K378&lt;&gt;"Open","",IF(L378&lt;=30,"0-30",IF(L378&lt;=60,"31-60",IF(L378&lt;=90,"61-90","90+"))))</f>
        <v/>
      </c>
      <c r="O378" s="27" t="str">
        <f aca="false">IF(A378="","",IF(COUNTIFS($D$5:$D$400,D378,$F$5:$F$400,F378,$B$5:$B$400,"&gt;="&amp;(B378-RepeatWin),$B$5:$B$400,"&lt;"&amp;B378)&gt;0,"Yes","No"))</f>
        <v/>
      </c>
      <c r="P378" s="35" t="str">
        <f aca="false">IF(OR(I378="",H378=""),"",H378+CapaDue)</f>
        <v/>
      </c>
      <c r="Q378" s="27" t="str">
        <f aca="false">IF(A378="","",IF(I378="","Not required",IF(J378&lt;&gt;"","Closed",IF(H378="","Awaiting dev. close",IF(AsOf&gt;P378,"Overdue","Open")))))</f>
        <v/>
      </c>
      <c r="R378" s="27" t="str">
        <f aca="false">IF(J378="","",IF(COUNTIFS($D$5:$D$400,D378,$F$5:$F$400,F378,$B$5:$B$400,"&gt;"&amp;J378,$B$5:$B$400,"&lt;="&amp;(J378+EffWin))&gt;0,"Ineffective",IF(AsOf-J378&gt;=EffWin,"Effective","Check pending")))</f>
        <v/>
      </c>
      <c r="S378" s="36" t="str">
        <f aca="false">IF(A378="","",DATE(YEAR(B378),MONTH(B378),1))</f>
        <v/>
      </c>
      <c r="T378" s="36" t="str">
        <f aca="false">IF(H378="","",DATE(YEAR(H378),MONTH(H378),1))</f>
        <v/>
      </c>
      <c r="U378" s="27" t="str">
        <f aca="false">IF(H378="","",IF(AsOf-H378&lt;=90,L378,""))</f>
        <v/>
      </c>
      <c r="V378" s="27" t="str">
        <f aca="false">IF(H378="","",IF(AND(AsOf-H378&gt;90,AsOf-H378&lt;=270),L378,""))</f>
        <v/>
      </c>
    </row>
    <row r="379" customFormat="false" ht="15" hidden="false" customHeight="false" outlineLevel="0" collapsed="false">
      <c r="A379" s="2"/>
      <c r="B379" s="37"/>
      <c r="C379" s="2"/>
      <c r="D379" s="2"/>
      <c r="E379" s="2"/>
      <c r="F379" s="2"/>
      <c r="G379" s="2"/>
      <c r="H379" s="37"/>
      <c r="I379" s="2"/>
      <c r="J379" s="37"/>
      <c r="K379" s="27" t="str">
        <f aca="false">IF(A379="","",IF(H379="","Open","Closed"))</f>
        <v/>
      </c>
      <c r="L379" s="27" t="str">
        <f aca="false">IF(A379="","",IF(H379="",AsOf-B379,H379-B379))</f>
        <v/>
      </c>
      <c r="M379" s="27" t="str">
        <f aca="false">IF(A379="","",IF(AND(K379="Open",L379&gt;Target),"Yes","No"))</f>
        <v/>
      </c>
      <c r="N379" s="27" t="str">
        <f aca="false">IF(K379&lt;&gt;"Open","",IF(L379&lt;=30,"0-30",IF(L379&lt;=60,"31-60",IF(L379&lt;=90,"61-90","90+"))))</f>
        <v/>
      </c>
      <c r="O379" s="27" t="str">
        <f aca="false">IF(A379="","",IF(COUNTIFS($D$5:$D$400,D379,$F$5:$F$400,F379,$B$5:$B$400,"&gt;="&amp;(B379-RepeatWin),$B$5:$B$400,"&lt;"&amp;B379)&gt;0,"Yes","No"))</f>
        <v/>
      </c>
      <c r="P379" s="35" t="str">
        <f aca="false">IF(OR(I379="",H379=""),"",H379+CapaDue)</f>
        <v/>
      </c>
      <c r="Q379" s="27" t="str">
        <f aca="false">IF(A379="","",IF(I379="","Not required",IF(J379&lt;&gt;"","Closed",IF(H379="","Awaiting dev. close",IF(AsOf&gt;P379,"Overdue","Open")))))</f>
        <v/>
      </c>
      <c r="R379" s="27" t="str">
        <f aca="false">IF(J379="","",IF(COUNTIFS($D$5:$D$400,D379,$F$5:$F$400,F379,$B$5:$B$400,"&gt;"&amp;J379,$B$5:$B$400,"&lt;="&amp;(J379+EffWin))&gt;0,"Ineffective",IF(AsOf-J379&gt;=EffWin,"Effective","Check pending")))</f>
        <v/>
      </c>
      <c r="S379" s="36" t="str">
        <f aca="false">IF(A379="","",DATE(YEAR(B379),MONTH(B379),1))</f>
        <v/>
      </c>
      <c r="T379" s="36" t="str">
        <f aca="false">IF(H379="","",DATE(YEAR(H379),MONTH(H379),1))</f>
        <v/>
      </c>
      <c r="U379" s="27" t="str">
        <f aca="false">IF(H379="","",IF(AsOf-H379&lt;=90,L379,""))</f>
        <v/>
      </c>
      <c r="V379" s="27" t="str">
        <f aca="false">IF(H379="","",IF(AND(AsOf-H379&gt;90,AsOf-H379&lt;=270),L379,""))</f>
        <v/>
      </c>
    </row>
    <row r="380" customFormat="false" ht="15" hidden="false" customHeight="false" outlineLevel="0" collapsed="false">
      <c r="A380" s="2"/>
      <c r="B380" s="37"/>
      <c r="C380" s="2"/>
      <c r="D380" s="2"/>
      <c r="E380" s="2"/>
      <c r="F380" s="2"/>
      <c r="G380" s="2"/>
      <c r="H380" s="37"/>
      <c r="I380" s="2"/>
      <c r="J380" s="37"/>
      <c r="K380" s="27" t="str">
        <f aca="false">IF(A380="","",IF(H380="","Open","Closed"))</f>
        <v/>
      </c>
      <c r="L380" s="27" t="str">
        <f aca="false">IF(A380="","",IF(H380="",AsOf-B380,H380-B380))</f>
        <v/>
      </c>
      <c r="M380" s="27" t="str">
        <f aca="false">IF(A380="","",IF(AND(K380="Open",L380&gt;Target),"Yes","No"))</f>
        <v/>
      </c>
      <c r="N380" s="27" t="str">
        <f aca="false">IF(K380&lt;&gt;"Open","",IF(L380&lt;=30,"0-30",IF(L380&lt;=60,"31-60",IF(L380&lt;=90,"61-90","90+"))))</f>
        <v/>
      </c>
      <c r="O380" s="27" t="str">
        <f aca="false">IF(A380="","",IF(COUNTIFS($D$5:$D$400,D380,$F$5:$F$400,F380,$B$5:$B$400,"&gt;="&amp;(B380-RepeatWin),$B$5:$B$400,"&lt;"&amp;B380)&gt;0,"Yes","No"))</f>
        <v/>
      </c>
      <c r="P380" s="35" t="str">
        <f aca="false">IF(OR(I380="",H380=""),"",H380+CapaDue)</f>
        <v/>
      </c>
      <c r="Q380" s="27" t="str">
        <f aca="false">IF(A380="","",IF(I380="","Not required",IF(J380&lt;&gt;"","Closed",IF(H380="","Awaiting dev. close",IF(AsOf&gt;P380,"Overdue","Open")))))</f>
        <v/>
      </c>
      <c r="R380" s="27" t="str">
        <f aca="false">IF(J380="","",IF(COUNTIFS($D$5:$D$400,D380,$F$5:$F$400,F380,$B$5:$B$400,"&gt;"&amp;J380,$B$5:$B$400,"&lt;="&amp;(J380+EffWin))&gt;0,"Ineffective",IF(AsOf-J380&gt;=EffWin,"Effective","Check pending")))</f>
        <v/>
      </c>
      <c r="S380" s="36" t="str">
        <f aca="false">IF(A380="","",DATE(YEAR(B380),MONTH(B380),1))</f>
        <v/>
      </c>
      <c r="T380" s="36" t="str">
        <f aca="false">IF(H380="","",DATE(YEAR(H380),MONTH(H380),1))</f>
        <v/>
      </c>
      <c r="U380" s="27" t="str">
        <f aca="false">IF(H380="","",IF(AsOf-H380&lt;=90,L380,""))</f>
        <v/>
      </c>
      <c r="V380" s="27" t="str">
        <f aca="false">IF(H380="","",IF(AND(AsOf-H380&gt;90,AsOf-H380&lt;=270),L380,""))</f>
        <v/>
      </c>
    </row>
    <row r="381" customFormat="false" ht="15" hidden="false" customHeight="false" outlineLevel="0" collapsed="false">
      <c r="A381" s="2"/>
      <c r="B381" s="37"/>
      <c r="C381" s="2"/>
      <c r="D381" s="2"/>
      <c r="E381" s="2"/>
      <c r="F381" s="2"/>
      <c r="G381" s="2"/>
      <c r="H381" s="37"/>
      <c r="I381" s="2"/>
      <c r="J381" s="37"/>
      <c r="K381" s="27" t="str">
        <f aca="false">IF(A381="","",IF(H381="","Open","Closed"))</f>
        <v/>
      </c>
      <c r="L381" s="27" t="str">
        <f aca="false">IF(A381="","",IF(H381="",AsOf-B381,H381-B381))</f>
        <v/>
      </c>
      <c r="M381" s="27" t="str">
        <f aca="false">IF(A381="","",IF(AND(K381="Open",L381&gt;Target),"Yes","No"))</f>
        <v/>
      </c>
      <c r="N381" s="27" t="str">
        <f aca="false">IF(K381&lt;&gt;"Open","",IF(L381&lt;=30,"0-30",IF(L381&lt;=60,"31-60",IF(L381&lt;=90,"61-90","90+"))))</f>
        <v/>
      </c>
      <c r="O381" s="27" t="str">
        <f aca="false">IF(A381="","",IF(COUNTIFS($D$5:$D$400,D381,$F$5:$F$400,F381,$B$5:$B$400,"&gt;="&amp;(B381-RepeatWin),$B$5:$B$400,"&lt;"&amp;B381)&gt;0,"Yes","No"))</f>
        <v/>
      </c>
      <c r="P381" s="35" t="str">
        <f aca="false">IF(OR(I381="",H381=""),"",H381+CapaDue)</f>
        <v/>
      </c>
      <c r="Q381" s="27" t="str">
        <f aca="false">IF(A381="","",IF(I381="","Not required",IF(J381&lt;&gt;"","Closed",IF(H381="","Awaiting dev. close",IF(AsOf&gt;P381,"Overdue","Open")))))</f>
        <v/>
      </c>
      <c r="R381" s="27" t="str">
        <f aca="false">IF(J381="","",IF(COUNTIFS($D$5:$D$400,D381,$F$5:$F$400,F381,$B$5:$B$400,"&gt;"&amp;J381,$B$5:$B$400,"&lt;="&amp;(J381+EffWin))&gt;0,"Ineffective",IF(AsOf-J381&gt;=EffWin,"Effective","Check pending")))</f>
        <v/>
      </c>
      <c r="S381" s="36" t="str">
        <f aca="false">IF(A381="","",DATE(YEAR(B381),MONTH(B381),1))</f>
        <v/>
      </c>
      <c r="T381" s="36" t="str">
        <f aca="false">IF(H381="","",DATE(YEAR(H381),MONTH(H381),1))</f>
        <v/>
      </c>
      <c r="U381" s="27" t="str">
        <f aca="false">IF(H381="","",IF(AsOf-H381&lt;=90,L381,""))</f>
        <v/>
      </c>
      <c r="V381" s="27" t="str">
        <f aca="false">IF(H381="","",IF(AND(AsOf-H381&gt;90,AsOf-H381&lt;=270),L381,""))</f>
        <v/>
      </c>
    </row>
    <row r="382" customFormat="false" ht="15" hidden="false" customHeight="false" outlineLevel="0" collapsed="false">
      <c r="A382" s="2"/>
      <c r="B382" s="37"/>
      <c r="C382" s="2"/>
      <c r="D382" s="2"/>
      <c r="E382" s="2"/>
      <c r="F382" s="2"/>
      <c r="G382" s="2"/>
      <c r="H382" s="37"/>
      <c r="I382" s="2"/>
      <c r="J382" s="37"/>
      <c r="K382" s="27" t="str">
        <f aca="false">IF(A382="","",IF(H382="","Open","Closed"))</f>
        <v/>
      </c>
      <c r="L382" s="27" t="str">
        <f aca="false">IF(A382="","",IF(H382="",AsOf-B382,H382-B382))</f>
        <v/>
      </c>
      <c r="M382" s="27" t="str">
        <f aca="false">IF(A382="","",IF(AND(K382="Open",L382&gt;Target),"Yes","No"))</f>
        <v/>
      </c>
      <c r="N382" s="27" t="str">
        <f aca="false">IF(K382&lt;&gt;"Open","",IF(L382&lt;=30,"0-30",IF(L382&lt;=60,"31-60",IF(L382&lt;=90,"61-90","90+"))))</f>
        <v/>
      </c>
      <c r="O382" s="27" t="str">
        <f aca="false">IF(A382="","",IF(COUNTIFS($D$5:$D$400,D382,$F$5:$F$400,F382,$B$5:$B$400,"&gt;="&amp;(B382-RepeatWin),$B$5:$B$400,"&lt;"&amp;B382)&gt;0,"Yes","No"))</f>
        <v/>
      </c>
      <c r="P382" s="35" t="str">
        <f aca="false">IF(OR(I382="",H382=""),"",H382+CapaDue)</f>
        <v/>
      </c>
      <c r="Q382" s="27" t="str">
        <f aca="false">IF(A382="","",IF(I382="","Not required",IF(J382&lt;&gt;"","Closed",IF(H382="","Awaiting dev. close",IF(AsOf&gt;P382,"Overdue","Open")))))</f>
        <v/>
      </c>
      <c r="R382" s="27" t="str">
        <f aca="false">IF(J382="","",IF(COUNTIFS($D$5:$D$400,D382,$F$5:$F$400,F382,$B$5:$B$400,"&gt;"&amp;J382,$B$5:$B$400,"&lt;="&amp;(J382+EffWin))&gt;0,"Ineffective",IF(AsOf-J382&gt;=EffWin,"Effective","Check pending")))</f>
        <v/>
      </c>
      <c r="S382" s="36" t="str">
        <f aca="false">IF(A382="","",DATE(YEAR(B382),MONTH(B382),1))</f>
        <v/>
      </c>
      <c r="T382" s="36" t="str">
        <f aca="false">IF(H382="","",DATE(YEAR(H382),MONTH(H382),1))</f>
        <v/>
      </c>
      <c r="U382" s="27" t="str">
        <f aca="false">IF(H382="","",IF(AsOf-H382&lt;=90,L382,""))</f>
        <v/>
      </c>
      <c r="V382" s="27" t="str">
        <f aca="false">IF(H382="","",IF(AND(AsOf-H382&gt;90,AsOf-H382&lt;=270),L382,""))</f>
        <v/>
      </c>
    </row>
    <row r="383" customFormat="false" ht="15" hidden="false" customHeight="false" outlineLevel="0" collapsed="false">
      <c r="A383" s="2"/>
      <c r="B383" s="37"/>
      <c r="C383" s="2"/>
      <c r="D383" s="2"/>
      <c r="E383" s="2"/>
      <c r="F383" s="2"/>
      <c r="G383" s="2"/>
      <c r="H383" s="37"/>
      <c r="I383" s="2"/>
      <c r="J383" s="37"/>
      <c r="K383" s="27" t="str">
        <f aca="false">IF(A383="","",IF(H383="","Open","Closed"))</f>
        <v/>
      </c>
      <c r="L383" s="27" t="str">
        <f aca="false">IF(A383="","",IF(H383="",AsOf-B383,H383-B383))</f>
        <v/>
      </c>
      <c r="M383" s="27" t="str">
        <f aca="false">IF(A383="","",IF(AND(K383="Open",L383&gt;Target),"Yes","No"))</f>
        <v/>
      </c>
      <c r="N383" s="27" t="str">
        <f aca="false">IF(K383&lt;&gt;"Open","",IF(L383&lt;=30,"0-30",IF(L383&lt;=60,"31-60",IF(L383&lt;=90,"61-90","90+"))))</f>
        <v/>
      </c>
      <c r="O383" s="27" t="str">
        <f aca="false">IF(A383="","",IF(COUNTIFS($D$5:$D$400,D383,$F$5:$F$400,F383,$B$5:$B$400,"&gt;="&amp;(B383-RepeatWin),$B$5:$B$400,"&lt;"&amp;B383)&gt;0,"Yes","No"))</f>
        <v/>
      </c>
      <c r="P383" s="35" t="str">
        <f aca="false">IF(OR(I383="",H383=""),"",H383+CapaDue)</f>
        <v/>
      </c>
      <c r="Q383" s="27" t="str">
        <f aca="false">IF(A383="","",IF(I383="","Not required",IF(J383&lt;&gt;"","Closed",IF(H383="","Awaiting dev. close",IF(AsOf&gt;P383,"Overdue","Open")))))</f>
        <v/>
      </c>
      <c r="R383" s="27" t="str">
        <f aca="false">IF(J383="","",IF(COUNTIFS($D$5:$D$400,D383,$F$5:$F$400,F383,$B$5:$B$400,"&gt;"&amp;J383,$B$5:$B$400,"&lt;="&amp;(J383+EffWin))&gt;0,"Ineffective",IF(AsOf-J383&gt;=EffWin,"Effective","Check pending")))</f>
        <v/>
      </c>
      <c r="S383" s="36" t="str">
        <f aca="false">IF(A383="","",DATE(YEAR(B383),MONTH(B383),1))</f>
        <v/>
      </c>
      <c r="T383" s="36" t="str">
        <f aca="false">IF(H383="","",DATE(YEAR(H383),MONTH(H383),1))</f>
        <v/>
      </c>
      <c r="U383" s="27" t="str">
        <f aca="false">IF(H383="","",IF(AsOf-H383&lt;=90,L383,""))</f>
        <v/>
      </c>
      <c r="V383" s="27" t="str">
        <f aca="false">IF(H383="","",IF(AND(AsOf-H383&gt;90,AsOf-H383&lt;=270),L383,""))</f>
        <v/>
      </c>
    </row>
    <row r="384" customFormat="false" ht="15" hidden="false" customHeight="false" outlineLevel="0" collapsed="false">
      <c r="A384" s="2"/>
      <c r="B384" s="37"/>
      <c r="C384" s="2"/>
      <c r="D384" s="2"/>
      <c r="E384" s="2"/>
      <c r="F384" s="2"/>
      <c r="G384" s="2"/>
      <c r="H384" s="37"/>
      <c r="I384" s="2"/>
      <c r="J384" s="37"/>
      <c r="K384" s="27" t="str">
        <f aca="false">IF(A384="","",IF(H384="","Open","Closed"))</f>
        <v/>
      </c>
      <c r="L384" s="27" t="str">
        <f aca="false">IF(A384="","",IF(H384="",AsOf-B384,H384-B384))</f>
        <v/>
      </c>
      <c r="M384" s="27" t="str">
        <f aca="false">IF(A384="","",IF(AND(K384="Open",L384&gt;Target),"Yes","No"))</f>
        <v/>
      </c>
      <c r="N384" s="27" t="str">
        <f aca="false">IF(K384&lt;&gt;"Open","",IF(L384&lt;=30,"0-30",IF(L384&lt;=60,"31-60",IF(L384&lt;=90,"61-90","90+"))))</f>
        <v/>
      </c>
      <c r="O384" s="27" t="str">
        <f aca="false">IF(A384="","",IF(COUNTIFS($D$5:$D$400,D384,$F$5:$F$400,F384,$B$5:$B$400,"&gt;="&amp;(B384-RepeatWin),$B$5:$B$400,"&lt;"&amp;B384)&gt;0,"Yes","No"))</f>
        <v/>
      </c>
      <c r="P384" s="35" t="str">
        <f aca="false">IF(OR(I384="",H384=""),"",H384+CapaDue)</f>
        <v/>
      </c>
      <c r="Q384" s="27" t="str">
        <f aca="false">IF(A384="","",IF(I384="","Not required",IF(J384&lt;&gt;"","Closed",IF(H384="","Awaiting dev. close",IF(AsOf&gt;P384,"Overdue","Open")))))</f>
        <v/>
      </c>
      <c r="R384" s="27" t="str">
        <f aca="false">IF(J384="","",IF(COUNTIFS($D$5:$D$400,D384,$F$5:$F$400,F384,$B$5:$B$400,"&gt;"&amp;J384,$B$5:$B$400,"&lt;="&amp;(J384+EffWin))&gt;0,"Ineffective",IF(AsOf-J384&gt;=EffWin,"Effective","Check pending")))</f>
        <v/>
      </c>
      <c r="S384" s="36" t="str">
        <f aca="false">IF(A384="","",DATE(YEAR(B384),MONTH(B384),1))</f>
        <v/>
      </c>
      <c r="T384" s="36" t="str">
        <f aca="false">IF(H384="","",DATE(YEAR(H384),MONTH(H384),1))</f>
        <v/>
      </c>
      <c r="U384" s="27" t="str">
        <f aca="false">IF(H384="","",IF(AsOf-H384&lt;=90,L384,""))</f>
        <v/>
      </c>
      <c r="V384" s="27" t="str">
        <f aca="false">IF(H384="","",IF(AND(AsOf-H384&gt;90,AsOf-H384&lt;=270),L384,""))</f>
        <v/>
      </c>
    </row>
    <row r="385" customFormat="false" ht="15" hidden="false" customHeight="false" outlineLevel="0" collapsed="false">
      <c r="A385" s="2"/>
      <c r="B385" s="37"/>
      <c r="C385" s="2"/>
      <c r="D385" s="2"/>
      <c r="E385" s="2"/>
      <c r="F385" s="2"/>
      <c r="G385" s="2"/>
      <c r="H385" s="37"/>
      <c r="I385" s="2"/>
      <c r="J385" s="37"/>
      <c r="K385" s="27" t="str">
        <f aca="false">IF(A385="","",IF(H385="","Open","Closed"))</f>
        <v/>
      </c>
      <c r="L385" s="27" t="str">
        <f aca="false">IF(A385="","",IF(H385="",AsOf-B385,H385-B385))</f>
        <v/>
      </c>
      <c r="M385" s="27" t="str">
        <f aca="false">IF(A385="","",IF(AND(K385="Open",L385&gt;Target),"Yes","No"))</f>
        <v/>
      </c>
      <c r="N385" s="27" t="str">
        <f aca="false">IF(K385&lt;&gt;"Open","",IF(L385&lt;=30,"0-30",IF(L385&lt;=60,"31-60",IF(L385&lt;=90,"61-90","90+"))))</f>
        <v/>
      </c>
      <c r="O385" s="27" t="str">
        <f aca="false">IF(A385="","",IF(COUNTIFS($D$5:$D$400,D385,$F$5:$F$400,F385,$B$5:$B$400,"&gt;="&amp;(B385-RepeatWin),$B$5:$B$400,"&lt;"&amp;B385)&gt;0,"Yes","No"))</f>
        <v/>
      </c>
      <c r="P385" s="35" t="str">
        <f aca="false">IF(OR(I385="",H385=""),"",H385+CapaDue)</f>
        <v/>
      </c>
      <c r="Q385" s="27" t="str">
        <f aca="false">IF(A385="","",IF(I385="","Not required",IF(J385&lt;&gt;"","Closed",IF(H385="","Awaiting dev. close",IF(AsOf&gt;P385,"Overdue","Open")))))</f>
        <v/>
      </c>
      <c r="R385" s="27" t="str">
        <f aca="false">IF(J385="","",IF(COUNTIFS($D$5:$D$400,D385,$F$5:$F$400,F385,$B$5:$B$400,"&gt;"&amp;J385,$B$5:$B$400,"&lt;="&amp;(J385+EffWin))&gt;0,"Ineffective",IF(AsOf-J385&gt;=EffWin,"Effective","Check pending")))</f>
        <v/>
      </c>
      <c r="S385" s="36" t="str">
        <f aca="false">IF(A385="","",DATE(YEAR(B385),MONTH(B385),1))</f>
        <v/>
      </c>
      <c r="T385" s="36" t="str">
        <f aca="false">IF(H385="","",DATE(YEAR(H385),MONTH(H385),1))</f>
        <v/>
      </c>
      <c r="U385" s="27" t="str">
        <f aca="false">IF(H385="","",IF(AsOf-H385&lt;=90,L385,""))</f>
        <v/>
      </c>
      <c r="V385" s="27" t="str">
        <f aca="false">IF(H385="","",IF(AND(AsOf-H385&gt;90,AsOf-H385&lt;=270),L385,""))</f>
        <v/>
      </c>
    </row>
    <row r="386" customFormat="false" ht="15" hidden="false" customHeight="false" outlineLevel="0" collapsed="false">
      <c r="A386" s="2"/>
      <c r="B386" s="37"/>
      <c r="C386" s="2"/>
      <c r="D386" s="2"/>
      <c r="E386" s="2"/>
      <c r="F386" s="2"/>
      <c r="G386" s="2"/>
      <c r="H386" s="37"/>
      <c r="I386" s="2"/>
      <c r="J386" s="37"/>
      <c r="K386" s="27" t="str">
        <f aca="false">IF(A386="","",IF(H386="","Open","Closed"))</f>
        <v/>
      </c>
      <c r="L386" s="27" t="str">
        <f aca="false">IF(A386="","",IF(H386="",AsOf-B386,H386-B386))</f>
        <v/>
      </c>
      <c r="M386" s="27" t="str">
        <f aca="false">IF(A386="","",IF(AND(K386="Open",L386&gt;Target),"Yes","No"))</f>
        <v/>
      </c>
      <c r="N386" s="27" t="str">
        <f aca="false">IF(K386&lt;&gt;"Open","",IF(L386&lt;=30,"0-30",IF(L386&lt;=60,"31-60",IF(L386&lt;=90,"61-90","90+"))))</f>
        <v/>
      </c>
      <c r="O386" s="27" t="str">
        <f aca="false">IF(A386="","",IF(COUNTIFS($D$5:$D$400,D386,$F$5:$F$400,F386,$B$5:$B$400,"&gt;="&amp;(B386-RepeatWin),$B$5:$B$400,"&lt;"&amp;B386)&gt;0,"Yes","No"))</f>
        <v/>
      </c>
      <c r="P386" s="35" t="str">
        <f aca="false">IF(OR(I386="",H386=""),"",H386+CapaDue)</f>
        <v/>
      </c>
      <c r="Q386" s="27" t="str">
        <f aca="false">IF(A386="","",IF(I386="","Not required",IF(J386&lt;&gt;"","Closed",IF(H386="","Awaiting dev. close",IF(AsOf&gt;P386,"Overdue","Open")))))</f>
        <v/>
      </c>
      <c r="R386" s="27" t="str">
        <f aca="false">IF(J386="","",IF(COUNTIFS($D$5:$D$400,D386,$F$5:$F$400,F386,$B$5:$B$400,"&gt;"&amp;J386,$B$5:$B$400,"&lt;="&amp;(J386+EffWin))&gt;0,"Ineffective",IF(AsOf-J386&gt;=EffWin,"Effective","Check pending")))</f>
        <v/>
      </c>
      <c r="S386" s="36" t="str">
        <f aca="false">IF(A386="","",DATE(YEAR(B386),MONTH(B386),1))</f>
        <v/>
      </c>
      <c r="T386" s="36" t="str">
        <f aca="false">IF(H386="","",DATE(YEAR(H386),MONTH(H386),1))</f>
        <v/>
      </c>
      <c r="U386" s="27" t="str">
        <f aca="false">IF(H386="","",IF(AsOf-H386&lt;=90,L386,""))</f>
        <v/>
      </c>
      <c r="V386" s="27" t="str">
        <f aca="false">IF(H386="","",IF(AND(AsOf-H386&gt;90,AsOf-H386&lt;=270),L386,""))</f>
        <v/>
      </c>
    </row>
    <row r="387" customFormat="false" ht="15" hidden="false" customHeight="false" outlineLevel="0" collapsed="false">
      <c r="A387" s="2"/>
      <c r="B387" s="37"/>
      <c r="C387" s="2"/>
      <c r="D387" s="2"/>
      <c r="E387" s="2"/>
      <c r="F387" s="2"/>
      <c r="G387" s="2"/>
      <c r="H387" s="37"/>
      <c r="I387" s="2"/>
      <c r="J387" s="37"/>
      <c r="K387" s="27" t="str">
        <f aca="false">IF(A387="","",IF(H387="","Open","Closed"))</f>
        <v/>
      </c>
      <c r="L387" s="27" t="str">
        <f aca="false">IF(A387="","",IF(H387="",AsOf-B387,H387-B387))</f>
        <v/>
      </c>
      <c r="M387" s="27" t="str">
        <f aca="false">IF(A387="","",IF(AND(K387="Open",L387&gt;Target),"Yes","No"))</f>
        <v/>
      </c>
      <c r="N387" s="27" t="str">
        <f aca="false">IF(K387&lt;&gt;"Open","",IF(L387&lt;=30,"0-30",IF(L387&lt;=60,"31-60",IF(L387&lt;=90,"61-90","90+"))))</f>
        <v/>
      </c>
      <c r="O387" s="27" t="str">
        <f aca="false">IF(A387="","",IF(COUNTIFS($D$5:$D$400,D387,$F$5:$F$400,F387,$B$5:$B$400,"&gt;="&amp;(B387-RepeatWin),$B$5:$B$400,"&lt;"&amp;B387)&gt;0,"Yes","No"))</f>
        <v/>
      </c>
      <c r="P387" s="35" t="str">
        <f aca="false">IF(OR(I387="",H387=""),"",H387+CapaDue)</f>
        <v/>
      </c>
      <c r="Q387" s="27" t="str">
        <f aca="false">IF(A387="","",IF(I387="","Not required",IF(J387&lt;&gt;"","Closed",IF(H387="","Awaiting dev. close",IF(AsOf&gt;P387,"Overdue","Open")))))</f>
        <v/>
      </c>
      <c r="R387" s="27" t="str">
        <f aca="false">IF(J387="","",IF(COUNTIFS($D$5:$D$400,D387,$F$5:$F$400,F387,$B$5:$B$400,"&gt;"&amp;J387,$B$5:$B$400,"&lt;="&amp;(J387+EffWin))&gt;0,"Ineffective",IF(AsOf-J387&gt;=EffWin,"Effective","Check pending")))</f>
        <v/>
      </c>
      <c r="S387" s="36" t="str">
        <f aca="false">IF(A387="","",DATE(YEAR(B387),MONTH(B387),1))</f>
        <v/>
      </c>
      <c r="T387" s="36" t="str">
        <f aca="false">IF(H387="","",DATE(YEAR(H387),MONTH(H387),1))</f>
        <v/>
      </c>
      <c r="U387" s="27" t="str">
        <f aca="false">IF(H387="","",IF(AsOf-H387&lt;=90,L387,""))</f>
        <v/>
      </c>
      <c r="V387" s="27" t="str">
        <f aca="false">IF(H387="","",IF(AND(AsOf-H387&gt;90,AsOf-H387&lt;=270),L387,""))</f>
        <v/>
      </c>
    </row>
    <row r="388" customFormat="false" ht="15" hidden="false" customHeight="false" outlineLevel="0" collapsed="false">
      <c r="A388" s="2"/>
      <c r="B388" s="37"/>
      <c r="C388" s="2"/>
      <c r="D388" s="2"/>
      <c r="E388" s="2"/>
      <c r="F388" s="2"/>
      <c r="G388" s="2"/>
      <c r="H388" s="37"/>
      <c r="I388" s="2"/>
      <c r="J388" s="37"/>
      <c r="K388" s="27" t="str">
        <f aca="false">IF(A388="","",IF(H388="","Open","Closed"))</f>
        <v/>
      </c>
      <c r="L388" s="27" t="str">
        <f aca="false">IF(A388="","",IF(H388="",AsOf-B388,H388-B388))</f>
        <v/>
      </c>
      <c r="M388" s="27" t="str">
        <f aca="false">IF(A388="","",IF(AND(K388="Open",L388&gt;Target),"Yes","No"))</f>
        <v/>
      </c>
      <c r="N388" s="27" t="str">
        <f aca="false">IF(K388&lt;&gt;"Open","",IF(L388&lt;=30,"0-30",IF(L388&lt;=60,"31-60",IF(L388&lt;=90,"61-90","90+"))))</f>
        <v/>
      </c>
      <c r="O388" s="27" t="str">
        <f aca="false">IF(A388="","",IF(COUNTIFS($D$5:$D$400,D388,$F$5:$F$400,F388,$B$5:$B$400,"&gt;="&amp;(B388-RepeatWin),$B$5:$B$400,"&lt;"&amp;B388)&gt;0,"Yes","No"))</f>
        <v/>
      </c>
      <c r="P388" s="35" t="str">
        <f aca="false">IF(OR(I388="",H388=""),"",H388+CapaDue)</f>
        <v/>
      </c>
      <c r="Q388" s="27" t="str">
        <f aca="false">IF(A388="","",IF(I388="","Not required",IF(J388&lt;&gt;"","Closed",IF(H388="","Awaiting dev. close",IF(AsOf&gt;P388,"Overdue","Open")))))</f>
        <v/>
      </c>
      <c r="R388" s="27" t="str">
        <f aca="false">IF(J388="","",IF(COUNTIFS($D$5:$D$400,D388,$F$5:$F$400,F388,$B$5:$B$400,"&gt;"&amp;J388,$B$5:$B$400,"&lt;="&amp;(J388+EffWin))&gt;0,"Ineffective",IF(AsOf-J388&gt;=EffWin,"Effective","Check pending")))</f>
        <v/>
      </c>
      <c r="S388" s="36" t="str">
        <f aca="false">IF(A388="","",DATE(YEAR(B388),MONTH(B388),1))</f>
        <v/>
      </c>
      <c r="T388" s="36" t="str">
        <f aca="false">IF(H388="","",DATE(YEAR(H388),MONTH(H388),1))</f>
        <v/>
      </c>
      <c r="U388" s="27" t="str">
        <f aca="false">IF(H388="","",IF(AsOf-H388&lt;=90,L388,""))</f>
        <v/>
      </c>
      <c r="V388" s="27" t="str">
        <f aca="false">IF(H388="","",IF(AND(AsOf-H388&gt;90,AsOf-H388&lt;=270),L388,""))</f>
        <v/>
      </c>
    </row>
    <row r="389" customFormat="false" ht="15" hidden="false" customHeight="false" outlineLevel="0" collapsed="false">
      <c r="A389" s="2"/>
      <c r="B389" s="37"/>
      <c r="C389" s="2"/>
      <c r="D389" s="2"/>
      <c r="E389" s="2"/>
      <c r="F389" s="2"/>
      <c r="G389" s="2"/>
      <c r="H389" s="37"/>
      <c r="I389" s="2"/>
      <c r="J389" s="37"/>
      <c r="K389" s="27" t="str">
        <f aca="false">IF(A389="","",IF(H389="","Open","Closed"))</f>
        <v/>
      </c>
      <c r="L389" s="27" t="str">
        <f aca="false">IF(A389="","",IF(H389="",AsOf-B389,H389-B389))</f>
        <v/>
      </c>
      <c r="M389" s="27" t="str">
        <f aca="false">IF(A389="","",IF(AND(K389="Open",L389&gt;Target),"Yes","No"))</f>
        <v/>
      </c>
      <c r="N389" s="27" t="str">
        <f aca="false">IF(K389&lt;&gt;"Open","",IF(L389&lt;=30,"0-30",IF(L389&lt;=60,"31-60",IF(L389&lt;=90,"61-90","90+"))))</f>
        <v/>
      </c>
      <c r="O389" s="27" t="str">
        <f aca="false">IF(A389="","",IF(COUNTIFS($D$5:$D$400,D389,$F$5:$F$400,F389,$B$5:$B$400,"&gt;="&amp;(B389-RepeatWin),$B$5:$B$400,"&lt;"&amp;B389)&gt;0,"Yes","No"))</f>
        <v/>
      </c>
      <c r="P389" s="35" t="str">
        <f aca="false">IF(OR(I389="",H389=""),"",H389+CapaDue)</f>
        <v/>
      </c>
      <c r="Q389" s="27" t="str">
        <f aca="false">IF(A389="","",IF(I389="","Not required",IF(J389&lt;&gt;"","Closed",IF(H389="","Awaiting dev. close",IF(AsOf&gt;P389,"Overdue","Open")))))</f>
        <v/>
      </c>
      <c r="R389" s="27" t="str">
        <f aca="false">IF(J389="","",IF(COUNTIFS($D$5:$D$400,D389,$F$5:$F$400,F389,$B$5:$B$400,"&gt;"&amp;J389,$B$5:$B$400,"&lt;="&amp;(J389+EffWin))&gt;0,"Ineffective",IF(AsOf-J389&gt;=EffWin,"Effective","Check pending")))</f>
        <v/>
      </c>
      <c r="S389" s="36" t="str">
        <f aca="false">IF(A389="","",DATE(YEAR(B389),MONTH(B389),1))</f>
        <v/>
      </c>
      <c r="T389" s="36" t="str">
        <f aca="false">IF(H389="","",DATE(YEAR(H389),MONTH(H389),1))</f>
        <v/>
      </c>
      <c r="U389" s="27" t="str">
        <f aca="false">IF(H389="","",IF(AsOf-H389&lt;=90,L389,""))</f>
        <v/>
      </c>
      <c r="V389" s="27" t="str">
        <f aca="false">IF(H389="","",IF(AND(AsOf-H389&gt;90,AsOf-H389&lt;=270),L389,""))</f>
        <v/>
      </c>
    </row>
    <row r="390" customFormat="false" ht="15" hidden="false" customHeight="false" outlineLevel="0" collapsed="false">
      <c r="A390" s="2"/>
      <c r="B390" s="37"/>
      <c r="C390" s="2"/>
      <c r="D390" s="2"/>
      <c r="E390" s="2"/>
      <c r="F390" s="2"/>
      <c r="G390" s="2"/>
      <c r="H390" s="37"/>
      <c r="I390" s="2"/>
      <c r="J390" s="37"/>
      <c r="K390" s="27" t="str">
        <f aca="false">IF(A390="","",IF(H390="","Open","Closed"))</f>
        <v/>
      </c>
      <c r="L390" s="27" t="str">
        <f aca="false">IF(A390="","",IF(H390="",AsOf-B390,H390-B390))</f>
        <v/>
      </c>
      <c r="M390" s="27" t="str">
        <f aca="false">IF(A390="","",IF(AND(K390="Open",L390&gt;Target),"Yes","No"))</f>
        <v/>
      </c>
      <c r="N390" s="27" t="str">
        <f aca="false">IF(K390&lt;&gt;"Open","",IF(L390&lt;=30,"0-30",IF(L390&lt;=60,"31-60",IF(L390&lt;=90,"61-90","90+"))))</f>
        <v/>
      </c>
      <c r="O390" s="27" t="str">
        <f aca="false">IF(A390="","",IF(COUNTIFS($D$5:$D$400,D390,$F$5:$F$400,F390,$B$5:$B$400,"&gt;="&amp;(B390-RepeatWin),$B$5:$B$400,"&lt;"&amp;B390)&gt;0,"Yes","No"))</f>
        <v/>
      </c>
      <c r="P390" s="35" t="str">
        <f aca="false">IF(OR(I390="",H390=""),"",H390+CapaDue)</f>
        <v/>
      </c>
      <c r="Q390" s="27" t="str">
        <f aca="false">IF(A390="","",IF(I390="","Not required",IF(J390&lt;&gt;"","Closed",IF(H390="","Awaiting dev. close",IF(AsOf&gt;P390,"Overdue","Open")))))</f>
        <v/>
      </c>
      <c r="R390" s="27" t="str">
        <f aca="false">IF(J390="","",IF(COUNTIFS($D$5:$D$400,D390,$F$5:$F$400,F390,$B$5:$B$400,"&gt;"&amp;J390,$B$5:$B$400,"&lt;="&amp;(J390+EffWin))&gt;0,"Ineffective",IF(AsOf-J390&gt;=EffWin,"Effective","Check pending")))</f>
        <v/>
      </c>
      <c r="S390" s="36" t="str">
        <f aca="false">IF(A390="","",DATE(YEAR(B390),MONTH(B390),1))</f>
        <v/>
      </c>
      <c r="T390" s="36" t="str">
        <f aca="false">IF(H390="","",DATE(YEAR(H390),MONTH(H390),1))</f>
        <v/>
      </c>
      <c r="U390" s="27" t="str">
        <f aca="false">IF(H390="","",IF(AsOf-H390&lt;=90,L390,""))</f>
        <v/>
      </c>
      <c r="V390" s="27" t="str">
        <f aca="false">IF(H390="","",IF(AND(AsOf-H390&gt;90,AsOf-H390&lt;=270),L390,""))</f>
        <v/>
      </c>
    </row>
    <row r="391" customFormat="false" ht="15" hidden="false" customHeight="false" outlineLevel="0" collapsed="false">
      <c r="A391" s="2"/>
      <c r="B391" s="37"/>
      <c r="C391" s="2"/>
      <c r="D391" s="2"/>
      <c r="E391" s="2"/>
      <c r="F391" s="2"/>
      <c r="G391" s="2"/>
      <c r="H391" s="37"/>
      <c r="I391" s="2"/>
      <c r="J391" s="37"/>
      <c r="K391" s="27" t="str">
        <f aca="false">IF(A391="","",IF(H391="","Open","Closed"))</f>
        <v/>
      </c>
      <c r="L391" s="27" t="str">
        <f aca="false">IF(A391="","",IF(H391="",AsOf-B391,H391-B391))</f>
        <v/>
      </c>
      <c r="M391" s="27" t="str">
        <f aca="false">IF(A391="","",IF(AND(K391="Open",L391&gt;Target),"Yes","No"))</f>
        <v/>
      </c>
      <c r="N391" s="27" t="str">
        <f aca="false">IF(K391&lt;&gt;"Open","",IF(L391&lt;=30,"0-30",IF(L391&lt;=60,"31-60",IF(L391&lt;=90,"61-90","90+"))))</f>
        <v/>
      </c>
      <c r="O391" s="27" t="str">
        <f aca="false">IF(A391="","",IF(COUNTIFS($D$5:$D$400,D391,$F$5:$F$400,F391,$B$5:$B$400,"&gt;="&amp;(B391-RepeatWin),$B$5:$B$400,"&lt;"&amp;B391)&gt;0,"Yes","No"))</f>
        <v/>
      </c>
      <c r="P391" s="35" t="str">
        <f aca="false">IF(OR(I391="",H391=""),"",H391+CapaDue)</f>
        <v/>
      </c>
      <c r="Q391" s="27" t="str">
        <f aca="false">IF(A391="","",IF(I391="","Not required",IF(J391&lt;&gt;"","Closed",IF(H391="","Awaiting dev. close",IF(AsOf&gt;P391,"Overdue","Open")))))</f>
        <v/>
      </c>
      <c r="R391" s="27" t="str">
        <f aca="false">IF(J391="","",IF(COUNTIFS($D$5:$D$400,D391,$F$5:$F$400,F391,$B$5:$B$400,"&gt;"&amp;J391,$B$5:$B$400,"&lt;="&amp;(J391+EffWin))&gt;0,"Ineffective",IF(AsOf-J391&gt;=EffWin,"Effective","Check pending")))</f>
        <v/>
      </c>
      <c r="S391" s="36" t="str">
        <f aca="false">IF(A391="","",DATE(YEAR(B391),MONTH(B391),1))</f>
        <v/>
      </c>
      <c r="T391" s="36" t="str">
        <f aca="false">IF(H391="","",DATE(YEAR(H391),MONTH(H391),1))</f>
        <v/>
      </c>
      <c r="U391" s="27" t="str">
        <f aca="false">IF(H391="","",IF(AsOf-H391&lt;=90,L391,""))</f>
        <v/>
      </c>
      <c r="V391" s="27" t="str">
        <f aca="false">IF(H391="","",IF(AND(AsOf-H391&gt;90,AsOf-H391&lt;=270),L391,""))</f>
        <v/>
      </c>
    </row>
    <row r="392" customFormat="false" ht="15" hidden="false" customHeight="false" outlineLevel="0" collapsed="false">
      <c r="A392" s="2"/>
      <c r="B392" s="37"/>
      <c r="C392" s="2"/>
      <c r="D392" s="2"/>
      <c r="E392" s="2"/>
      <c r="F392" s="2"/>
      <c r="G392" s="2"/>
      <c r="H392" s="37"/>
      <c r="I392" s="2"/>
      <c r="J392" s="37"/>
      <c r="K392" s="27" t="str">
        <f aca="false">IF(A392="","",IF(H392="","Open","Closed"))</f>
        <v/>
      </c>
      <c r="L392" s="27" t="str">
        <f aca="false">IF(A392="","",IF(H392="",AsOf-B392,H392-B392))</f>
        <v/>
      </c>
      <c r="M392" s="27" t="str">
        <f aca="false">IF(A392="","",IF(AND(K392="Open",L392&gt;Target),"Yes","No"))</f>
        <v/>
      </c>
      <c r="N392" s="27" t="str">
        <f aca="false">IF(K392&lt;&gt;"Open","",IF(L392&lt;=30,"0-30",IF(L392&lt;=60,"31-60",IF(L392&lt;=90,"61-90","90+"))))</f>
        <v/>
      </c>
      <c r="O392" s="27" t="str">
        <f aca="false">IF(A392="","",IF(COUNTIFS($D$5:$D$400,D392,$F$5:$F$400,F392,$B$5:$B$400,"&gt;="&amp;(B392-RepeatWin),$B$5:$B$400,"&lt;"&amp;B392)&gt;0,"Yes","No"))</f>
        <v/>
      </c>
      <c r="P392" s="35" t="str">
        <f aca="false">IF(OR(I392="",H392=""),"",H392+CapaDue)</f>
        <v/>
      </c>
      <c r="Q392" s="27" t="str">
        <f aca="false">IF(A392="","",IF(I392="","Not required",IF(J392&lt;&gt;"","Closed",IF(H392="","Awaiting dev. close",IF(AsOf&gt;P392,"Overdue","Open")))))</f>
        <v/>
      </c>
      <c r="R392" s="27" t="str">
        <f aca="false">IF(J392="","",IF(COUNTIFS($D$5:$D$400,D392,$F$5:$F$400,F392,$B$5:$B$400,"&gt;"&amp;J392,$B$5:$B$400,"&lt;="&amp;(J392+EffWin))&gt;0,"Ineffective",IF(AsOf-J392&gt;=EffWin,"Effective","Check pending")))</f>
        <v/>
      </c>
      <c r="S392" s="36" t="str">
        <f aca="false">IF(A392="","",DATE(YEAR(B392),MONTH(B392),1))</f>
        <v/>
      </c>
      <c r="T392" s="36" t="str">
        <f aca="false">IF(H392="","",DATE(YEAR(H392),MONTH(H392),1))</f>
        <v/>
      </c>
      <c r="U392" s="27" t="str">
        <f aca="false">IF(H392="","",IF(AsOf-H392&lt;=90,L392,""))</f>
        <v/>
      </c>
      <c r="V392" s="27" t="str">
        <f aca="false">IF(H392="","",IF(AND(AsOf-H392&gt;90,AsOf-H392&lt;=270),L392,""))</f>
        <v/>
      </c>
    </row>
    <row r="393" customFormat="false" ht="15" hidden="false" customHeight="false" outlineLevel="0" collapsed="false">
      <c r="A393" s="2"/>
      <c r="B393" s="37"/>
      <c r="C393" s="2"/>
      <c r="D393" s="2"/>
      <c r="E393" s="2"/>
      <c r="F393" s="2"/>
      <c r="G393" s="2"/>
      <c r="H393" s="37"/>
      <c r="I393" s="2"/>
      <c r="J393" s="37"/>
      <c r="K393" s="27" t="str">
        <f aca="false">IF(A393="","",IF(H393="","Open","Closed"))</f>
        <v/>
      </c>
      <c r="L393" s="27" t="str">
        <f aca="false">IF(A393="","",IF(H393="",AsOf-B393,H393-B393))</f>
        <v/>
      </c>
      <c r="M393" s="27" t="str">
        <f aca="false">IF(A393="","",IF(AND(K393="Open",L393&gt;Target),"Yes","No"))</f>
        <v/>
      </c>
      <c r="N393" s="27" t="str">
        <f aca="false">IF(K393&lt;&gt;"Open","",IF(L393&lt;=30,"0-30",IF(L393&lt;=60,"31-60",IF(L393&lt;=90,"61-90","90+"))))</f>
        <v/>
      </c>
      <c r="O393" s="27" t="str">
        <f aca="false">IF(A393="","",IF(COUNTIFS($D$5:$D$400,D393,$F$5:$F$400,F393,$B$5:$B$400,"&gt;="&amp;(B393-RepeatWin),$B$5:$B$400,"&lt;"&amp;B393)&gt;0,"Yes","No"))</f>
        <v/>
      </c>
      <c r="P393" s="35" t="str">
        <f aca="false">IF(OR(I393="",H393=""),"",H393+CapaDue)</f>
        <v/>
      </c>
      <c r="Q393" s="27" t="str">
        <f aca="false">IF(A393="","",IF(I393="","Not required",IF(J393&lt;&gt;"","Closed",IF(H393="","Awaiting dev. close",IF(AsOf&gt;P393,"Overdue","Open")))))</f>
        <v/>
      </c>
      <c r="R393" s="27" t="str">
        <f aca="false">IF(J393="","",IF(COUNTIFS($D$5:$D$400,D393,$F$5:$F$400,F393,$B$5:$B$400,"&gt;"&amp;J393,$B$5:$B$400,"&lt;="&amp;(J393+EffWin))&gt;0,"Ineffective",IF(AsOf-J393&gt;=EffWin,"Effective","Check pending")))</f>
        <v/>
      </c>
      <c r="S393" s="36" t="str">
        <f aca="false">IF(A393="","",DATE(YEAR(B393),MONTH(B393),1))</f>
        <v/>
      </c>
      <c r="T393" s="36" t="str">
        <f aca="false">IF(H393="","",DATE(YEAR(H393),MONTH(H393),1))</f>
        <v/>
      </c>
      <c r="U393" s="27" t="str">
        <f aca="false">IF(H393="","",IF(AsOf-H393&lt;=90,L393,""))</f>
        <v/>
      </c>
      <c r="V393" s="27" t="str">
        <f aca="false">IF(H393="","",IF(AND(AsOf-H393&gt;90,AsOf-H393&lt;=270),L393,""))</f>
        <v/>
      </c>
    </row>
    <row r="394" customFormat="false" ht="15" hidden="false" customHeight="false" outlineLevel="0" collapsed="false">
      <c r="A394" s="2"/>
      <c r="B394" s="37"/>
      <c r="C394" s="2"/>
      <c r="D394" s="2"/>
      <c r="E394" s="2"/>
      <c r="F394" s="2"/>
      <c r="G394" s="2"/>
      <c r="H394" s="37"/>
      <c r="I394" s="2"/>
      <c r="J394" s="37"/>
      <c r="K394" s="27" t="str">
        <f aca="false">IF(A394="","",IF(H394="","Open","Closed"))</f>
        <v/>
      </c>
      <c r="L394" s="27" t="str">
        <f aca="false">IF(A394="","",IF(H394="",AsOf-B394,H394-B394))</f>
        <v/>
      </c>
      <c r="M394" s="27" t="str">
        <f aca="false">IF(A394="","",IF(AND(K394="Open",L394&gt;Target),"Yes","No"))</f>
        <v/>
      </c>
      <c r="N394" s="27" t="str">
        <f aca="false">IF(K394&lt;&gt;"Open","",IF(L394&lt;=30,"0-30",IF(L394&lt;=60,"31-60",IF(L394&lt;=90,"61-90","90+"))))</f>
        <v/>
      </c>
      <c r="O394" s="27" t="str">
        <f aca="false">IF(A394="","",IF(COUNTIFS($D$5:$D$400,D394,$F$5:$F$400,F394,$B$5:$B$400,"&gt;="&amp;(B394-RepeatWin),$B$5:$B$400,"&lt;"&amp;B394)&gt;0,"Yes","No"))</f>
        <v/>
      </c>
      <c r="P394" s="35" t="str">
        <f aca="false">IF(OR(I394="",H394=""),"",H394+CapaDue)</f>
        <v/>
      </c>
      <c r="Q394" s="27" t="str">
        <f aca="false">IF(A394="","",IF(I394="","Not required",IF(J394&lt;&gt;"","Closed",IF(H394="","Awaiting dev. close",IF(AsOf&gt;P394,"Overdue","Open")))))</f>
        <v/>
      </c>
      <c r="R394" s="27" t="str">
        <f aca="false">IF(J394="","",IF(COUNTIFS($D$5:$D$400,D394,$F$5:$F$400,F394,$B$5:$B$400,"&gt;"&amp;J394,$B$5:$B$400,"&lt;="&amp;(J394+EffWin))&gt;0,"Ineffective",IF(AsOf-J394&gt;=EffWin,"Effective","Check pending")))</f>
        <v/>
      </c>
      <c r="S394" s="36" t="str">
        <f aca="false">IF(A394="","",DATE(YEAR(B394),MONTH(B394),1))</f>
        <v/>
      </c>
      <c r="T394" s="36" t="str">
        <f aca="false">IF(H394="","",DATE(YEAR(H394),MONTH(H394),1))</f>
        <v/>
      </c>
      <c r="U394" s="27" t="str">
        <f aca="false">IF(H394="","",IF(AsOf-H394&lt;=90,L394,""))</f>
        <v/>
      </c>
      <c r="V394" s="27" t="str">
        <f aca="false">IF(H394="","",IF(AND(AsOf-H394&gt;90,AsOf-H394&lt;=270),L394,""))</f>
        <v/>
      </c>
    </row>
    <row r="395" customFormat="false" ht="15" hidden="false" customHeight="false" outlineLevel="0" collapsed="false">
      <c r="A395" s="2"/>
      <c r="B395" s="37"/>
      <c r="C395" s="2"/>
      <c r="D395" s="2"/>
      <c r="E395" s="2"/>
      <c r="F395" s="2"/>
      <c r="G395" s="2"/>
      <c r="H395" s="37"/>
      <c r="I395" s="2"/>
      <c r="J395" s="37"/>
      <c r="K395" s="27" t="str">
        <f aca="false">IF(A395="","",IF(H395="","Open","Closed"))</f>
        <v/>
      </c>
      <c r="L395" s="27" t="str">
        <f aca="false">IF(A395="","",IF(H395="",AsOf-B395,H395-B395))</f>
        <v/>
      </c>
      <c r="M395" s="27" t="str">
        <f aca="false">IF(A395="","",IF(AND(K395="Open",L395&gt;Target),"Yes","No"))</f>
        <v/>
      </c>
      <c r="N395" s="27" t="str">
        <f aca="false">IF(K395&lt;&gt;"Open","",IF(L395&lt;=30,"0-30",IF(L395&lt;=60,"31-60",IF(L395&lt;=90,"61-90","90+"))))</f>
        <v/>
      </c>
      <c r="O395" s="27" t="str">
        <f aca="false">IF(A395="","",IF(COUNTIFS($D$5:$D$400,D395,$F$5:$F$400,F395,$B$5:$B$400,"&gt;="&amp;(B395-RepeatWin),$B$5:$B$400,"&lt;"&amp;B395)&gt;0,"Yes","No"))</f>
        <v/>
      </c>
      <c r="P395" s="35" t="str">
        <f aca="false">IF(OR(I395="",H395=""),"",H395+CapaDue)</f>
        <v/>
      </c>
      <c r="Q395" s="27" t="str">
        <f aca="false">IF(A395="","",IF(I395="","Not required",IF(J395&lt;&gt;"","Closed",IF(H395="","Awaiting dev. close",IF(AsOf&gt;P395,"Overdue","Open")))))</f>
        <v/>
      </c>
      <c r="R395" s="27" t="str">
        <f aca="false">IF(J395="","",IF(COUNTIFS($D$5:$D$400,D395,$F$5:$F$400,F395,$B$5:$B$400,"&gt;"&amp;J395,$B$5:$B$400,"&lt;="&amp;(J395+EffWin))&gt;0,"Ineffective",IF(AsOf-J395&gt;=EffWin,"Effective","Check pending")))</f>
        <v/>
      </c>
      <c r="S395" s="36" t="str">
        <f aca="false">IF(A395="","",DATE(YEAR(B395),MONTH(B395),1))</f>
        <v/>
      </c>
      <c r="T395" s="36" t="str">
        <f aca="false">IF(H395="","",DATE(YEAR(H395),MONTH(H395),1))</f>
        <v/>
      </c>
      <c r="U395" s="27" t="str">
        <f aca="false">IF(H395="","",IF(AsOf-H395&lt;=90,L395,""))</f>
        <v/>
      </c>
      <c r="V395" s="27" t="str">
        <f aca="false">IF(H395="","",IF(AND(AsOf-H395&gt;90,AsOf-H395&lt;=270),L395,""))</f>
        <v/>
      </c>
    </row>
    <row r="396" customFormat="false" ht="15" hidden="false" customHeight="false" outlineLevel="0" collapsed="false">
      <c r="A396" s="2"/>
      <c r="B396" s="37"/>
      <c r="C396" s="2"/>
      <c r="D396" s="2"/>
      <c r="E396" s="2"/>
      <c r="F396" s="2"/>
      <c r="G396" s="2"/>
      <c r="H396" s="37"/>
      <c r="I396" s="2"/>
      <c r="J396" s="37"/>
      <c r="K396" s="27" t="str">
        <f aca="false">IF(A396="","",IF(H396="","Open","Closed"))</f>
        <v/>
      </c>
      <c r="L396" s="27" t="str">
        <f aca="false">IF(A396="","",IF(H396="",AsOf-B396,H396-B396))</f>
        <v/>
      </c>
      <c r="M396" s="27" t="str">
        <f aca="false">IF(A396="","",IF(AND(K396="Open",L396&gt;Target),"Yes","No"))</f>
        <v/>
      </c>
      <c r="N396" s="27" t="str">
        <f aca="false">IF(K396&lt;&gt;"Open","",IF(L396&lt;=30,"0-30",IF(L396&lt;=60,"31-60",IF(L396&lt;=90,"61-90","90+"))))</f>
        <v/>
      </c>
      <c r="O396" s="27" t="str">
        <f aca="false">IF(A396="","",IF(COUNTIFS($D$5:$D$400,D396,$F$5:$F$400,F396,$B$5:$B$400,"&gt;="&amp;(B396-RepeatWin),$B$5:$B$400,"&lt;"&amp;B396)&gt;0,"Yes","No"))</f>
        <v/>
      </c>
      <c r="P396" s="35" t="str">
        <f aca="false">IF(OR(I396="",H396=""),"",H396+CapaDue)</f>
        <v/>
      </c>
      <c r="Q396" s="27" t="str">
        <f aca="false">IF(A396="","",IF(I396="","Not required",IF(J396&lt;&gt;"","Closed",IF(H396="","Awaiting dev. close",IF(AsOf&gt;P396,"Overdue","Open")))))</f>
        <v/>
      </c>
      <c r="R396" s="27" t="str">
        <f aca="false">IF(J396="","",IF(COUNTIFS($D$5:$D$400,D396,$F$5:$F$400,F396,$B$5:$B$400,"&gt;"&amp;J396,$B$5:$B$400,"&lt;="&amp;(J396+EffWin))&gt;0,"Ineffective",IF(AsOf-J396&gt;=EffWin,"Effective","Check pending")))</f>
        <v/>
      </c>
      <c r="S396" s="36" t="str">
        <f aca="false">IF(A396="","",DATE(YEAR(B396),MONTH(B396),1))</f>
        <v/>
      </c>
      <c r="T396" s="36" t="str">
        <f aca="false">IF(H396="","",DATE(YEAR(H396),MONTH(H396),1))</f>
        <v/>
      </c>
      <c r="U396" s="27" t="str">
        <f aca="false">IF(H396="","",IF(AsOf-H396&lt;=90,L396,""))</f>
        <v/>
      </c>
      <c r="V396" s="27" t="str">
        <f aca="false">IF(H396="","",IF(AND(AsOf-H396&gt;90,AsOf-H396&lt;=270),L396,""))</f>
        <v/>
      </c>
    </row>
    <row r="397" customFormat="false" ht="15" hidden="false" customHeight="false" outlineLevel="0" collapsed="false">
      <c r="A397" s="2"/>
      <c r="B397" s="37"/>
      <c r="C397" s="2"/>
      <c r="D397" s="2"/>
      <c r="E397" s="2"/>
      <c r="F397" s="2"/>
      <c r="G397" s="2"/>
      <c r="H397" s="37"/>
      <c r="I397" s="2"/>
      <c r="J397" s="37"/>
      <c r="K397" s="27" t="str">
        <f aca="false">IF(A397="","",IF(H397="","Open","Closed"))</f>
        <v/>
      </c>
      <c r="L397" s="27" t="str">
        <f aca="false">IF(A397="","",IF(H397="",AsOf-B397,H397-B397))</f>
        <v/>
      </c>
      <c r="M397" s="27" t="str">
        <f aca="false">IF(A397="","",IF(AND(K397="Open",L397&gt;Target),"Yes","No"))</f>
        <v/>
      </c>
      <c r="N397" s="27" t="str">
        <f aca="false">IF(K397&lt;&gt;"Open","",IF(L397&lt;=30,"0-30",IF(L397&lt;=60,"31-60",IF(L397&lt;=90,"61-90","90+"))))</f>
        <v/>
      </c>
      <c r="O397" s="27" t="str">
        <f aca="false">IF(A397="","",IF(COUNTIFS($D$5:$D$400,D397,$F$5:$F$400,F397,$B$5:$B$400,"&gt;="&amp;(B397-RepeatWin),$B$5:$B$400,"&lt;"&amp;B397)&gt;0,"Yes","No"))</f>
        <v/>
      </c>
      <c r="P397" s="35" t="str">
        <f aca="false">IF(OR(I397="",H397=""),"",H397+CapaDue)</f>
        <v/>
      </c>
      <c r="Q397" s="27" t="str">
        <f aca="false">IF(A397="","",IF(I397="","Not required",IF(J397&lt;&gt;"","Closed",IF(H397="","Awaiting dev. close",IF(AsOf&gt;P397,"Overdue","Open")))))</f>
        <v/>
      </c>
      <c r="R397" s="27" t="str">
        <f aca="false">IF(J397="","",IF(COUNTIFS($D$5:$D$400,D397,$F$5:$F$400,F397,$B$5:$B$400,"&gt;"&amp;J397,$B$5:$B$400,"&lt;="&amp;(J397+EffWin))&gt;0,"Ineffective",IF(AsOf-J397&gt;=EffWin,"Effective","Check pending")))</f>
        <v/>
      </c>
      <c r="S397" s="36" t="str">
        <f aca="false">IF(A397="","",DATE(YEAR(B397),MONTH(B397),1))</f>
        <v/>
      </c>
      <c r="T397" s="36" t="str">
        <f aca="false">IF(H397="","",DATE(YEAR(H397),MONTH(H397),1))</f>
        <v/>
      </c>
      <c r="U397" s="27" t="str">
        <f aca="false">IF(H397="","",IF(AsOf-H397&lt;=90,L397,""))</f>
        <v/>
      </c>
      <c r="V397" s="27" t="str">
        <f aca="false">IF(H397="","",IF(AND(AsOf-H397&gt;90,AsOf-H397&lt;=270),L397,""))</f>
        <v/>
      </c>
    </row>
    <row r="398" customFormat="false" ht="15" hidden="false" customHeight="false" outlineLevel="0" collapsed="false">
      <c r="A398" s="2"/>
      <c r="B398" s="37"/>
      <c r="C398" s="2"/>
      <c r="D398" s="2"/>
      <c r="E398" s="2"/>
      <c r="F398" s="2"/>
      <c r="G398" s="2"/>
      <c r="H398" s="37"/>
      <c r="I398" s="2"/>
      <c r="J398" s="37"/>
      <c r="K398" s="27" t="str">
        <f aca="false">IF(A398="","",IF(H398="","Open","Closed"))</f>
        <v/>
      </c>
      <c r="L398" s="27" t="str">
        <f aca="false">IF(A398="","",IF(H398="",AsOf-B398,H398-B398))</f>
        <v/>
      </c>
      <c r="M398" s="27" t="str">
        <f aca="false">IF(A398="","",IF(AND(K398="Open",L398&gt;Target),"Yes","No"))</f>
        <v/>
      </c>
      <c r="N398" s="27" t="str">
        <f aca="false">IF(K398&lt;&gt;"Open","",IF(L398&lt;=30,"0-30",IF(L398&lt;=60,"31-60",IF(L398&lt;=90,"61-90","90+"))))</f>
        <v/>
      </c>
      <c r="O398" s="27" t="str">
        <f aca="false">IF(A398="","",IF(COUNTIFS($D$5:$D$400,D398,$F$5:$F$400,F398,$B$5:$B$400,"&gt;="&amp;(B398-RepeatWin),$B$5:$B$400,"&lt;"&amp;B398)&gt;0,"Yes","No"))</f>
        <v/>
      </c>
      <c r="P398" s="35" t="str">
        <f aca="false">IF(OR(I398="",H398=""),"",H398+CapaDue)</f>
        <v/>
      </c>
      <c r="Q398" s="27" t="str">
        <f aca="false">IF(A398="","",IF(I398="","Not required",IF(J398&lt;&gt;"","Closed",IF(H398="","Awaiting dev. close",IF(AsOf&gt;P398,"Overdue","Open")))))</f>
        <v/>
      </c>
      <c r="R398" s="27" t="str">
        <f aca="false">IF(J398="","",IF(COUNTIFS($D$5:$D$400,D398,$F$5:$F$400,F398,$B$5:$B$400,"&gt;"&amp;J398,$B$5:$B$400,"&lt;="&amp;(J398+EffWin))&gt;0,"Ineffective",IF(AsOf-J398&gt;=EffWin,"Effective","Check pending")))</f>
        <v/>
      </c>
      <c r="S398" s="36" t="str">
        <f aca="false">IF(A398="","",DATE(YEAR(B398),MONTH(B398),1))</f>
        <v/>
      </c>
      <c r="T398" s="36" t="str">
        <f aca="false">IF(H398="","",DATE(YEAR(H398),MONTH(H398),1))</f>
        <v/>
      </c>
      <c r="U398" s="27" t="str">
        <f aca="false">IF(H398="","",IF(AsOf-H398&lt;=90,L398,""))</f>
        <v/>
      </c>
      <c r="V398" s="27" t="str">
        <f aca="false">IF(H398="","",IF(AND(AsOf-H398&gt;90,AsOf-H398&lt;=270),L398,""))</f>
        <v/>
      </c>
    </row>
    <row r="399" customFormat="false" ht="15" hidden="false" customHeight="false" outlineLevel="0" collapsed="false">
      <c r="A399" s="2"/>
      <c r="B399" s="37"/>
      <c r="C399" s="2"/>
      <c r="D399" s="2"/>
      <c r="E399" s="2"/>
      <c r="F399" s="2"/>
      <c r="G399" s="2"/>
      <c r="H399" s="37"/>
      <c r="I399" s="2"/>
      <c r="J399" s="37"/>
      <c r="K399" s="27" t="str">
        <f aca="false">IF(A399="","",IF(H399="","Open","Closed"))</f>
        <v/>
      </c>
      <c r="L399" s="27" t="str">
        <f aca="false">IF(A399="","",IF(H399="",AsOf-B399,H399-B399))</f>
        <v/>
      </c>
      <c r="M399" s="27" t="str">
        <f aca="false">IF(A399="","",IF(AND(K399="Open",L399&gt;Target),"Yes","No"))</f>
        <v/>
      </c>
      <c r="N399" s="27" t="str">
        <f aca="false">IF(K399&lt;&gt;"Open","",IF(L399&lt;=30,"0-30",IF(L399&lt;=60,"31-60",IF(L399&lt;=90,"61-90","90+"))))</f>
        <v/>
      </c>
      <c r="O399" s="27" t="str">
        <f aca="false">IF(A399="","",IF(COUNTIFS($D$5:$D$400,D399,$F$5:$F$400,F399,$B$5:$B$400,"&gt;="&amp;(B399-RepeatWin),$B$5:$B$400,"&lt;"&amp;B399)&gt;0,"Yes","No"))</f>
        <v/>
      </c>
      <c r="P399" s="35" t="str">
        <f aca="false">IF(OR(I399="",H399=""),"",H399+CapaDue)</f>
        <v/>
      </c>
      <c r="Q399" s="27" t="str">
        <f aca="false">IF(A399="","",IF(I399="","Not required",IF(J399&lt;&gt;"","Closed",IF(H399="","Awaiting dev. close",IF(AsOf&gt;P399,"Overdue","Open")))))</f>
        <v/>
      </c>
      <c r="R399" s="27" t="str">
        <f aca="false">IF(J399="","",IF(COUNTIFS($D$5:$D$400,D399,$F$5:$F$400,F399,$B$5:$B$400,"&gt;"&amp;J399,$B$5:$B$400,"&lt;="&amp;(J399+EffWin))&gt;0,"Ineffective",IF(AsOf-J399&gt;=EffWin,"Effective","Check pending")))</f>
        <v/>
      </c>
      <c r="S399" s="36" t="str">
        <f aca="false">IF(A399="","",DATE(YEAR(B399),MONTH(B399),1))</f>
        <v/>
      </c>
      <c r="T399" s="36" t="str">
        <f aca="false">IF(H399="","",DATE(YEAR(H399),MONTH(H399),1))</f>
        <v/>
      </c>
      <c r="U399" s="27" t="str">
        <f aca="false">IF(H399="","",IF(AsOf-H399&lt;=90,L399,""))</f>
        <v/>
      </c>
      <c r="V399" s="27" t="str">
        <f aca="false">IF(H399="","",IF(AND(AsOf-H399&gt;90,AsOf-H399&lt;=270),L399,""))</f>
        <v/>
      </c>
    </row>
    <row r="400" customFormat="false" ht="15" hidden="false" customHeight="false" outlineLevel="0" collapsed="false">
      <c r="A400" s="2"/>
      <c r="B400" s="37"/>
      <c r="C400" s="2"/>
      <c r="D400" s="2"/>
      <c r="E400" s="2"/>
      <c r="F400" s="2"/>
      <c r="G400" s="2"/>
      <c r="H400" s="37"/>
      <c r="I400" s="2"/>
      <c r="J400" s="37"/>
      <c r="K400" s="27" t="str">
        <f aca="false">IF(A400="","",IF(H400="","Open","Closed"))</f>
        <v/>
      </c>
      <c r="L400" s="27" t="str">
        <f aca="false">IF(A400="","",IF(H400="",AsOf-B400,H400-B400))</f>
        <v/>
      </c>
      <c r="M400" s="27" t="str">
        <f aca="false">IF(A400="","",IF(AND(K400="Open",L400&gt;Target),"Yes","No"))</f>
        <v/>
      </c>
      <c r="N400" s="27" t="str">
        <f aca="false">IF(K400&lt;&gt;"Open","",IF(L400&lt;=30,"0-30",IF(L400&lt;=60,"31-60",IF(L400&lt;=90,"61-90","90+"))))</f>
        <v/>
      </c>
      <c r="O400" s="27" t="str">
        <f aca="false">IF(A400="","",IF(COUNTIFS($D$5:$D$400,D400,$F$5:$F$400,F400,$B$5:$B$400,"&gt;="&amp;(B400-RepeatWin),$B$5:$B$400,"&lt;"&amp;B400)&gt;0,"Yes","No"))</f>
        <v/>
      </c>
      <c r="P400" s="35" t="str">
        <f aca="false">IF(OR(I400="",H400=""),"",H400+CapaDue)</f>
        <v/>
      </c>
      <c r="Q400" s="27" t="str">
        <f aca="false">IF(A400="","",IF(I400="","Not required",IF(J400&lt;&gt;"","Closed",IF(H400="","Awaiting dev. close",IF(AsOf&gt;P400,"Overdue","Open")))))</f>
        <v/>
      </c>
      <c r="R400" s="27" t="str">
        <f aca="false">IF(J400="","",IF(COUNTIFS($D$5:$D$400,D400,$F$5:$F$400,F400,$B$5:$B$400,"&gt;"&amp;J400,$B$5:$B$400,"&lt;="&amp;(J400+EffWin))&gt;0,"Ineffective",IF(AsOf-J400&gt;=EffWin,"Effective","Check pending")))</f>
        <v/>
      </c>
      <c r="S400" s="36" t="str">
        <f aca="false">IF(A400="","",DATE(YEAR(B400),MONTH(B400),1))</f>
        <v/>
      </c>
      <c r="T400" s="36" t="str">
        <f aca="false">IF(H400="","",DATE(YEAR(H400),MONTH(H400),1))</f>
        <v/>
      </c>
      <c r="U400" s="27" t="str">
        <f aca="false">IF(H400="","",IF(AsOf-H400&lt;=90,L400,""))</f>
        <v/>
      </c>
      <c r="V400" s="27" t="str">
        <f aca="false">IF(H400="","",IF(AND(AsOf-H400&gt;90,AsOf-H400&lt;=270),L400,""))</f>
        <v/>
      </c>
    </row>
  </sheetData>
  <autoFilter ref="A4:V171"/>
  <conditionalFormatting sqref="A5:V400">
    <cfRule type="expression" priority="2" aboveAverage="0" equalAverage="0" bottom="0" percent="0" rank="0" text="" dxfId="11">
      <formula>$M5="Yes"</formula>
    </cfRule>
    <cfRule type="expression" priority="3" aboveAverage="0" equalAverage="0" bottom="0" percent="0" rank="0" text="" dxfId="12">
      <formula>AND($K5="Open",$L5&gt;Warn)</formula>
    </cfRule>
  </conditionalFormatting>
  <conditionalFormatting sqref="O5:O400">
    <cfRule type="cellIs" priority="4" operator="equal" aboveAverage="0" equalAverage="0" bottom="0" percent="0" rank="0" text="" dxfId="13">
      <formula>"Yes"</formula>
    </cfRule>
  </conditionalFormatting>
  <conditionalFormatting sqref="R5:R400">
    <cfRule type="cellIs" priority="5" operator="equal" aboveAverage="0" equalAverage="0" bottom="0" percent="0" rank="0" text="" dxfId="0">
      <formula>"Ineffective"</formula>
    </cfRule>
  </conditionalFormatting>
  <conditionalFormatting sqref="Q5:Q400">
    <cfRule type="cellIs" priority="6" operator="equal" aboveAverage="0" equalAverage="0" bottom="0" percent="0" rank="0" text="" dxfId="0">
      <formula>"Overdue"</formula>
    </cfRule>
  </conditionalFormatting>
  <conditionalFormatting sqref="M5:M400">
    <cfRule type="cellIs" priority="7" operator="equal" aboveAverage="0" equalAverage="0" bottom="0" percent="0" rank="0" text="" dxfId="0">
      <formula>"Yes"</formula>
    </cfRule>
  </conditionalFormatting>
  <dataValidations count="5">
    <dataValidation allowBlank="true" error="Pick a value from the list, or add it on the Settings sheet first." errorStyle="stop" errorTitle="Not in list" operator="between" showDropDown="false" showErrorMessage="true" showInputMessage="false" sqref="C5:C400" type="list">
      <formula1>ListAreas</formula1>
      <formula2>0</formula2>
    </dataValidation>
    <dataValidation allowBlank="true" error="Pick a value from the list, or add it on the Settings sheet first." errorStyle="stop" errorTitle="Not in list" operator="between" showDropDown="false" showErrorMessage="true" showInputMessage="false" sqref="E5:E400" type="list">
      <formula1>ListSeverities</formula1>
      <formula2>0</formula2>
    </dataValidation>
    <dataValidation allowBlank="true" error="Pick a value from the list, or add it on the Settings sheet first." errorStyle="stop" errorTitle="Not in list" operator="between" showDropDown="false" showErrorMessage="true" showInputMessage="false" sqref="F5:F400" type="list">
      <formula1>ListRootCauses</formula1>
      <formula2>0</formula2>
    </dataValidation>
    <dataValidation allowBlank="true" error="Pick a value from the list, or add it on the Settings sheet first." errorStyle="stop" errorTitle="Not in list" operator="between" showDropDown="false" showErrorMessage="false" showInputMessage="false" sqref="G5:G400" type="list">
      <formula1>ListOwners</formula1>
      <formula2>0</formula2>
    </dataValidation>
    <dataValidation allowBlank="true" error="Enter a date." errorStyle="stop" operator="greaterThan" showDropDown="false" showErrorMessage="true" showInputMessage="false" sqref="B5:B400 H5:H400 J5:J400" type="date">
      <formula1>36526</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28"/>
    <col collapsed="false" customWidth="true" hidden="false" outlineLevel="0" max="5" min="4" style="0" width="9"/>
    <col collapsed="false" customWidth="true" hidden="false" outlineLevel="0" max="7" min="6" style="0" width="12"/>
    <col collapsed="false" customWidth="true" hidden="false" outlineLevel="0" max="8" min="8" style="0" width="10"/>
    <col collapsed="false" customWidth="true" hidden="false" outlineLevel="0" max="9" min="9" style="0" width="11"/>
    <col collapsed="false" customWidth="true" hidden="false" outlineLevel="0" max="10" min="10" style="0" width="10"/>
    <col collapsed="false" customWidth="true" hidden="false" outlineLevel="0" max="11" min="11" style="0" width="20"/>
  </cols>
  <sheetData>
    <row r="1" customFormat="false" ht="19.7" hidden="false" customHeight="false" outlineLevel="0" collapsed="false">
      <c r="A1" s="1" t="s">
        <v>11</v>
      </c>
      <c r="B1" s="2"/>
      <c r="C1" s="2"/>
      <c r="D1" s="2"/>
      <c r="E1" s="2"/>
      <c r="F1" s="2"/>
      <c r="G1" s="2"/>
      <c r="H1" s="2"/>
      <c r="I1" s="2"/>
      <c r="J1" s="2"/>
      <c r="K1" s="2"/>
    </row>
    <row r="2" customFormat="false" ht="15" hidden="false" customHeight="false" outlineLevel="0" collapsed="false">
      <c r="A2" s="3" t="s">
        <v>400</v>
      </c>
      <c r="B2" s="2"/>
      <c r="C2" s="2"/>
      <c r="D2" s="2"/>
      <c r="E2" s="2"/>
      <c r="F2" s="2"/>
      <c r="G2" s="2"/>
      <c r="H2" s="2"/>
      <c r="I2" s="2"/>
      <c r="J2" s="2"/>
      <c r="K2" s="2"/>
    </row>
    <row r="3" customFormat="false" ht="15" hidden="false" customHeight="false" outlineLevel="0" collapsed="false">
      <c r="A3" s="2"/>
      <c r="B3" s="2"/>
      <c r="C3" s="2"/>
      <c r="D3" s="2"/>
      <c r="E3" s="2"/>
      <c r="F3" s="2"/>
      <c r="G3" s="2"/>
      <c r="H3" s="2"/>
      <c r="I3" s="2"/>
      <c r="J3" s="2"/>
      <c r="K3" s="2"/>
    </row>
    <row r="4" customFormat="false" ht="30" hidden="false" customHeight="true" outlineLevel="0" collapsed="false">
      <c r="A4" s="13" t="s">
        <v>69</v>
      </c>
      <c r="B4" s="13" t="s">
        <v>135</v>
      </c>
      <c r="C4" s="13" t="s">
        <v>90</v>
      </c>
      <c r="D4" s="13" t="s">
        <v>401</v>
      </c>
      <c r="E4" s="13" t="s">
        <v>71</v>
      </c>
      <c r="F4" s="13" t="s">
        <v>402</v>
      </c>
      <c r="G4" s="13" t="s">
        <v>403</v>
      </c>
      <c r="H4" s="13" t="s">
        <v>68</v>
      </c>
      <c r="I4" s="13" t="s">
        <v>76</v>
      </c>
      <c r="J4" s="13" t="s">
        <v>404</v>
      </c>
      <c r="K4" s="13" t="s">
        <v>405</v>
      </c>
    </row>
    <row r="5" customFormat="false" ht="15" hidden="false" customHeight="false" outlineLevel="0" collapsed="false">
      <c r="A5" s="38" t="s">
        <v>75</v>
      </c>
      <c r="B5" s="38" t="s">
        <v>188</v>
      </c>
      <c r="C5" s="38" t="s">
        <v>102</v>
      </c>
      <c r="D5" s="39" t="n">
        <f aca="false">COUNTIFS('Deviation Log'!$D$5:$D$400,B5,'Deviation Log'!$F$5:$F$400,C5)</f>
        <v>4</v>
      </c>
      <c r="E5" s="39" t="n">
        <f aca="false">COUNTIFS('Deviation Log'!$D$5:$D$400,B5,'Deviation Log'!$F$5:$F$400,C5,'Deviation Log'!$O$5:$O$400,"Yes")</f>
        <v>3</v>
      </c>
      <c r="F5" s="40" t="n">
        <f aca="false">_xlfn.MINIFS('Deviation Log'!$B$5:$B$400,'Deviation Log'!$D$5:$D$400,B5,'Deviation Log'!$F$5:$F$400,C5)</f>
        <v>45944</v>
      </c>
      <c r="G5" s="40" t="n">
        <f aca="false">_xlfn.MAXIFS('Deviation Log'!$B$5:$B$400,'Deviation Log'!$D$5:$D$400,B5,'Deviation Log'!$F$5:$F$400,C5)</f>
        <v>46252</v>
      </c>
      <c r="H5" s="39" t="n">
        <f aca="false">COUNTIFS('Deviation Log'!$D$5:$D$400,B5,'Deviation Log'!$F$5:$F$400,C5,'Deviation Log'!$I$5:$I$400,"?*")</f>
        <v>4</v>
      </c>
      <c r="I5" s="39" t="n">
        <f aca="false">COUNTIFS('Deviation Log'!$D$5:$D$400,B5,'Deviation Log'!$F$5:$F$400,C5,'Deviation Log'!$R$5:$R$400,"Ineffective")</f>
        <v>2</v>
      </c>
      <c r="J5" s="39" t="n">
        <f aca="false">COUNTIFS('Deviation Log'!$D$5:$D$400,B5,'Deviation Log'!$F$5:$F$400,C5,'Deviation Log'!$I$5:$I$400,"?*",'Deviation Log'!$Q$5:$Q$400,"&lt;&gt;Closed")</f>
        <v>1</v>
      </c>
      <c r="K5" s="15" t="str">
        <f aca="false">IF(I5&gt;0,"CAPA ineffective",IF(J5&gt;0,"CAPA open",IF(H5=0,"No CAPA yet","Check pending")))</f>
        <v>CAPA ineffective</v>
      </c>
    </row>
    <row r="6" customFormat="false" ht="15" hidden="false" customHeight="false" outlineLevel="0" collapsed="false">
      <c r="A6" s="38" t="s">
        <v>81</v>
      </c>
      <c r="B6" s="38" t="s">
        <v>168</v>
      </c>
      <c r="C6" s="38" t="s">
        <v>100</v>
      </c>
      <c r="D6" s="39" t="n">
        <f aca="false">COUNTIFS('Deviation Log'!$D$5:$D$400,B6,'Deviation Log'!$F$5:$F$400,C6)</f>
        <v>3</v>
      </c>
      <c r="E6" s="39" t="n">
        <f aca="false">COUNTIFS('Deviation Log'!$D$5:$D$400,B6,'Deviation Log'!$F$5:$F$400,C6,'Deviation Log'!$O$5:$O$400,"Yes")</f>
        <v>1</v>
      </c>
      <c r="F6" s="40" t="n">
        <f aca="false">_xlfn.MINIFS('Deviation Log'!$B$5:$B$400,'Deviation Log'!$D$5:$D$400,B6,'Deviation Log'!$F$5:$F$400,C6)</f>
        <v>45775</v>
      </c>
      <c r="G6" s="40" t="n">
        <f aca="false">_xlfn.MAXIFS('Deviation Log'!$B$5:$B$400,'Deviation Log'!$D$5:$D$400,B6,'Deviation Log'!$F$5:$F$400,C6)</f>
        <v>46206</v>
      </c>
      <c r="H6" s="39" t="n">
        <f aca="false">COUNTIFS('Deviation Log'!$D$5:$D$400,B6,'Deviation Log'!$F$5:$F$400,C6,'Deviation Log'!$I$5:$I$400,"?*")</f>
        <v>2</v>
      </c>
      <c r="I6" s="39" t="n">
        <f aca="false">COUNTIFS('Deviation Log'!$D$5:$D$400,B6,'Deviation Log'!$F$5:$F$400,C6,'Deviation Log'!$R$5:$R$400,"Ineffective")</f>
        <v>0</v>
      </c>
      <c r="J6" s="39" t="n">
        <f aca="false">COUNTIFS('Deviation Log'!$D$5:$D$400,B6,'Deviation Log'!$F$5:$F$400,C6,'Deviation Log'!$I$5:$I$400,"?*",'Deviation Log'!$Q$5:$Q$400,"&lt;&gt;Closed")</f>
        <v>0</v>
      </c>
      <c r="K6" s="15" t="str">
        <f aca="false">IF(I6&gt;0,"CAPA ineffective",IF(J6&gt;0,"CAPA open",IF(H6=0,"No CAPA yet","Check pending")))</f>
        <v>Check pending</v>
      </c>
    </row>
    <row r="7" customFormat="false" ht="15" hidden="false" customHeight="false" outlineLevel="0" collapsed="false">
      <c r="A7" s="38" t="s">
        <v>79</v>
      </c>
      <c r="B7" s="38" t="s">
        <v>299</v>
      </c>
      <c r="C7" s="38" t="s">
        <v>99</v>
      </c>
      <c r="D7" s="39" t="n">
        <f aca="false">COUNTIFS('Deviation Log'!$D$5:$D$400,B7,'Deviation Log'!$F$5:$F$400,C7)</f>
        <v>3</v>
      </c>
      <c r="E7" s="39" t="n">
        <f aca="false">COUNTIFS('Deviation Log'!$D$5:$D$400,B7,'Deviation Log'!$F$5:$F$400,C7,'Deviation Log'!$O$5:$O$400,"Yes")</f>
        <v>2</v>
      </c>
      <c r="F7" s="40" t="n">
        <f aca="false">_xlfn.MINIFS('Deviation Log'!$B$5:$B$400,'Deviation Log'!$D$5:$D$400,B7,'Deviation Log'!$F$5:$F$400,C7)</f>
        <v>46056</v>
      </c>
      <c r="G7" s="40" t="n">
        <f aca="false">_xlfn.MAXIFS('Deviation Log'!$B$5:$B$400,'Deviation Log'!$D$5:$D$400,B7,'Deviation Log'!$F$5:$F$400,C7)</f>
        <v>46238</v>
      </c>
      <c r="H7" s="39" t="n">
        <f aca="false">COUNTIFS('Deviation Log'!$D$5:$D$400,B7,'Deviation Log'!$F$5:$F$400,C7,'Deviation Log'!$I$5:$I$400,"?*")</f>
        <v>2</v>
      </c>
      <c r="I7" s="39" t="n">
        <f aca="false">COUNTIFS('Deviation Log'!$D$5:$D$400,B7,'Deviation Log'!$F$5:$F$400,C7,'Deviation Log'!$R$5:$R$400,"Ineffective")</f>
        <v>0</v>
      </c>
      <c r="J7" s="39" t="n">
        <f aca="false">COUNTIFS('Deviation Log'!$D$5:$D$400,B7,'Deviation Log'!$F$5:$F$400,C7,'Deviation Log'!$I$5:$I$400,"?*",'Deviation Log'!$Q$5:$Q$400,"&lt;&gt;Closed")</f>
        <v>1</v>
      </c>
      <c r="K7" s="15" t="str">
        <f aca="false">IF(I7&gt;0,"CAPA ineffective",IF(J7&gt;0,"CAPA open",IF(H7=0,"No CAPA yet","Check pending")))</f>
        <v>CAPA open</v>
      </c>
    </row>
    <row r="8" customFormat="false" ht="15" hidden="false" customHeight="false" outlineLevel="0" collapsed="false">
      <c r="A8" s="38" t="s">
        <v>79</v>
      </c>
      <c r="B8" s="38" t="s">
        <v>204</v>
      </c>
      <c r="C8" s="38" t="s">
        <v>94</v>
      </c>
      <c r="D8" s="39" t="n">
        <f aca="false">COUNTIFS('Deviation Log'!$D$5:$D$400,B8,'Deviation Log'!$F$5:$F$400,C8)</f>
        <v>2</v>
      </c>
      <c r="E8" s="39" t="n">
        <f aca="false">COUNTIFS('Deviation Log'!$D$5:$D$400,B8,'Deviation Log'!$F$5:$F$400,C8,'Deviation Log'!$O$5:$O$400,"Yes")</f>
        <v>1</v>
      </c>
      <c r="F8" s="40" t="n">
        <f aca="false">_xlfn.MINIFS('Deviation Log'!$B$5:$B$400,'Deviation Log'!$D$5:$D$400,B8,'Deviation Log'!$F$5:$F$400,C8)</f>
        <v>45837</v>
      </c>
      <c r="G8" s="40" t="n">
        <f aca="false">_xlfn.MAXIFS('Deviation Log'!$B$5:$B$400,'Deviation Log'!$D$5:$D$400,B8,'Deviation Log'!$F$5:$F$400,C8)</f>
        <v>45946</v>
      </c>
      <c r="H8" s="39" t="n">
        <f aca="false">COUNTIFS('Deviation Log'!$D$5:$D$400,B8,'Deviation Log'!$F$5:$F$400,C8,'Deviation Log'!$I$5:$I$400,"?*")</f>
        <v>1</v>
      </c>
      <c r="I8" s="39" t="n">
        <f aca="false">COUNTIFS('Deviation Log'!$D$5:$D$400,B8,'Deviation Log'!$F$5:$F$400,C8,'Deviation Log'!$R$5:$R$400,"Ineffective")</f>
        <v>0</v>
      </c>
      <c r="J8" s="39" t="n">
        <f aca="false">COUNTIFS('Deviation Log'!$D$5:$D$400,B8,'Deviation Log'!$F$5:$F$400,C8,'Deviation Log'!$I$5:$I$400,"?*",'Deviation Log'!$Q$5:$Q$400,"&lt;&gt;Closed")</f>
        <v>0</v>
      </c>
      <c r="K8" s="15" t="str">
        <f aca="false">IF(I8&gt;0,"CAPA ineffective",IF(J8&gt;0,"CAPA open",IF(H8=0,"No CAPA yet","Check pending")))</f>
        <v>Check pending</v>
      </c>
    </row>
    <row r="9" customFormat="false" ht="15" hidden="false" customHeight="false" outlineLevel="0" collapsed="false">
      <c r="A9" s="38" t="s">
        <v>77</v>
      </c>
      <c r="B9" s="38" t="s">
        <v>320</v>
      </c>
      <c r="C9" s="38" t="s">
        <v>95</v>
      </c>
      <c r="D9" s="39" t="n">
        <f aca="false">COUNTIFS('Deviation Log'!$D$5:$D$400,B9,'Deviation Log'!$F$5:$F$400,C9)</f>
        <v>2</v>
      </c>
      <c r="E9" s="39" t="n">
        <f aca="false">COUNTIFS('Deviation Log'!$D$5:$D$400,B9,'Deviation Log'!$F$5:$F$400,C9,'Deviation Log'!$O$5:$O$400,"Yes")</f>
        <v>1</v>
      </c>
      <c r="F9" s="40" t="n">
        <f aca="false">_xlfn.MINIFS('Deviation Log'!$B$5:$B$400,'Deviation Log'!$D$5:$D$400,B9,'Deviation Log'!$F$5:$F$400,C9)</f>
        <v>46125</v>
      </c>
      <c r="G9" s="40" t="n">
        <f aca="false">_xlfn.MAXIFS('Deviation Log'!$B$5:$B$400,'Deviation Log'!$D$5:$D$400,B9,'Deviation Log'!$F$5:$F$400,C9)</f>
        <v>46144</v>
      </c>
      <c r="H9" s="39" t="n">
        <f aca="false">COUNTIFS('Deviation Log'!$D$5:$D$400,B9,'Deviation Log'!$F$5:$F$400,C9,'Deviation Log'!$I$5:$I$400,"?*")</f>
        <v>1</v>
      </c>
      <c r="I9" s="39" t="n">
        <f aca="false">COUNTIFS('Deviation Log'!$D$5:$D$400,B9,'Deviation Log'!$F$5:$F$400,C9,'Deviation Log'!$R$5:$R$400,"Ineffective")</f>
        <v>0</v>
      </c>
      <c r="J9" s="39" t="n">
        <f aca="false">COUNTIFS('Deviation Log'!$D$5:$D$400,B9,'Deviation Log'!$F$5:$F$400,C9,'Deviation Log'!$I$5:$I$400,"?*",'Deviation Log'!$Q$5:$Q$400,"&lt;&gt;Closed")</f>
        <v>0</v>
      </c>
      <c r="K9" s="15" t="str">
        <f aca="false">IF(I9&gt;0,"CAPA ineffective",IF(J9&gt;0,"CAPA open",IF(H9=0,"No CAPA yet","Check pending")))</f>
        <v>Check pending</v>
      </c>
    </row>
    <row r="10" customFormat="false" ht="15" hidden="false" customHeight="false" outlineLevel="0" collapsed="false">
      <c r="A10" s="38" t="s">
        <v>73</v>
      </c>
      <c r="B10" s="38" t="s">
        <v>226</v>
      </c>
      <c r="C10" s="38" t="s">
        <v>94</v>
      </c>
      <c r="D10" s="39" t="n">
        <f aca="false">COUNTIFS('Deviation Log'!$D$5:$D$400,B10,'Deviation Log'!$F$5:$F$400,C10)</f>
        <v>2</v>
      </c>
      <c r="E10" s="39" t="n">
        <f aca="false">COUNTIFS('Deviation Log'!$D$5:$D$400,B10,'Deviation Log'!$F$5:$F$400,C10,'Deviation Log'!$O$5:$O$400,"Yes")</f>
        <v>1</v>
      </c>
      <c r="F10" s="40" t="n">
        <f aca="false">_xlfn.MINIFS('Deviation Log'!$B$5:$B$400,'Deviation Log'!$D$5:$D$400,B10,'Deviation Log'!$F$5:$F$400,C10)</f>
        <v>45944</v>
      </c>
      <c r="G10" s="40" t="n">
        <f aca="false">_xlfn.MAXIFS('Deviation Log'!$B$5:$B$400,'Deviation Log'!$D$5:$D$400,B10,'Deviation Log'!$F$5:$F$400,C10)</f>
        <v>45953</v>
      </c>
      <c r="H10" s="39" t="n">
        <f aca="false">COUNTIFS('Deviation Log'!$D$5:$D$400,B10,'Deviation Log'!$F$5:$F$400,C10,'Deviation Log'!$I$5:$I$400,"?*")</f>
        <v>1</v>
      </c>
      <c r="I10" s="39" t="n">
        <f aca="false">COUNTIFS('Deviation Log'!$D$5:$D$400,B10,'Deviation Log'!$F$5:$F$400,C10,'Deviation Log'!$R$5:$R$400,"Ineffective")</f>
        <v>0</v>
      </c>
      <c r="J10" s="39" t="n">
        <f aca="false">COUNTIFS('Deviation Log'!$D$5:$D$400,B10,'Deviation Log'!$F$5:$F$400,C10,'Deviation Log'!$I$5:$I$400,"?*",'Deviation Log'!$Q$5:$Q$400,"&lt;&gt;Closed")</f>
        <v>0</v>
      </c>
      <c r="K10" s="15" t="str">
        <f aca="false">IF(I10&gt;0,"CAPA ineffective",IF(J10&gt;0,"CAPA open",IF(H10=0,"No CAPA yet","Check pending")))</f>
        <v>Check pending</v>
      </c>
    </row>
    <row r="11" customFormat="false" ht="15" hidden="false" customHeight="false" outlineLevel="0" collapsed="false">
      <c r="A11" s="2"/>
      <c r="B11" s="2"/>
      <c r="C11" s="2"/>
      <c r="D11" s="2"/>
      <c r="E11" s="2"/>
      <c r="F11" s="2"/>
      <c r="G11" s="2"/>
      <c r="H11" s="2"/>
      <c r="I11" s="2"/>
      <c r="J11" s="2"/>
      <c r="K11" s="2"/>
    </row>
    <row r="12" customFormat="false" ht="15" hidden="false" customHeight="false" outlineLevel="0" collapsed="false">
      <c r="A12" s="25" t="s">
        <v>406</v>
      </c>
      <c r="B12" s="2"/>
      <c r="C12" s="2"/>
      <c r="D12" s="2"/>
      <c r="E12" s="2"/>
      <c r="F12" s="2"/>
      <c r="G12" s="2"/>
      <c r="H12" s="2"/>
      <c r="I12" s="2"/>
      <c r="J12" s="2"/>
      <c r="K12" s="2"/>
    </row>
  </sheetData>
  <conditionalFormatting sqref="A5:K10">
    <cfRule type="expression" priority="2" aboveAverage="0" equalAverage="0" bottom="0" percent="0" rank="0" text="" dxfId="11">
      <formula>$I5&gt;0</formula>
    </cfRule>
  </conditionalFormatting>
  <conditionalFormatting sqref="K5:K10">
    <cfRule type="cellIs" priority="3" operator="equal" aboveAverage="0" equalAverage="0" bottom="0" percent="0" rank="0" text="" dxfId="0">
      <formula>"CAPA ineffective"</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2026-10-07T13:39:10Z</dcterms:created>
  <dc:creator>openpyxl</dc:creator>
  <dc:description/>
  <dc:language>en-US</dc:language>
  <cp:lastModifiedBy/>
  <dcterms:modified xsi:type="dcterms:W3CDTF">2026-10-07T13:39:13Z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