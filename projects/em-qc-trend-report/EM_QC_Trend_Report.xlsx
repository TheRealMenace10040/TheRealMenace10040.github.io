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Summary" sheetId="2" state="visible" r:id="rId2"/>
    <sheet xmlns:r="http://schemas.openxmlformats.org/officeDocument/2006/relationships" name="Limits" sheetId="3" state="visible" r:id="rId3"/>
    <sheet xmlns:r="http://schemas.openxmlformats.org/officeDocument/2006/relationships" name="RawData" sheetId="4" state="visible" r:id="rId4"/>
    <sheet xmlns:r="http://schemas.openxmlformats.org/officeDocument/2006/relationships" name="RoomTrend" sheetId="5" state="visible" r:id="rId5"/>
    <sheet xmlns:r="http://schemas.openxmlformats.org/officeDocument/2006/relationships" name="RepeatExcursions" sheetId="6" state="visible" r:id="rId6"/>
    <sheet xmlns:r="http://schemas.openxmlformats.org/officeDocument/2006/relationships" name="Week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excursion rate by room</a:t>
            </a:r>
          </a:p>
        </rich>
      </tx>
    </title>
    <plotArea>
      <lineChart>
        <grouping val="standard"/>
        <ser>
          <idx val="0"/>
          <order val="0"/>
          <tx>
            <strRef>
              <f>'MonthlySummary'!B3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'MonthlySummary'!$A$4:$A$12</f>
            </numRef>
          </cat>
          <val>
            <numRef>
              <f>'MonthlySummary'!$B$4:$B$12</f>
            </numRef>
          </val>
        </ser>
        <ser>
          <idx val="1"/>
          <order val="1"/>
          <tx>
            <strRef>
              <f>'MonthlySummary'!C3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'MonthlySummary'!$A$4:$A$12</f>
            </numRef>
          </cat>
          <val>
            <numRef>
              <f>'MonthlySummary'!$C$4:$C$12</f>
            </numRef>
          </val>
        </ser>
        <ser>
          <idx val="2"/>
          <order val="2"/>
          <tx>
            <strRef>
              <f>'MonthlySummary'!D3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'MonthlySummary'!$A$4:$A$12</f>
            </numRef>
          </cat>
          <val>
            <numRef>
              <f>'MonthlySummary'!$D$4:$D$12</f>
            </numRef>
          </val>
        </ser>
        <ser>
          <idx val="3"/>
          <order val="3"/>
          <tx>
            <strRef>
              <f>'MonthlySummary'!E3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'MonthlySummary'!$A$4:$A$12</f>
            </numRef>
          </cat>
          <val>
            <numRef>
              <f>'MonthlySummary'!$E$4:$E$12</f>
            </numRef>
          </val>
        </ser>
        <ser>
          <idx val="4"/>
          <order val="4"/>
          <tx>
            <strRef>
              <f>'MonthlySummary'!F3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'MonthlySummary'!$A$4:$A$12</f>
            </numRef>
          </cat>
          <val>
            <numRef>
              <f>'MonthlySummary'!$F$4:$F$12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Action-level results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'MonthlySummary'!$A$4:$A$12</f>
            </numRef>
          </cat>
          <val>
            <numRef>
              <f>'MonthlySummary'!$H$4:$H$12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M" displayName="tblEM" ref="A1:K3611" headerRowCount="1">
  <autoFilter ref="A1:K3611"/>
  <tableColumns count="11">
    <tableColumn id="1" name="SampleID"/>
    <tableColumn id="2" name="Date"/>
    <tableColumn id="3" name="Room"/>
    <tableColumn id="4" name="ISO"/>
    <tableColumn id="5" name="SampleType"/>
    <tableColumn id="6" name="CFU"/>
    <tableColumn id="7" name="Analyst"/>
    <tableColumn id="8" name="AlertLimit"/>
    <tableColumn id="9" name="ActionLimit"/>
    <tableColumn id="10" name="Result"/>
    <tableColumn id="11" name="Month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Environmental Monitoring QC Trend Report</t>
        </is>
      </c>
    </row>
    <row r="2">
      <c r="A2" t="inlineStr">
        <is>
          <t>Portfolio project by Dennis Nguyen. ALL DATA IS SYNTHETIC; limits are illustrative, not from any real SOP.</t>
        </is>
      </c>
    </row>
    <row r="3">
      <c r="A3" t="inlineStr"/>
    </row>
    <row r="4">
      <c r="A4" t="inlineStr">
        <is>
          <t>Pipeline: Python generates ~4,000 EM results -&gt; SQLite (sql/schema.sql) -&gt; SQL analysis (sql/analysis_queries.sql)</t>
        </is>
      </c>
    </row>
    <row r="5">
      <c r="A5" t="inlineStr">
        <is>
          <t>-&gt; this workbook, where formulas classify every result and build the monthly summary and charts.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 RawData        - every sample; formulas look up alert/action limits and flag Pass / Alert / Action.</t>
        </is>
      </c>
    </row>
    <row r="9">
      <c r="A9" t="inlineStr">
        <is>
          <t xml:space="preserve">  Limits         - alert and action limits by sample type (edit here, everything recalculates).</t>
        </is>
      </c>
    </row>
    <row r="10">
      <c r="A10" t="inlineStr">
        <is>
          <t xml:space="preserve">  MonthlySummary - samples, alerts, actions, excursion % per room per month (COUNTIFS).</t>
        </is>
      </c>
    </row>
    <row r="11">
      <c r="A11" t="inlineStr">
        <is>
          <t xml:space="preserve">  RoomTrend      - SQL output: rooms whose last-30-day excursion rate is above their 90-day baseline.</t>
        </is>
      </c>
    </row>
    <row r="12">
      <c r="A12" t="inlineStr">
        <is>
          <t xml:space="preserve">  RepeatExcursions - SQL output: same room + sample type over a limit 3+ times in 14 days.</t>
        </is>
      </c>
    </row>
    <row r="13">
      <c r="A13" t="inlineStr">
        <is>
          <t xml:space="preserve">  Weekly         - filled by the BuildWeeklyReport macro.</t>
        </is>
      </c>
    </row>
    <row r="14">
      <c r="A14" t="inlineStr"/>
    </row>
    <row r="15">
      <c r="A15" t="inlineStr">
        <is>
          <t>Automation: import vba/EMReport.bas, save as .xlsm, then run BuildWeeklyReport. It asks for a week-ending date,</t>
        </is>
      </c>
    </row>
    <row r="16">
      <c r="A16" t="inlineStr">
        <is>
          <t>copies that week's results to the Weekly sheet, totals excursions by room, highlights Action results, and saves a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Excursion rate (% of samples at Alert or Action) by room and month</t>
        </is>
      </c>
    </row>
    <row r="3">
      <c r="A3" s="3" t="inlineStr">
        <is>
          <t>Month</t>
        </is>
      </c>
      <c r="B3" s="3" t="inlineStr">
        <is>
          <t>CR-101</t>
        </is>
      </c>
      <c r="C3" s="3" t="inlineStr">
        <is>
          <t>CR-102</t>
        </is>
      </c>
      <c r="D3" s="3" t="inlineStr">
        <is>
          <t>CR-201</t>
        </is>
      </c>
      <c r="E3" s="3" t="inlineStr">
        <is>
          <t>CR-202</t>
        </is>
      </c>
      <c r="F3" s="3" t="inlineStr">
        <is>
          <t>Gowning</t>
        </is>
      </c>
      <c r="G3" s="3" t="inlineStr">
        <is>
          <t>All rooms</t>
        </is>
      </c>
      <c r="H3" s="3" t="inlineStr">
        <is>
          <t>Action results</t>
        </is>
      </c>
    </row>
    <row r="4">
      <c r="A4" s="4" t="n">
        <v>46023</v>
      </c>
      <c r="B4" s="5">
        <f>IFERROR(COUNTIFS(RawData!$K$2:$K$3611,$A4,RawData!$C$2:$C$3611,B$3,RawData!$J$2:$J$3611,"&lt;&gt;Pass")/COUNTIFS(RawData!$K$2:$K$3611,$A4,RawData!$C$2:$C$3611,B$3),"")</f>
        <v/>
      </c>
      <c r="C4" s="5">
        <f>IFERROR(COUNTIFS(RawData!$K$2:$K$3611,$A4,RawData!$C$2:$C$3611,C$3,RawData!$J$2:$J$3611,"&lt;&gt;Pass")/COUNTIFS(RawData!$K$2:$K$3611,$A4,RawData!$C$2:$C$3611,C$3),"")</f>
        <v/>
      </c>
      <c r="D4" s="5">
        <f>IFERROR(COUNTIFS(RawData!$K$2:$K$3611,$A4,RawData!$C$2:$C$3611,D$3,RawData!$J$2:$J$3611,"&lt;&gt;Pass")/COUNTIFS(RawData!$K$2:$K$3611,$A4,RawData!$C$2:$C$3611,D$3),"")</f>
        <v/>
      </c>
      <c r="E4" s="5">
        <f>IFERROR(COUNTIFS(RawData!$K$2:$K$3611,$A4,RawData!$C$2:$C$3611,E$3,RawData!$J$2:$J$3611,"&lt;&gt;Pass")/COUNTIFS(RawData!$K$2:$K$3611,$A4,RawData!$C$2:$C$3611,E$3),"")</f>
        <v/>
      </c>
      <c r="F4" s="5">
        <f>IFERROR(COUNTIFS(RawData!$K$2:$K$3611,$A4,RawData!$C$2:$C$3611,F$3,RawData!$J$2:$J$3611,"&lt;&gt;Pass")/COUNTIFS(RawData!$K$2:$K$3611,$A4,RawData!$C$2:$C$3611,F$3),"")</f>
        <v/>
      </c>
      <c r="G4" s="5">
        <f>IFERROR(COUNTIFS(RawData!$K$2:$K$3611,$A4,RawData!$J$2:$J$3611,"&lt;&gt;Pass")/COUNTIFS(RawData!$K$2:$K$3611,$A4),"")</f>
        <v/>
      </c>
      <c r="H4">
        <f>COUNTIFS(RawData!$K$2:$K$3611,$A4,RawData!$J$2:$J$3611,"Action")</f>
        <v/>
      </c>
    </row>
    <row r="5">
      <c r="A5" s="4" t="n">
        <v>46054</v>
      </c>
      <c r="B5" s="5">
        <f>IFERROR(COUNTIFS(RawData!$K$2:$K$3611,$A5,RawData!$C$2:$C$3611,B$3,RawData!$J$2:$J$3611,"&lt;&gt;Pass")/COUNTIFS(RawData!$K$2:$K$3611,$A5,RawData!$C$2:$C$3611,B$3),"")</f>
        <v/>
      </c>
      <c r="C5" s="5">
        <f>IFERROR(COUNTIFS(RawData!$K$2:$K$3611,$A5,RawData!$C$2:$C$3611,C$3,RawData!$J$2:$J$3611,"&lt;&gt;Pass")/COUNTIFS(RawData!$K$2:$K$3611,$A5,RawData!$C$2:$C$3611,C$3),"")</f>
        <v/>
      </c>
      <c r="D5" s="5">
        <f>IFERROR(COUNTIFS(RawData!$K$2:$K$3611,$A5,RawData!$C$2:$C$3611,D$3,RawData!$J$2:$J$3611,"&lt;&gt;Pass")/COUNTIFS(RawData!$K$2:$K$3611,$A5,RawData!$C$2:$C$3611,D$3),"")</f>
        <v/>
      </c>
      <c r="E5" s="5">
        <f>IFERROR(COUNTIFS(RawData!$K$2:$K$3611,$A5,RawData!$C$2:$C$3611,E$3,RawData!$J$2:$J$3611,"&lt;&gt;Pass")/COUNTIFS(RawData!$K$2:$K$3611,$A5,RawData!$C$2:$C$3611,E$3),"")</f>
        <v/>
      </c>
      <c r="F5" s="5">
        <f>IFERROR(COUNTIFS(RawData!$K$2:$K$3611,$A5,RawData!$C$2:$C$3611,F$3,RawData!$J$2:$J$3611,"&lt;&gt;Pass")/COUNTIFS(RawData!$K$2:$K$3611,$A5,RawData!$C$2:$C$3611,F$3),"")</f>
        <v/>
      </c>
      <c r="G5" s="5">
        <f>IFERROR(COUNTIFS(RawData!$K$2:$K$3611,$A5,RawData!$J$2:$J$3611,"&lt;&gt;Pass")/COUNTIFS(RawData!$K$2:$K$3611,$A5),"")</f>
        <v/>
      </c>
      <c r="H5">
        <f>COUNTIFS(RawData!$K$2:$K$3611,$A5,RawData!$J$2:$J$3611,"Action")</f>
        <v/>
      </c>
    </row>
    <row r="6">
      <c r="A6" s="4" t="n">
        <v>46082</v>
      </c>
      <c r="B6" s="5">
        <f>IFERROR(COUNTIFS(RawData!$K$2:$K$3611,$A6,RawData!$C$2:$C$3611,B$3,RawData!$J$2:$J$3611,"&lt;&gt;Pass")/COUNTIFS(RawData!$K$2:$K$3611,$A6,RawData!$C$2:$C$3611,B$3),"")</f>
        <v/>
      </c>
      <c r="C6" s="5">
        <f>IFERROR(COUNTIFS(RawData!$K$2:$K$3611,$A6,RawData!$C$2:$C$3611,C$3,RawData!$J$2:$J$3611,"&lt;&gt;Pass")/COUNTIFS(RawData!$K$2:$K$3611,$A6,RawData!$C$2:$C$3611,C$3),"")</f>
        <v/>
      </c>
      <c r="D6" s="5">
        <f>IFERROR(COUNTIFS(RawData!$K$2:$K$3611,$A6,RawData!$C$2:$C$3611,D$3,RawData!$J$2:$J$3611,"&lt;&gt;Pass")/COUNTIFS(RawData!$K$2:$K$3611,$A6,RawData!$C$2:$C$3611,D$3),"")</f>
        <v/>
      </c>
      <c r="E6" s="5">
        <f>IFERROR(COUNTIFS(RawData!$K$2:$K$3611,$A6,RawData!$C$2:$C$3611,E$3,RawData!$J$2:$J$3611,"&lt;&gt;Pass")/COUNTIFS(RawData!$K$2:$K$3611,$A6,RawData!$C$2:$C$3611,E$3),"")</f>
        <v/>
      </c>
      <c r="F6" s="5">
        <f>IFERROR(COUNTIFS(RawData!$K$2:$K$3611,$A6,RawData!$C$2:$C$3611,F$3,RawData!$J$2:$J$3611,"&lt;&gt;Pass")/COUNTIFS(RawData!$K$2:$K$3611,$A6,RawData!$C$2:$C$3611,F$3),"")</f>
        <v/>
      </c>
      <c r="G6" s="5">
        <f>IFERROR(COUNTIFS(RawData!$K$2:$K$3611,$A6,RawData!$J$2:$J$3611,"&lt;&gt;Pass")/COUNTIFS(RawData!$K$2:$K$3611,$A6),"")</f>
        <v/>
      </c>
      <c r="H6">
        <f>COUNTIFS(RawData!$K$2:$K$3611,$A6,RawData!$J$2:$J$3611,"Action")</f>
        <v/>
      </c>
    </row>
    <row r="7">
      <c r="A7" s="4" t="n">
        <v>46113</v>
      </c>
      <c r="B7" s="5">
        <f>IFERROR(COUNTIFS(RawData!$K$2:$K$3611,$A7,RawData!$C$2:$C$3611,B$3,RawData!$J$2:$J$3611,"&lt;&gt;Pass")/COUNTIFS(RawData!$K$2:$K$3611,$A7,RawData!$C$2:$C$3611,B$3),"")</f>
        <v/>
      </c>
      <c r="C7" s="5">
        <f>IFERROR(COUNTIFS(RawData!$K$2:$K$3611,$A7,RawData!$C$2:$C$3611,C$3,RawData!$J$2:$J$3611,"&lt;&gt;Pass")/COUNTIFS(RawData!$K$2:$K$3611,$A7,RawData!$C$2:$C$3611,C$3),"")</f>
        <v/>
      </c>
      <c r="D7" s="5">
        <f>IFERROR(COUNTIFS(RawData!$K$2:$K$3611,$A7,RawData!$C$2:$C$3611,D$3,RawData!$J$2:$J$3611,"&lt;&gt;Pass")/COUNTIFS(RawData!$K$2:$K$3611,$A7,RawData!$C$2:$C$3611,D$3),"")</f>
        <v/>
      </c>
      <c r="E7" s="5">
        <f>IFERROR(COUNTIFS(RawData!$K$2:$K$3611,$A7,RawData!$C$2:$C$3611,E$3,RawData!$J$2:$J$3611,"&lt;&gt;Pass")/COUNTIFS(RawData!$K$2:$K$3611,$A7,RawData!$C$2:$C$3611,E$3),"")</f>
        <v/>
      </c>
      <c r="F7" s="5">
        <f>IFERROR(COUNTIFS(RawData!$K$2:$K$3611,$A7,RawData!$C$2:$C$3611,F$3,RawData!$J$2:$J$3611,"&lt;&gt;Pass")/COUNTIFS(RawData!$K$2:$K$3611,$A7,RawData!$C$2:$C$3611,F$3),"")</f>
        <v/>
      </c>
      <c r="G7" s="5">
        <f>IFERROR(COUNTIFS(RawData!$K$2:$K$3611,$A7,RawData!$J$2:$J$3611,"&lt;&gt;Pass")/COUNTIFS(RawData!$K$2:$K$3611,$A7),"")</f>
        <v/>
      </c>
      <c r="H7">
        <f>COUNTIFS(RawData!$K$2:$K$3611,$A7,RawData!$J$2:$J$3611,"Action")</f>
        <v/>
      </c>
    </row>
    <row r="8">
      <c r="A8" s="4" t="n">
        <v>46143</v>
      </c>
      <c r="B8" s="5">
        <f>IFERROR(COUNTIFS(RawData!$K$2:$K$3611,$A8,RawData!$C$2:$C$3611,B$3,RawData!$J$2:$J$3611,"&lt;&gt;Pass")/COUNTIFS(RawData!$K$2:$K$3611,$A8,RawData!$C$2:$C$3611,B$3),"")</f>
        <v/>
      </c>
      <c r="C8" s="5">
        <f>IFERROR(COUNTIFS(RawData!$K$2:$K$3611,$A8,RawData!$C$2:$C$3611,C$3,RawData!$J$2:$J$3611,"&lt;&gt;Pass")/COUNTIFS(RawData!$K$2:$K$3611,$A8,RawData!$C$2:$C$3611,C$3),"")</f>
        <v/>
      </c>
      <c r="D8" s="5">
        <f>IFERROR(COUNTIFS(RawData!$K$2:$K$3611,$A8,RawData!$C$2:$C$3611,D$3,RawData!$J$2:$J$3611,"&lt;&gt;Pass")/COUNTIFS(RawData!$K$2:$K$3611,$A8,RawData!$C$2:$C$3611,D$3),"")</f>
        <v/>
      </c>
      <c r="E8" s="5">
        <f>IFERROR(COUNTIFS(RawData!$K$2:$K$3611,$A8,RawData!$C$2:$C$3611,E$3,RawData!$J$2:$J$3611,"&lt;&gt;Pass")/COUNTIFS(RawData!$K$2:$K$3611,$A8,RawData!$C$2:$C$3611,E$3),"")</f>
        <v/>
      </c>
      <c r="F8" s="5">
        <f>IFERROR(COUNTIFS(RawData!$K$2:$K$3611,$A8,RawData!$C$2:$C$3611,F$3,RawData!$J$2:$J$3611,"&lt;&gt;Pass")/COUNTIFS(RawData!$K$2:$K$3611,$A8,RawData!$C$2:$C$3611,F$3),"")</f>
        <v/>
      </c>
      <c r="G8" s="5">
        <f>IFERROR(COUNTIFS(RawData!$K$2:$K$3611,$A8,RawData!$J$2:$J$3611,"&lt;&gt;Pass")/COUNTIFS(RawData!$K$2:$K$3611,$A8),"")</f>
        <v/>
      </c>
      <c r="H8">
        <f>COUNTIFS(RawData!$K$2:$K$3611,$A8,RawData!$J$2:$J$3611,"Action")</f>
        <v/>
      </c>
    </row>
    <row r="9">
      <c r="A9" s="4" t="n">
        <v>46174</v>
      </c>
      <c r="B9" s="5">
        <f>IFERROR(COUNTIFS(RawData!$K$2:$K$3611,$A9,RawData!$C$2:$C$3611,B$3,RawData!$J$2:$J$3611,"&lt;&gt;Pass")/COUNTIFS(RawData!$K$2:$K$3611,$A9,RawData!$C$2:$C$3611,B$3),"")</f>
        <v/>
      </c>
      <c r="C9" s="5">
        <f>IFERROR(COUNTIFS(RawData!$K$2:$K$3611,$A9,RawData!$C$2:$C$3611,C$3,RawData!$J$2:$J$3611,"&lt;&gt;Pass")/COUNTIFS(RawData!$K$2:$K$3611,$A9,RawData!$C$2:$C$3611,C$3),"")</f>
        <v/>
      </c>
      <c r="D9" s="5">
        <f>IFERROR(COUNTIFS(RawData!$K$2:$K$3611,$A9,RawData!$C$2:$C$3611,D$3,RawData!$J$2:$J$3611,"&lt;&gt;Pass")/COUNTIFS(RawData!$K$2:$K$3611,$A9,RawData!$C$2:$C$3611,D$3),"")</f>
        <v/>
      </c>
      <c r="E9" s="5">
        <f>IFERROR(COUNTIFS(RawData!$K$2:$K$3611,$A9,RawData!$C$2:$C$3611,E$3,RawData!$J$2:$J$3611,"&lt;&gt;Pass")/COUNTIFS(RawData!$K$2:$K$3611,$A9,RawData!$C$2:$C$3611,E$3),"")</f>
        <v/>
      </c>
      <c r="F9" s="5">
        <f>IFERROR(COUNTIFS(RawData!$K$2:$K$3611,$A9,RawData!$C$2:$C$3611,F$3,RawData!$J$2:$J$3611,"&lt;&gt;Pass")/COUNTIFS(RawData!$K$2:$K$3611,$A9,RawData!$C$2:$C$3611,F$3),"")</f>
        <v/>
      </c>
      <c r="G9" s="5">
        <f>IFERROR(COUNTIFS(RawData!$K$2:$K$3611,$A9,RawData!$J$2:$J$3611,"&lt;&gt;Pass")/COUNTIFS(RawData!$K$2:$K$3611,$A9),"")</f>
        <v/>
      </c>
      <c r="H9">
        <f>COUNTIFS(RawData!$K$2:$K$3611,$A9,RawData!$J$2:$J$3611,"Action")</f>
        <v/>
      </c>
    </row>
    <row r="10">
      <c r="A10" s="4" t="n">
        <v>46204</v>
      </c>
      <c r="B10" s="5">
        <f>IFERROR(COUNTIFS(RawData!$K$2:$K$3611,$A10,RawData!$C$2:$C$3611,B$3,RawData!$J$2:$J$3611,"&lt;&gt;Pass")/COUNTIFS(RawData!$K$2:$K$3611,$A10,RawData!$C$2:$C$3611,B$3),"")</f>
        <v/>
      </c>
      <c r="C10" s="5">
        <f>IFERROR(COUNTIFS(RawData!$K$2:$K$3611,$A10,RawData!$C$2:$C$3611,C$3,RawData!$J$2:$J$3611,"&lt;&gt;Pass")/COUNTIFS(RawData!$K$2:$K$3611,$A10,RawData!$C$2:$C$3611,C$3),"")</f>
        <v/>
      </c>
      <c r="D10" s="5">
        <f>IFERROR(COUNTIFS(RawData!$K$2:$K$3611,$A10,RawData!$C$2:$C$3611,D$3,RawData!$J$2:$J$3611,"&lt;&gt;Pass")/COUNTIFS(RawData!$K$2:$K$3611,$A10,RawData!$C$2:$C$3611,D$3),"")</f>
        <v/>
      </c>
      <c r="E10" s="5">
        <f>IFERROR(COUNTIFS(RawData!$K$2:$K$3611,$A10,RawData!$C$2:$C$3611,E$3,RawData!$J$2:$J$3611,"&lt;&gt;Pass")/COUNTIFS(RawData!$K$2:$K$3611,$A10,RawData!$C$2:$C$3611,E$3),"")</f>
        <v/>
      </c>
      <c r="F10" s="5">
        <f>IFERROR(COUNTIFS(RawData!$K$2:$K$3611,$A10,RawData!$C$2:$C$3611,F$3,RawData!$J$2:$J$3611,"&lt;&gt;Pass")/COUNTIFS(RawData!$K$2:$K$3611,$A10,RawData!$C$2:$C$3611,F$3),"")</f>
        <v/>
      </c>
      <c r="G10" s="5">
        <f>IFERROR(COUNTIFS(RawData!$K$2:$K$3611,$A10,RawData!$J$2:$J$3611,"&lt;&gt;Pass")/COUNTIFS(RawData!$K$2:$K$3611,$A10),"")</f>
        <v/>
      </c>
      <c r="H10">
        <f>COUNTIFS(RawData!$K$2:$K$3611,$A10,RawData!$J$2:$J$3611,"Action")</f>
        <v/>
      </c>
    </row>
    <row r="11">
      <c r="A11" s="4" t="n">
        <v>46235</v>
      </c>
      <c r="B11" s="5">
        <f>IFERROR(COUNTIFS(RawData!$K$2:$K$3611,$A11,RawData!$C$2:$C$3611,B$3,RawData!$J$2:$J$3611,"&lt;&gt;Pass")/COUNTIFS(RawData!$K$2:$K$3611,$A11,RawData!$C$2:$C$3611,B$3),"")</f>
        <v/>
      </c>
      <c r="C11" s="5">
        <f>IFERROR(COUNTIFS(RawData!$K$2:$K$3611,$A11,RawData!$C$2:$C$3611,C$3,RawData!$J$2:$J$3611,"&lt;&gt;Pass")/COUNTIFS(RawData!$K$2:$K$3611,$A11,RawData!$C$2:$C$3611,C$3),"")</f>
        <v/>
      </c>
      <c r="D11" s="5">
        <f>IFERROR(COUNTIFS(RawData!$K$2:$K$3611,$A11,RawData!$C$2:$C$3611,D$3,RawData!$J$2:$J$3611,"&lt;&gt;Pass")/COUNTIFS(RawData!$K$2:$K$3611,$A11,RawData!$C$2:$C$3611,D$3),"")</f>
        <v/>
      </c>
      <c r="E11" s="5">
        <f>IFERROR(COUNTIFS(RawData!$K$2:$K$3611,$A11,RawData!$C$2:$C$3611,E$3,RawData!$J$2:$J$3611,"&lt;&gt;Pass")/COUNTIFS(RawData!$K$2:$K$3611,$A11,RawData!$C$2:$C$3611,E$3),"")</f>
        <v/>
      </c>
      <c r="F11" s="5">
        <f>IFERROR(COUNTIFS(RawData!$K$2:$K$3611,$A11,RawData!$C$2:$C$3611,F$3,RawData!$J$2:$J$3611,"&lt;&gt;Pass")/COUNTIFS(RawData!$K$2:$K$3611,$A11,RawData!$C$2:$C$3611,F$3),"")</f>
        <v/>
      </c>
      <c r="G11" s="5">
        <f>IFERROR(COUNTIFS(RawData!$K$2:$K$3611,$A11,RawData!$J$2:$J$3611,"&lt;&gt;Pass")/COUNTIFS(RawData!$K$2:$K$3611,$A11),"")</f>
        <v/>
      </c>
      <c r="H11">
        <f>COUNTIFS(RawData!$K$2:$K$3611,$A11,RawData!$J$2:$J$3611,"Action")</f>
        <v/>
      </c>
    </row>
    <row r="12">
      <c r="A12" s="4" t="n">
        <v>46266</v>
      </c>
      <c r="B12" s="5">
        <f>IFERROR(COUNTIFS(RawData!$K$2:$K$3611,$A12,RawData!$C$2:$C$3611,B$3,RawData!$J$2:$J$3611,"&lt;&gt;Pass")/COUNTIFS(RawData!$K$2:$K$3611,$A12,RawData!$C$2:$C$3611,B$3),"")</f>
        <v/>
      </c>
      <c r="C12" s="5">
        <f>IFERROR(COUNTIFS(RawData!$K$2:$K$3611,$A12,RawData!$C$2:$C$3611,C$3,RawData!$J$2:$J$3611,"&lt;&gt;Pass")/COUNTIFS(RawData!$K$2:$K$3611,$A12,RawData!$C$2:$C$3611,C$3),"")</f>
        <v/>
      </c>
      <c r="D12" s="5">
        <f>IFERROR(COUNTIFS(RawData!$K$2:$K$3611,$A12,RawData!$C$2:$C$3611,D$3,RawData!$J$2:$J$3611,"&lt;&gt;Pass")/COUNTIFS(RawData!$K$2:$K$3611,$A12,RawData!$C$2:$C$3611,D$3),"")</f>
        <v/>
      </c>
      <c r="E12" s="5">
        <f>IFERROR(COUNTIFS(RawData!$K$2:$K$3611,$A12,RawData!$C$2:$C$3611,E$3,RawData!$J$2:$J$3611,"&lt;&gt;Pass")/COUNTIFS(RawData!$K$2:$K$3611,$A12,RawData!$C$2:$C$3611,E$3),"")</f>
        <v/>
      </c>
      <c r="F12" s="5">
        <f>IFERROR(COUNTIFS(RawData!$K$2:$K$3611,$A12,RawData!$C$2:$C$3611,F$3,RawData!$J$2:$J$3611,"&lt;&gt;Pass")/COUNTIFS(RawData!$K$2:$K$3611,$A12,RawData!$C$2:$C$3611,F$3),"")</f>
        <v/>
      </c>
      <c r="G12" s="5">
        <f>IFERROR(COUNTIFS(RawData!$K$2:$K$3611,$A12,RawData!$J$2:$J$3611,"&lt;&gt;Pass")/COUNTIFS(RawData!$K$2:$K$3611,$A12),"")</f>
        <v/>
      </c>
      <c r="H12">
        <f>COUNTIFS(RawData!$K$2:$K$3611,$A12,RawData!$J$2:$J$3611,"Action")</f>
        <v/>
      </c>
    </row>
  </sheetData>
  <conditionalFormatting sqref="B4:G12">
    <cfRule type="cellIs" priority="1" operator="greaterThan" dxfId="0">
      <formula>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>
      <c r="A1" s="6" t="inlineStr">
        <is>
          <t>SampleType</t>
        </is>
      </c>
      <c r="B1" s="6" t="inlineStr">
        <is>
          <t>AlertLimit</t>
        </is>
      </c>
      <c r="C1" s="6" t="inlineStr">
        <is>
          <t>ActionLimit</t>
        </is>
      </c>
    </row>
    <row r="2">
      <c r="A2" t="inlineStr">
        <is>
          <t>Active air</t>
        </is>
      </c>
      <c r="B2" t="n">
        <v>5</v>
      </c>
      <c r="C2" t="n">
        <v>10</v>
      </c>
    </row>
    <row r="3">
      <c r="A3" t="inlineStr">
        <is>
          <t>Surface contact</t>
        </is>
      </c>
      <c r="B3" t="n">
        <v>3</v>
      </c>
      <c r="C3" t="n">
        <v>5</v>
      </c>
    </row>
    <row r="4">
      <c r="A4" t="inlineStr">
        <is>
          <t>Compressed air</t>
        </is>
      </c>
      <c r="B4" t="n">
        <v>1</v>
      </c>
      <c r="C4" t="n">
        <v>3</v>
      </c>
    </row>
    <row r="5">
      <c r="A5" t="inlineStr">
        <is>
          <t>Personnel glove</t>
        </is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7" customWidth="1" min="4" max="4"/>
    <col width="16" customWidth="1" min="5" max="5"/>
    <col width="6" customWidth="1" min="6" max="6"/>
    <col width="9" customWidth="1" min="7" max="7"/>
    <col width="10" customWidth="1" min="8" max="8"/>
    <col width="11" customWidth="1" min="9" max="9"/>
    <col width="9" customWidth="1" min="10" max="10"/>
    <col width="10" customWidth="1" min="11" max="11"/>
  </cols>
  <sheetData>
    <row r="1">
      <c r="A1" s="6" t="inlineStr">
        <is>
          <t>SampleID</t>
        </is>
      </c>
      <c r="B1" s="6" t="inlineStr">
        <is>
          <t>Date</t>
        </is>
      </c>
      <c r="C1" s="6" t="inlineStr">
        <is>
          <t>Room</t>
        </is>
      </c>
      <c r="D1" s="6" t="inlineStr">
        <is>
          <t>ISO</t>
        </is>
      </c>
      <c r="E1" s="6" t="inlineStr">
        <is>
          <t>SampleType</t>
        </is>
      </c>
      <c r="F1" s="6" t="inlineStr">
        <is>
          <t>CFU</t>
        </is>
      </c>
      <c r="G1" s="6" t="inlineStr">
        <is>
          <t>Analyst</t>
        </is>
      </c>
      <c r="H1" s="6" t="inlineStr">
        <is>
          <t>AlertLimit</t>
        </is>
      </c>
      <c r="I1" s="6" t="inlineStr">
        <is>
          <t>ActionLimit</t>
        </is>
      </c>
      <c r="J1" s="6" t="inlineStr">
        <is>
          <t>Result</t>
        </is>
      </c>
      <c r="K1" s="6" t="inlineStr">
        <is>
          <t>Month</t>
        </is>
      </c>
    </row>
    <row r="2">
      <c r="A2" t="inlineStr">
        <is>
          <t>EM000001</t>
        </is>
      </c>
      <c r="B2" s="7" t="n">
        <v>46027</v>
      </c>
      <c r="C2" t="inlineStr">
        <is>
          <t>CR-101</t>
        </is>
      </c>
      <c r="D2" t="inlineStr">
        <is>
          <t>ISO 7</t>
        </is>
      </c>
      <c r="E2" t="inlineStr">
        <is>
          <t>Active air</t>
        </is>
      </c>
      <c r="F2" t="n">
        <v>0</v>
      </c>
      <c r="G2" t="inlineStr">
        <is>
          <t>Tech B</t>
        </is>
      </c>
      <c r="H2">
        <f>INDEX(Limits!$B$2:$B$5,MATCH(E2,Limits!$A$2:$A$5,0))</f>
        <v/>
      </c>
      <c r="I2">
        <f>INDEX(Limits!$C$2:$C$5,MATCH(E2,Limits!$A$2:$A$5,0))</f>
        <v/>
      </c>
      <c r="J2">
        <f>IF(F2&gt;=I2,"Action",IF(F2&gt;=H2,"Alert","Pass"))</f>
        <v/>
      </c>
      <c r="K2" s="4">
        <f>DATE(YEAR(B2),MONTH(B2),1)</f>
        <v/>
      </c>
    </row>
    <row r="3">
      <c r="A3" t="inlineStr">
        <is>
          <t>EM000002</t>
        </is>
      </c>
      <c r="B3" s="7" t="n">
        <v>46027</v>
      </c>
      <c r="C3" t="inlineStr">
        <is>
          <t>CR-101</t>
        </is>
      </c>
      <c r="D3" t="inlineStr">
        <is>
          <t>ISO 7</t>
        </is>
      </c>
      <c r="E3" t="inlineStr">
        <is>
          <t>Surface contact</t>
        </is>
      </c>
      <c r="F3" t="n">
        <v>0</v>
      </c>
      <c r="G3" t="inlineStr">
        <is>
          <t>Tech C</t>
        </is>
      </c>
      <c r="H3">
        <f>INDEX(Limits!$B$2:$B$5,MATCH(E3,Limits!$A$2:$A$5,0))</f>
        <v/>
      </c>
      <c r="I3">
        <f>INDEX(Limits!$C$2:$C$5,MATCH(E3,Limits!$A$2:$A$5,0))</f>
        <v/>
      </c>
      <c r="J3">
        <f>IF(F3&gt;=I3,"Action",IF(F3&gt;=H3,"Alert","Pass"))</f>
        <v/>
      </c>
      <c r="K3" s="4">
        <f>DATE(YEAR(B3),MONTH(B3),1)</f>
        <v/>
      </c>
    </row>
    <row r="4">
      <c r="A4" t="inlineStr">
        <is>
          <t>EM000003</t>
        </is>
      </c>
      <c r="B4" s="7" t="n">
        <v>46027</v>
      </c>
      <c r="C4" t="inlineStr">
        <is>
          <t>CR-101</t>
        </is>
      </c>
      <c r="D4" t="inlineStr">
        <is>
          <t>ISO 7</t>
        </is>
      </c>
      <c r="E4" t="inlineStr">
        <is>
          <t>Compressed air</t>
        </is>
      </c>
      <c r="F4" t="n">
        <v>0</v>
      </c>
      <c r="G4" t="inlineStr">
        <is>
          <t>Tech B</t>
        </is>
      </c>
      <c r="H4">
        <f>INDEX(Limits!$B$2:$B$5,MATCH(E4,Limits!$A$2:$A$5,0))</f>
        <v/>
      </c>
      <c r="I4">
        <f>INDEX(Limits!$C$2:$C$5,MATCH(E4,Limits!$A$2:$A$5,0))</f>
        <v/>
      </c>
      <c r="J4">
        <f>IF(F4&gt;=I4,"Action",IF(F4&gt;=H4,"Alert","Pass"))</f>
        <v/>
      </c>
      <c r="K4" s="4">
        <f>DATE(YEAR(B4),MONTH(B4),1)</f>
        <v/>
      </c>
    </row>
    <row r="5">
      <c r="A5" t="inlineStr">
        <is>
          <t>EM000004</t>
        </is>
      </c>
      <c r="B5" s="7" t="n">
        <v>46027</v>
      </c>
      <c r="C5" t="inlineStr">
        <is>
          <t>CR-101</t>
        </is>
      </c>
      <c r="D5" t="inlineStr">
        <is>
          <t>ISO 7</t>
        </is>
      </c>
      <c r="E5" t="inlineStr">
        <is>
          <t>Personnel glove</t>
        </is>
      </c>
      <c r="F5" t="n">
        <v>0</v>
      </c>
      <c r="G5" t="inlineStr">
        <is>
          <t>Tech A</t>
        </is>
      </c>
      <c r="H5">
        <f>INDEX(Limits!$B$2:$B$5,MATCH(E5,Limits!$A$2:$A$5,0))</f>
        <v/>
      </c>
      <c r="I5">
        <f>INDEX(Limits!$C$2:$C$5,MATCH(E5,Limits!$A$2:$A$5,0))</f>
        <v/>
      </c>
      <c r="J5">
        <f>IF(F5&gt;=I5,"Action",IF(F5&gt;=H5,"Alert","Pass"))</f>
        <v/>
      </c>
      <c r="K5" s="4">
        <f>DATE(YEAR(B5),MONTH(B5),1)</f>
        <v/>
      </c>
    </row>
    <row r="6">
      <c r="A6" t="inlineStr">
        <is>
          <t>EM000005</t>
        </is>
      </c>
      <c r="B6" s="7" t="n">
        <v>46027</v>
      </c>
      <c r="C6" t="inlineStr">
        <is>
          <t>CR-102</t>
        </is>
      </c>
      <c r="D6" t="inlineStr">
        <is>
          <t>ISO 7</t>
        </is>
      </c>
      <c r="E6" t="inlineStr">
        <is>
          <t>Active air</t>
        </is>
      </c>
      <c r="F6" t="n">
        <v>0</v>
      </c>
      <c r="G6" t="inlineStr">
        <is>
          <t>Tech B</t>
        </is>
      </c>
      <c r="H6">
        <f>INDEX(Limits!$B$2:$B$5,MATCH(E6,Limits!$A$2:$A$5,0))</f>
        <v/>
      </c>
      <c r="I6">
        <f>INDEX(Limits!$C$2:$C$5,MATCH(E6,Limits!$A$2:$A$5,0))</f>
        <v/>
      </c>
      <c r="J6">
        <f>IF(F6&gt;=I6,"Action",IF(F6&gt;=H6,"Alert","Pass"))</f>
        <v/>
      </c>
      <c r="K6" s="4">
        <f>DATE(YEAR(B6),MONTH(B6),1)</f>
        <v/>
      </c>
    </row>
    <row r="7">
      <c r="A7" t="inlineStr">
        <is>
          <t>EM000006</t>
        </is>
      </c>
      <c r="B7" s="7" t="n">
        <v>46027</v>
      </c>
      <c r="C7" t="inlineStr">
        <is>
          <t>CR-102</t>
        </is>
      </c>
      <c r="D7" t="inlineStr">
        <is>
          <t>ISO 7</t>
        </is>
      </c>
      <c r="E7" t="inlineStr">
        <is>
          <t>Surface contact</t>
        </is>
      </c>
      <c r="F7" t="n">
        <v>0</v>
      </c>
      <c r="G7" t="inlineStr">
        <is>
          <t>Tech C</t>
        </is>
      </c>
      <c r="H7">
        <f>INDEX(Limits!$B$2:$B$5,MATCH(E7,Limits!$A$2:$A$5,0))</f>
        <v/>
      </c>
      <c r="I7">
        <f>INDEX(Limits!$C$2:$C$5,MATCH(E7,Limits!$A$2:$A$5,0))</f>
        <v/>
      </c>
      <c r="J7">
        <f>IF(F7&gt;=I7,"Action",IF(F7&gt;=H7,"Alert","Pass"))</f>
        <v/>
      </c>
      <c r="K7" s="4">
        <f>DATE(YEAR(B7),MONTH(B7),1)</f>
        <v/>
      </c>
    </row>
    <row r="8">
      <c r="A8" t="inlineStr">
        <is>
          <t>EM000007</t>
        </is>
      </c>
      <c r="B8" s="7" t="n">
        <v>46027</v>
      </c>
      <c r="C8" t="inlineStr">
        <is>
          <t>CR-102</t>
        </is>
      </c>
      <c r="D8" t="inlineStr">
        <is>
          <t>ISO 7</t>
        </is>
      </c>
      <c r="E8" t="inlineStr">
        <is>
          <t>Compressed air</t>
        </is>
      </c>
      <c r="F8" t="n">
        <v>0</v>
      </c>
      <c r="G8" t="inlineStr">
        <is>
          <t>Tech B</t>
        </is>
      </c>
      <c r="H8">
        <f>INDEX(Limits!$B$2:$B$5,MATCH(E8,Limits!$A$2:$A$5,0))</f>
        <v/>
      </c>
      <c r="I8">
        <f>INDEX(Limits!$C$2:$C$5,MATCH(E8,Limits!$A$2:$A$5,0))</f>
        <v/>
      </c>
      <c r="J8">
        <f>IF(F8&gt;=I8,"Action",IF(F8&gt;=H8,"Alert","Pass"))</f>
        <v/>
      </c>
      <c r="K8" s="4">
        <f>DATE(YEAR(B8),MONTH(B8),1)</f>
        <v/>
      </c>
    </row>
    <row r="9">
      <c r="A9" t="inlineStr">
        <is>
          <t>EM000008</t>
        </is>
      </c>
      <c r="B9" s="7" t="n">
        <v>46027</v>
      </c>
      <c r="C9" t="inlineStr">
        <is>
          <t>CR-102</t>
        </is>
      </c>
      <c r="D9" t="inlineStr">
        <is>
          <t>ISO 7</t>
        </is>
      </c>
      <c r="E9" t="inlineStr">
        <is>
          <t>Personnel glove</t>
        </is>
      </c>
      <c r="F9" t="n">
        <v>0</v>
      </c>
      <c r="G9" t="inlineStr">
        <is>
          <t>Tech D</t>
        </is>
      </c>
      <c r="H9">
        <f>INDEX(Limits!$B$2:$B$5,MATCH(E9,Limits!$A$2:$A$5,0))</f>
        <v/>
      </c>
      <c r="I9">
        <f>INDEX(Limits!$C$2:$C$5,MATCH(E9,Limits!$A$2:$A$5,0))</f>
        <v/>
      </c>
      <c r="J9">
        <f>IF(F9&gt;=I9,"Action",IF(F9&gt;=H9,"Alert","Pass"))</f>
        <v/>
      </c>
      <c r="K9" s="4">
        <f>DATE(YEAR(B9),MONTH(B9),1)</f>
        <v/>
      </c>
    </row>
    <row r="10">
      <c r="A10" t="inlineStr">
        <is>
          <t>EM000009</t>
        </is>
      </c>
      <c r="B10" s="7" t="n">
        <v>46027</v>
      </c>
      <c r="C10" t="inlineStr">
        <is>
          <t>CR-201</t>
        </is>
      </c>
      <c r="D10" t="inlineStr">
        <is>
          <t>ISO 8</t>
        </is>
      </c>
      <c r="E10" t="inlineStr">
        <is>
          <t>Active air</t>
        </is>
      </c>
      <c r="F10" t="n">
        <v>2</v>
      </c>
      <c r="G10" t="inlineStr">
        <is>
          <t>Tech B</t>
        </is>
      </c>
      <c r="H10">
        <f>INDEX(Limits!$B$2:$B$5,MATCH(E10,Limits!$A$2:$A$5,0))</f>
        <v/>
      </c>
      <c r="I10">
        <f>INDEX(Limits!$C$2:$C$5,MATCH(E10,Limits!$A$2:$A$5,0))</f>
        <v/>
      </c>
      <c r="J10">
        <f>IF(F10&gt;=I10,"Action",IF(F10&gt;=H10,"Alert","Pass"))</f>
        <v/>
      </c>
      <c r="K10" s="4">
        <f>DATE(YEAR(B10),MONTH(B10),1)</f>
        <v/>
      </c>
    </row>
    <row r="11">
      <c r="A11" t="inlineStr">
        <is>
          <t>EM000010</t>
        </is>
      </c>
      <c r="B11" s="7" t="n">
        <v>46027</v>
      </c>
      <c r="C11" t="inlineStr">
        <is>
          <t>CR-201</t>
        </is>
      </c>
      <c r="D11" t="inlineStr">
        <is>
          <t>ISO 8</t>
        </is>
      </c>
      <c r="E11" t="inlineStr">
        <is>
          <t>Surface contact</t>
        </is>
      </c>
      <c r="F11" t="n">
        <v>0</v>
      </c>
      <c r="G11" t="inlineStr">
        <is>
          <t>Tech D</t>
        </is>
      </c>
      <c r="H11">
        <f>INDEX(Limits!$B$2:$B$5,MATCH(E11,Limits!$A$2:$A$5,0))</f>
        <v/>
      </c>
      <c r="I11">
        <f>INDEX(Limits!$C$2:$C$5,MATCH(E11,Limits!$A$2:$A$5,0))</f>
        <v/>
      </c>
      <c r="J11">
        <f>IF(F11&gt;=I11,"Action",IF(F11&gt;=H11,"Alert","Pass"))</f>
        <v/>
      </c>
      <c r="K11" s="4">
        <f>DATE(YEAR(B11),MONTH(B11),1)</f>
        <v/>
      </c>
    </row>
    <row r="12">
      <c r="A12" t="inlineStr">
        <is>
          <t>EM000011</t>
        </is>
      </c>
      <c r="B12" s="7" t="n">
        <v>46027</v>
      </c>
      <c r="C12" t="inlineStr">
        <is>
          <t>CR-201</t>
        </is>
      </c>
      <c r="D12" t="inlineStr">
        <is>
          <t>ISO 8</t>
        </is>
      </c>
      <c r="E12" t="inlineStr">
        <is>
          <t>Compressed air</t>
        </is>
      </c>
      <c r="F12" t="n">
        <v>0</v>
      </c>
      <c r="G12" t="inlineStr">
        <is>
          <t>Tech D</t>
        </is>
      </c>
      <c r="H12">
        <f>INDEX(Limits!$B$2:$B$5,MATCH(E12,Limits!$A$2:$A$5,0))</f>
        <v/>
      </c>
      <c r="I12">
        <f>INDEX(Limits!$C$2:$C$5,MATCH(E12,Limits!$A$2:$A$5,0))</f>
        <v/>
      </c>
      <c r="J12">
        <f>IF(F12&gt;=I12,"Action",IF(F12&gt;=H12,"Alert","Pass"))</f>
        <v/>
      </c>
      <c r="K12" s="4">
        <f>DATE(YEAR(B12),MONTH(B12),1)</f>
        <v/>
      </c>
    </row>
    <row r="13">
      <c r="A13" t="inlineStr">
        <is>
          <t>EM000012</t>
        </is>
      </c>
      <c r="B13" s="7" t="n">
        <v>46027</v>
      </c>
      <c r="C13" t="inlineStr">
        <is>
          <t>CR-201</t>
        </is>
      </c>
      <c r="D13" t="inlineStr">
        <is>
          <t>ISO 8</t>
        </is>
      </c>
      <c r="E13" t="inlineStr">
        <is>
          <t>Personnel glove</t>
        </is>
      </c>
      <c r="F13" t="n">
        <v>0</v>
      </c>
      <c r="G13" t="inlineStr">
        <is>
          <t>Tech B</t>
        </is>
      </c>
      <c r="H13">
        <f>INDEX(Limits!$B$2:$B$5,MATCH(E13,Limits!$A$2:$A$5,0))</f>
        <v/>
      </c>
      <c r="I13">
        <f>INDEX(Limits!$C$2:$C$5,MATCH(E13,Limits!$A$2:$A$5,0))</f>
        <v/>
      </c>
      <c r="J13">
        <f>IF(F13&gt;=I13,"Action",IF(F13&gt;=H13,"Alert","Pass"))</f>
        <v/>
      </c>
      <c r="K13" s="4">
        <f>DATE(YEAR(B13),MONTH(B13),1)</f>
        <v/>
      </c>
    </row>
    <row r="14">
      <c r="A14" t="inlineStr">
        <is>
          <t>EM000013</t>
        </is>
      </c>
      <c r="B14" s="7" t="n">
        <v>46027</v>
      </c>
      <c r="C14" t="inlineStr">
        <is>
          <t>CR-202</t>
        </is>
      </c>
      <c r="D14" t="inlineStr">
        <is>
          <t>ISO 8</t>
        </is>
      </c>
      <c r="E14" t="inlineStr">
        <is>
          <t>Active air</t>
        </is>
      </c>
      <c r="F14" t="n">
        <v>3</v>
      </c>
      <c r="G14" t="inlineStr">
        <is>
          <t>Tech C</t>
        </is>
      </c>
      <c r="H14">
        <f>INDEX(Limits!$B$2:$B$5,MATCH(E14,Limits!$A$2:$A$5,0))</f>
        <v/>
      </c>
      <c r="I14">
        <f>INDEX(Limits!$C$2:$C$5,MATCH(E14,Limits!$A$2:$A$5,0))</f>
        <v/>
      </c>
      <c r="J14">
        <f>IF(F14&gt;=I14,"Action",IF(F14&gt;=H14,"Alert","Pass"))</f>
        <v/>
      </c>
      <c r="K14" s="4">
        <f>DATE(YEAR(B14),MONTH(B14),1)</f>
        <v/>
      </c>
    </row>
    <row r="15">
      <c r="A15" t="inlineStr">
        <is>
          <t>EM000014</t>
        </is>
      </c>
      <c r="B15" s="7" t="n">
        <v>46027</v>
      </c>
      <c r="C15" t="inlineStr">
        <is>
          <t>CR-202</t>
        </is>
      </c>
      <c r="D15" t="inlineStr">
        <is>
          <t>ISO 8</t>
        </is>
      </c>
      <c r="E15" t="inlineStr">
        <is>
          <t>Surface contact</t>
        </is>
      </c>
      <c r="F15" t="n">
        <v>1</v>
      </c>
      <c r="G15" t="inlineStr">
        <is>
          <t>Tech D</t>
        </is>
      </c>
      <c r="H15">
        <f>INDEX(Limits!$B$2:$B$5,MATCH(E15,Limits!$A$2:$A$5,0))</f>
        <v/>
      </c>
      <c r="I15">
        <f>INDEX(Limits!$C$2:$C$5,MATCH(E15,Limits!$A$2:$A$5,0))</f>
        <v/>
      </c>
      <c r="J15">
        <f>IF(F15&gt;=I15,"Action",IF(F15&gt;=H15,"Alert","Pass"))</f>
        <v/>
      </c>
      <c r="K15" s="4">
        <f>DATE(YEAR(B15),MONTH(B15),1)</f>
        <v/>
      </c>
    </row>
    <row r="16">
      <c r="A16" t="inlineStr">
        <is>
          <t>EM000015</t>
        </is>
      </c>
      <c r="B16" s="7" t="n">
        <v>46027</v>
      </c>
      <c r="C16" t="inlineStr">
        <is>
          <t>CR-202</t>
        </is>
      </c>
      <c r="D16" t="inlineStr">
        <is>
          <t>ISO 8</t>
        </is>
      </c>
      <c r="E16" t="inlineStr">
        <is>
          <t>Compressed air</t>
        </is>
      </c>
      <c r="F16" t="n">
        <v>0</v>
      </c>
      <c r="G16" t="inlineStr">
        <is>
          <t>Tech B</t>
        </is>
      </c>
      <c r="H16">
        <f>INDEX(Limits!$B$2:$B$5,MATCH(E16,Limits!$A$2:$A$5,0))</f>
        <v/>
      </c>
      <c r="I16">
        <f>INDEX(Limits!$C$2:$C$5,MATCH(E16,Limits!$A$2:$A$5,0))</f>
        <v/>
      </c>
      <c r="J16">
        <f>IF(F16&gt;=I16,"Action",IF(F16&gt;=H16,"Alert","Pass"))</f>
        <v/>
      </c>
      <c r="K16" s="4">
        <f>DATE(YEAR(B16),MONTH(B16),1)</f>
        <v/>
      </c>
    </row>
    <row r="17">
      <c r="A17" t="inlineStr">
        <is>
          <t>EM000016</t>
        </is>
      </c>
      <c r="B17" s="7" t="n">
        <v>46027</v>
      </c>
      <c r="C17" t="inlineStr">
        <is>
          <t>CR-202</t>
        </is>
      </c>
      <c r="D17" t="inlineStr">
        <is>
          <t>ISO 8</t>
        </is>
      </c>
      <c r="E17" t="inlineStr">
        <is>
          <t>Personnel glove</t>
        </is>
      </c>
      <c r="F17" t="n">
        <v>0</v>
      </c>
      <c r="G17" t="inlineStr">
        <is>
          <t>Tech A</t>
        </is>
      </c>
      <c r="H17">
        <f>INDEX(Limits!$B$2:$B$5,MATCH(E17,Limits!$A$2:$A$5,0))</f>
        <v/>
      </c>
      <c r="I17">
        <f>INDEX(Limits!$C$2:$C$5,MATCH(E17,Limits!$A$2:$A$5,0))</f>
        <v/>
      </c>
      <c r="J17">
        <f>IF(F17&gt;=I17,"Action",IF(F17&gt;=H17,"Alert","Pass"))</f>
        <v/>
      </c>
      <c r="K17" s="4">
        <f>DATE(YEAR(B17),MONTH(B17),1)</f>
        <v/>
      </c>
    </row>
    <row r="18">
      <c r="A18" t="inlineStr">
        <is>
          <t>EM000017</t>
        </is>
      </c>
      <c r="B18" s="7" t="n">
        <v>46027</v>
      </c>
      <c r="C18" t="inlineStr">
        <is>
          <t>Gowning</t>
        </is>
      </c>
      <c r="D18" t="inlineStr">
        <is>
          <t>ISO 8</t>
        </is>
      </c>
      <c r="E18" t="inlineStr">
        <is>
          <t>Active air</t>
        </is>
      </c>
      <c r="F18" t="n">
        <v>2</v>
      </c>
      <c r="G18" t="inlineStr">
        <is>
          <t>Tech B</t>
        </is>
      </c>
      <c r="H18">
        <f>INDEX(Limits!$B$2:$B$5,MATCH(E18,Limits!$A$2:$A$5,0))</f>
        <v/>
      </c>
      <c r="I18">
        <f>INDEX(Limits!$C$2:$C$5,MATCH(E18,Limits!$A$2:$A$5,0))</f>
        <v/>
      </c>
      <c r="J18">
        <f>IF(F18&gt;=I18,"Action",IF(F18&gt;=H18,"Alert","Pass"))</f>
        <v/>
      </c>
      <c r="K18" s="4">
        <f>DATE(YEAR(B18),MONTH(B18),1)</f>
        <v/>
      </c>
    </row>
    <row r="19">
      <c r="A19" t="inlineStr">
        <is>
          <t>EM000018</t>
        </is>
      </c>
      <c r="B19" s="7" t="n">
        <v>46027</v>
      </c>
      <c r="C19" t="inlineStr">
        <is>
          <t>Gowning</t>
        </is>
      </c>
      <c r="D19" t="inlineStr">
        <is>
          <t>ISO 8</t>
        </is>
      </c>
      <c r="E19" t="inlineStr">
        <is>
          <t>Surface contact</t>
        </is>
      </c>
      <c r="F19" t="n">
        <v>1</v>
      </c>
      <c r="G19" t="inlineStr">
        <is>
          <t>Tech A</t>
        </is>
      </c>
      <c r="H19">
        <f>INDEX(Limits!$B$2:$B$5,MATCH(E19,Limits!$A$2:$A$5,0))</f>
        <v/>
      </c>
      <c r="I19">
        <f>INDEX(Limits!$C$2:$C$5,MATCH(E19,Limits!$A$2:$A$5,0))</f>
        <v/>
      </c>
      <c r="J19">
        <f>IF(F19&gt;=I19,"Action",IF(F19&gt;=H19,"Alert","Pass"))</f>
        <v/>
      </c>
      <c r="K19" s="4">
        <f>DATE(YEAR(B19),MONTH(B19),1)</f>
        <v/>
      </c>
    </row>
    <row r="20">
      <c r="A20" t="inlineStr">
        <is>
          <t>EM000019</t>
        </is>
      </c>
      <c r="B20" s="7" t="n">
        <v>46027</v>
      </c>
      <c r="C20" t="inlineStr">
        <is>
          <t>Gowning</t>
        </is>
      </c>
      <c r="D20" t="inlineStr">
        <is>
          <t>ISO 8</t>
        </is>
      </c>
      <c r="E20" t="inlineStr">
        <is>
          <t>Personnel glove</t>
        </is>
      </c>
      <c r="F20" t="n">
        <v>0</v>
      </c>
      <c r="G20" t="inlineStr">
        <is>
          <t>Tech A</t>
        </is>
      </c>
      <c r="H20">
        <f>INDEX(Limits!$B$2:$B$5,MATCH(E20,Limits!$A$2:$A$5,0))</f>
        <v/>
      </c>
      <c r="I20">
        <f>INDEX(Limits!$C$2:$C$5,MATCH(E20,Limits!$A$2:$A$5,0))</f>
        <v/>
      </c>
      <c r="J20">
        <f>IF(F20&gt;=I20,"Action",IF(F20&gt;=H20,"Alert","Pass"))</f>
        <v/>
      </c>
      <c r="K20" s="4">
        <f>DATE(YEAR(B20),MONTH(B20),1)</f>
        <v/>
      </c>
    </row>
    <row r="21">
      <c r="A21" t="inlineStr">
        <is>
          <t>EM000020</t>
        </is>
      </c>
      <c r="B21" s="7" t="n">
        <v>46028</v>
      </c>
      <c r="C21" t="inlineStr">
        <is>
          <t>CR-101</t>
        </is>
      </c>
      <c r="D21" t="inlineStr">
        <is>
          <t>ISO 7</t>
        </is>
      </c>
      <c r="E21" t="inlineStr">
        <is>
          <t>Active air</t>
        </is>
      </c>
      <c r="F21" t="n">
        <v>0</v>
      </c>
      <c r="G21" t="inlineStr">
        <is>
          <t>Tech A</t>
        </is>
      </c>
      <c r="H21">
        <f>INDEX(Limits!$B$2:$B$5,MATCH(E21,Limits!$A$2:$A$5,0))</f>
        <v/>
      </c>
      <c r="I21">
        <f>INDEX(Limits!$C$2:$C$5,MATCH(E21,Limits!$A$2:$A$5,0))</f>
        <v/>
      </c>
      <c r="J21">
        <f>IF(F21&gt;=I21,"Action",IF(F21&gt;=H21,"Alert","Pass"))</f>
        <v/>
      </c>
      <c r="K21" s="4">
        <f>DATE(YEAR(B21),MONTH(B21),1)</f>
        <v/>
      </c>
    </row>
    <row r="22">
      <c r="A22" t="inlineStr">
        <is>
          <t>EM000021</t>
        </is>
      </c>
      <c r="B22" s="7" t="n">
        <v>46028</v>
      </c>
      <c r="C22" t="inlineStr">
        <is>
          <t>CR-101</t>
        </is>
      </c>
      <c r="D22" t="inlineStr">
        <is>
          <t>ISO 7</t>
        </is>
      </c>
      <c r="E22" t="inlineStr">
        <is>
          <t>Surface contact</t>
        </is>
      </c>
      <c r="F22" t="n">
        <v>1</v>
      </c>
      <c r="G22" t="inlineStr">
        <is>
          <t>Tech D</t>
        </is>
      </c>
      <c r="H22">
        <f>INDEX(Limits!$B$2:$B$5,MATCH(E22,Limits!$A$2:$A$5,0))</f>
        <v/>
      </c>
      <c r="I22">
        <f>INDEX(Limits!$C$2:$C$5,MATCH(E22,Limits!$A$2:$A$5,0))</f>
        <v/>
      </c>
      <c r="J22">
        <f>IF(F22&gt;=I22,"Action",IF(F22&gt;=H22,"Alert","Pass"))</f>
        <v/>
      </c>
      <c r="K22" s="4">
        <f>DATE(YEAR(B22),MONTH(B22),1)</f>
        <v/>
      </c>
    </row>
    <row r="23">
      <c r="A23" t="inlineStr">
        <is>
          <t>EM000022</t>
        </is>
      </c>
      <c r="B23" s="7" t="n">
        <v>46028</v>
      </c>
      <c r="C23" t="inlineStr">
        <is>
          <t>CR-101</t>
        </is>
      </c>
      <c r="D23" t="inlineStr">
        <is>
          <t>ISO 7</t>
        </is>
      </c>
      <c r="E23" t="inlineStr">
        <is>
          <t>Compressed air</t>
        </is>
      </c>
      <c r="F23" t="n">
        <v>0</v>
      </c>
      <c r="G23" t="inlineStr">
        <is>
          <t>Tech C</t>
        </is>
      </c>
      <c r="H23">
        <f>INDEX(Limits!$B$2:$B$5,MATCH(E23,Limits!$A$2:$A$5,0))</f>
        <v/>
      </c>
      <c r="I23">
        <f>INDEX(Limits!$C$2:$C$5,MATCH(E23,Limits!$A$2:$A$5,0))</f>
        <v/>
      </c>
      <c r="J23">
        <f>IF(F23&gt;=I23,"Action",IF(F23&gt;=H23,"Alert","Pass"))</f>
        <v/>
      </c>
      <c r="K23" s="4">
        <f>DATE(YEAR(B23),MONTH(B23),1)</f>
        <v/>
      </c>
    </row>
    <row r="24">
      <c r="A24" t="inlineStr">
        <is>
          <t>EM000023</t>
        </is>
      </c>
      <c r="B24" s="7" t="n">
        <v>46028</v>
      </c>
      <c r="C24" t="inlineStr">
        <is>
          <t>CR-101</t>
        </is>
      </c>
      <c r="D24" t="inlineStr">
        <is>
          <t>ISO 7</t>
        </is>
      </c>
      <c r="E24" t="inlineStr">
        <is>
          <t>Personnel glove</t>
        </is>
      </c>
      <c r="F24" t="n">
        <v>0</v>
      </c>
      <c r="G24" t="inlineStr">
        <is>
          <t>Tech B</t>
        </is>
      </c>
      <c r="H24">
        <f>INDEX(Limits!$B$2:$B$5,MATCH(E24,Limits!$A$2:$A$5,0))</f>
        <v/>
      </c>
      <c r="I24">
        <f>INDEX(Limits!$C$2:$C$5,MATCH(E24,Limits!$A$2:$A$5,0))</f>
        <v/>
      </c>
      <c r="J24">
        <f>IF(F24&gt;=I24,"Action",IF(F24&gt;=H24,"Alert","Pass"))</f>
        <v/>
      </c>
      <c r="K24" s="4">
        <f>DATE(YEAR(B24),MONTH(B24),1)</f>
        <v/>
      </c>
    </row>
    <row r="25">
      <c r="A25" t="inlineStr">
        <is>
          <t>EM000024</t>
        </is>
      </c>
      <c r="B25" s="7" t="n">
        <v>46028</v>
      </c>
      <c r="C25" t="inlineStr">
        <is>
          <t>CR-102</t>
        </is>
      </c>
      <c r="D25" t="inlineStr">
        <is>
          <t>ISO 7</t>
        </is>
      </c>
      <c r="E25" t="inlineStr">
        <is>
          <t>Active air</t>
        </is>
      </c>
      <c r="F25" t="n">
        <v>1</v>
      </c>
      <c r="G25" t="inlineStr">
        <is>
          <t>Tech D</t>
        </is>
      </c>
      <c r="H25">
        <f>INDEX(Limits!$B$2:$B$5,MATCH(E25,Limits!$A$2:$A$5,0))</f>
        <v/>
      </c>
      <c r="I25">
        <f>INDEX(Limits!$C$2:$C$5,MATCH(E25,Limits!$A$2:$A$5,0))</f>
        <v/>
      </c>
      <c r="J25">
        <f>IF(F25&gt;=I25,"Action",IF(F25&gt;=H25,"Alert","Pass"))</f>
        <v/>
      </c>
      <c r="K25" s="4">
        <f>DATE(YEAR(B25),MONTH(B25),1)</f>
        <v/>
      </c>
    </row>
    <row r="26">
      <c r="A26" t="inlineStr">
        <is>
          <t>EM000025</t>
        </is>
      </c>
      <c r="B26" s="7" t="n">
        <v>46028</v>
      </c>
      <c r="C26" t="inlineStr">
        <is>
          <t>CR-102</t>
        </is>
      </c>
      <c r="D26" t="inlineStr">
        <is>
          <t>ISO 7</t>
        </is>
      </c>
      <c r="E26" t="inlineStr">
        <is>
          <t>Surface contact</t>
        </is>
      </c>
      <c r="F26" t="n">
        <v>0</v>
      </c>
      <c r="G26" t="inlineStr">
        <is>
          <t>Tech B</t>
        </is>
      </c>
      <c r="H26">
        <f>INDEX(Limits!$B$2:$B$5,MATCH(E26,Limits!$A$2:$A$5,0))</f>
        <v/>
      </c>
      <c r="I26">
        <f>INDEX(Limits!$C$2:$C$5,MATCH(E26,Limits!$A$2:$A$5,0))</f>
        <v/>
      </c>
      <c r="J26">
        <f>IF(F26&gt;=I26,"Action",IF(F26&gt;=H26,"Alert","Pass"))</f>
        <v/>
      </c>
      <c r="K26" s="4">
        <f>DATE(YEAR(B26),MONTH(B26),1)</f>
        <v/>
      </c>
    </row>
    <row r="27">
      <c r="A27" t="inlineStr">
        <is>
          <t>EM000026</t>
        </is>
      </c>
      <c r="B27" s="7" t="n">
        <v>46028</v>
      </c>
      <c r="C27" t="inlineStr">
        <is>
          <t>CR-102</t>
        </is>
      </c>
      <c r="D27" t="inlineStr">
        <is>
          <t>ISO 7</t>
        </is>
      </c>
      <c r="E27" t="inlineStr">
        <is>
          <t>Compressed air</t>
        </is>
      </c>
      <c r="F27" t="n">
        <v>0</v>
      </c>
      <c r="G27" t="inlineStr">
        <is>
          <t>Tech B</t>
        </is>
      </c>
      <c r="H27">
        <f>INDEX(Limits!$B$2:$B$5,MATCH(E27,Limits!$A$2:$A$5,0))</f>
        <v/>
      </c>
      <c r="I27">
        <f>INDEX(Limits!$C$2:$C$5,MATCH(E27,Limits!$A$2:$A$5,0))</f>
        <v/>
      </c>
      <c r="J27">
        <f>IF(F27&gt;=I27,"Action",IF(F27&gt;=H27,"Alert","Pass"))</f>
        <v/>
      </c>
      <c r="K27" s="4">
        <f>DATE(YEAR(B27),MONTH(B27),1)</f>
        <v/>
      </c>
    </row>
    <row r="28">
      <c r="A28" t="inlineStr">
        <is>
          <t>EM000027</t>
        </is>
      </c>
      <c r="B28" s="7" t="n">
        <v>46028</v>
      </c>
      <c r="C28" t="inlineStr">
        <is>
          <t>CR-102</t>
        </is>
      </c>
      <c r="D28" t="inlineStr">
        <is>
          <t>ISO 7</t>
        </is>
      </c>
      <c r="E28" t="inlineStr">
        <is>
          <t>Personnel glove</t>
        </is>
      </c>
      <c r="F28" t="n">
        <v>0</v>
      </c>
      <c r="G28" t="inlineStr">
        <is>
          <t>Tech C</t>
        </is>
      </c>
      <c r="H28">
        <f>INDEX(Limits!$B$2:$B$5,MATCH(E28,Limits!$A$2:$A$5,0))</f>
        <v/>
      </c>
      <c r="I28">
        <f>INDEX(Limits!$C$2:$C$5,MATCH(E28,Limits!$A$2:$A$5,0))</f>
        <v/>
      </c>
      <c r="J28">
        <f>IF(F28&gt;=I28,"Action",IF(F28&gt;=H28,"Alert","Pass"))</f>
        <v/>
      </c>
      <c r="K28" s="4">
        <f>DATE(YEAR(B28),MONTH(B28),1)</f>
        <v/>
      </c>
    </row>
    <row r="29">
      <c r="A29" t="inlineStr">
        <is>
          <t>EM000028</t>
        </is>
      </c>
      <c r="B29" s="7" t="n">
        <v>46028</v>
      </c>
      <c r="C29" t="inlineStr">
        <is>
          <t>CR-201</t>
        </is>
      </c>
      <c r="D29" t="inlineStr">
        <is>
          <t>ISO 8</t>
        </is>
      </c>
      <c r="E29" t="inlineStr">
        <is>
          <t>Active air</t>
        </is>
      </c>
      <c r="F29" t="n">
        <v>2</v>
      </c>
      <c r="G29" t="inlineStr">
        <is>
          <t>Tech B</t>
        </is>
      </c>
      <c r="H29">
        <f>INDEX(Limits!$B$2:$B$5,MATCH(E29,Limits!$A$2:$A$5,0))</f>
        <v/>
      </c>
      <c r="I29">
        <f>INDEX(Limits!$C$2:$C$5,MATCH(E29,Limits!$A$2:$A$5,0))</f>
        <v/>
      </c>
      <c r="J29">
        <f>IF(F29&gt;=I29,"Action",IF(F29&gt;=H29,"Alert","Pass"))</f>
        <v/>
      </c>
      <c r="K29" s="4">
        <f>DATE(YEAR(B29),MONTH(B29),1)</f>
        <v/>
      </c>
    </row>
    <row r="30">
      <c r="A30" t="inlineStr">
        <is>
          <t>EM000029</t>
        </is>
      </c>
      <c r="B30" s="7" t="n">
        <v>46028</v>
      </c>
      <c r="C30" t="inlineStr">
        <is>
          <t>CR-201</t>
        </is>
      </c>
      <c r="D30" t="inlineStr">
        <is>
          <t>ISO 8</t>
        </is>
      </c>
      <c r="E30" t="inlineStr">
        <is>
          <t>Surface contact</t>
        </is>
      </c>
      <c r="F30" t="n">
        <v>1</v>
      </c>
      <c r="G30" t="inlineStr">
        <is>
          <t>Tech C</t>
        </is>
      </c>
      <c r="H30">
        <f>INDEX(Limits!$B$2:$B$5,MATCH(E30,Limits!$A$2:$A$5,0))</f>
        <v/>
      </c>
      <c r="I30">
        <f>INDEX(Limits!$C$2:$C$5,MATCH(E30,Limits!$A$2:$A$5,0))</f>
        <v/>
      </c>
      <c r="J30">
        <f>IF(F30&gt;=I30,"Action",IF(F30&gt;=H30,"Alert","Pass"))</f>
        <v/>
      </c>
      <c r="K30" s="4">
        <f>DATE(YEAR(B30),MONTH(B30),1)</f>
        <v/>
      </c>
    </row>
    <row r="31">
      <c r="A31" t="inlineStr">
        <is>
          <t>EM000030</t>
        </is>
      </c>
      <c r="B31" s="7" t="n">
        <v>46028</v>
      </c>
      <c r="C31" t="inlineStr">
        <is>
          <t>CR-201</t>
        </is>
      </c>
      <c r="D31" t="inlineStr">
        <is>
          <t>ISO 8</t>
        </is>
      </c>
      <c r="E31" t="inlineStr">
        <is>
          <t>Compressed air</t>
        </is>
      </c>
      <c r="F31" t="n">
        <v>0</v>
      </c>
      <c r="G31" t="inlineStr">
        <is>
          <t>Tech B</t>
        </is>
      </c>
      <c r="H31">
        <f>INDEX(Limits!$B$2:$B$5,MATCH(E31,Limits!$A$2:$A$5,0))</f>
        <v/>
      </c>
      <c r="I31">
        <f>INDEX(Limits!$C$2:$C$5,MATCH(E31,Limits!$A$2:$A$5,0))</f>
        <v/>
      </c>
      <c r="J31">
        <f>IF(F31&gt;=I31,"Action",IF(F31&gt;=H31,"Alert","Pass"))</f>
        <v/>
      </c>
      <c r="K31" s="4">
        <f>DATE(YEAR(B31),MONTH(B31),1)</f>
        <v/>
      </c>
    </row>
    <row r="32">
      <c r="A32" t="inlineStr">
        <is>
          <t>EM000031</t>
        </is>
      </c>
      <c r="B32" s="7" t="n">
        <v>46028</v>
      </c>
      <c r="C32" t="inlineStr">
        <is>
          <t>CR-201</t>
        </is>
      </c>
      <c r="D32" t="inlineStr">
        <is>
          <t>ISO 8</t>
        </is>
      </c>
      <c r="E32" t="inlineStr">
        <is>
          <t>Personnel glove</t>
        </is>
      </c>
      <c r="F32" t="n">
        <v>0</v>
      </c>
      <c r="G32" t="inlineStr">
        <is>
          <t>Tech B</t>
        </is>
      </c>
      <c r="H32">
        <f>INDEX(Limits!$B$2:$B$5,MATCH(E32,Limits!$A$2:$A$5,0))</f>
        <v/>
      </c>
      <c r="I32">
        <f>INDEX(Limits!$C$2:$C$5,MATCH(E32,Limits!$A$2:$A$5,0))</f>
        <v/>
      </c>
      <c r="J32">
        <f>IF(F32&gt;=I32,"Action",IF(F32&gt;=H32,"Alert","Pass"))</f>
        <v/>
      </c>
      <c r="K32" s="4">
        <f>DATE(YEAR(B32),MONTH(B32),1)</f>
        <v/>
      </c>
    </row>
    <row r="33">
      <c r="A33" t="inlineStr">
        <is>
          <t>EM000032</t>
        </is>
      </c>
      <c r="B33" s="7" t="n">
        <v>46028</v>
      </c>
      <c r="C33" t="inlineStr">
        <is>
          <t>CR-202</t>
        </is>
      </c>
      <c r="D33" t="inlineStr">
        <is>
          <t>ISO 8</t>
        </is>
      </c>
      <c r="E33" t="inlineStr">
        <is>
          <t>Active air</t>
        </is>
      </c>
      <c r="F33" t="n">
        <v>3</v>
      </c>
      <c r="G33" t="inlineStr">
        <is>
          <t>Tech D</t>
        </is>
      </c>
      <c r="H33">
        <f>INDEX(Limits!$B$2:$B$5,MATCH(E33,Limits!$A$2:$A$5,0))</f>
        <v/>
      </c>
      <c r="I33">
        <f>INDEX(Limits!$C$2:$C$5,MATCH(E33,Limits!$A$2:$A$5,0))</f>
        <v/>
      </c>
      <c r="J33">
        <f>IF(F33&gt;=I33,"Action",IF(F33&gt;=H33,"Alert","Pass"))</f>
        <v/>
      </c>
      <c r="K33" s="4">
        <f>DATE(YEAR(B33),MONTH(B33),1)</f>
        <v/>
      </c>
    </row>
    <row r="34">
      <c r="A34" t="inlineStr">
        <is>
          <t>EM000033</t>
        </is>
      </c>
      <c r="B34" s="7" t="n">
        <v>46028</v>
      </c>
      <c r="C34" t="inlineStr">
        <is>
          <t>CR-202</t>
        </is>
      </c>
      <c r="D34" t="inlineStr">
        <is>
          <t>ISO 8</t>
        </is>
      </c>
      <c r="E34" t="inlineStr">
        <is>
          <t>Surface contact</t>
        </is>
      </c>
      <c r="F34" t="n">
        <v>1</v>
      </c>
      <c r="G34" t="inlineStr">
        <is>
          <t>Tech C</t>
        </is>
      </c>
      <c r="H34">
        <f>INDEX(Limits!$B$2:$B$5,MATCH(E34,Limits!$A$2:$A$5,0))</f>
        <v/>
      </c>
      <c r="I34">
        <f>INDEX(Limits!$C$2:$C$5,MATCH(E34,Limits!$A$2:$A$5,0))</f>
        <v/>
      </c>
      <c r="J34">
        <f>IF(F34&gt;=I34,"Action",IF(F34&gt;=H34,"Alert","Pass"))</f>
        <v/>
      </c>
      <c r="K34" s="4">
        <f>DATE(YEAR(B34),MONTH(B34),1)</f>
        <v/>
      </c>
    </row>
    <row r="35">
      <c r="A35" t="inlineStr">
        <is>
          <t>EM000034</t>
        </is>
      </c>
      <c r="B35" s="7" t="n">
        <v>46028</v>
      </c>
      <c r="C35" t="inlineStr">
        <is>
          <t>CR-202</t>
        </is>
      </c>
      <c r="D35" t="inlineStr">
        <is>
          <t>ISO 8</t>
        </is>
      </c>
      <c r="E35" t="inlineStr">
        <is>
          <t>Compressed air</t>
        </is>
      </c>
      <c r="F35" t="n">
        <v>0</v>
      </c>
      <c r="G35" t="inlineStr">
        <is>
          <t>Tech C</t>
        </is>
      </c>
      <c r="H35">
        <f>INDEX(Limits!$B$2:$B$5,MATCH(E35,Limits!$A$2:$A$5,0))</f>
        <v/>
      </c>
      <c r="I35">
        <f>INDEX(Limits!$C$2:$C$5,MATCH(E35,Limits!$A$2:$A$5,0))</f>
        <v/>
      </c>
      <c r="J35">
        <f>IF(F35&gt;=I35,"Action",IF(F35&gt;=H35,"Alert","Pass"))</f>
        <v/>
      </c>
      <c r="K35" s="4">
        <f>DATE(YEAR(B35),MONTH(B35),1)</f>
        <v/>
      </c>
    </row>
    <row r="36">
      <c r="A36" t="inlineStr">
        <is>
          <t>EM000035</t>
        </is>
      </c>
      <c r="B36" s="7" t="n">
        <v>46028</v>
      </c>
      <c r="C36" t="inlineStr">
        <is>
          <t>CR-202</t>
        </is>
      </c>
      <c r="D36" t="inlineStr">
        <is>
          <t>ISO 8</t>
        </is>
      </c>
      <c r="E36" t="inlineStr">
        <is>
          <t>Personnel glove</t>
        </is>
      </c>
      <c r="F36" t="n">
        <v>2</v>
      </c>
      <c r="G36" t="inlineStr">
        <is>
          <t>Tech C</t>
        </is>
      </c>
      <c r="H36">
        <f>INDEX(Limits!$B$2:$B$5,MATCH(E36,Limits!$A$2:$A$5,0))</f>
        <v/>
      </c>
      <c r="I36">
        <f>INDEX(Limits!$C$2:$C$5,MATCH(E36,Limits!$A$2:$A$5,0))</f>
        <v/>
      </c>
      <c r="J36">
        <f>IF(F36&gt;=I36,"Action",IF(F36&gt;=H36,"Alert","Pass"))</f>
        <v/>
      </c>
      <c r="K36" s="4">
        <f>DATE(YEAR(B36),MONTH(B36),1)</f>
        <v/>
      </c>
    </row>
    <row r="37">
      <c r="A37" t="inlineStr">
        <is>
          <t>EM000036</t>
        </is>
      </c>
      <c r="B37" s="7" t="n">
        <v>46028</v>
      </c>
      <c r="C37" t="inlineStr">
        <is>
          <t>Gowning</t>
        </is>
      </c>
      <c r="D37" t="inlineStr">
        <is>
          <t>ISO 8</t>
        </is>
      </c>
      <c r="E37" t="inlineStr">
        <is>
          <t>Active air</t>
        </is>
      </c>
      <c r="F37" t="n">
        <v>4</v>
      </c>
      <c r="G37" t="inlineStr">
        <is>
          <t>Tech B</t>
        </is>
      </c>
      <c r="H37">
        <f>INDEX(Limits!$B$2:$B$5,MATCH(E37,Limits!$A$2:$A$5,0))</f>
        <v/>
      </c>
      <c r="I37">
        <f>INDEX(Limits!$C$2:$C$5,MATCH(E37,Limits!$A$2:$A$5,0))</f>
        <v/>
      </c>
      <c r="J37">
        <f>IF(F37&gt;=I37,"Action",IF(F37&gt;=H37,"Alert","Pass"))</f>
        <v/>
      </c>
      <c r="K37" s="4">
        <f>DATE(YEAR(B37),MONTH(B37),1)</f>
        <v/>
      </c>
    </row>
    <row r="38">
      <c r="A38" t="inlineStr">
        <is>
          <t>EM000037</t>
        </is>
      </c>
      <c r="B38" s="7" t="n">
        <v>46028</v>
      </c>
      <c r="C38" t="inlineStr">
        <is>
          <t>Gowning</t>
        </is>
      </c>
      <c r="D38" t="inlineStr">
        <is>
          <t>ISO 8</t>
        </is>
      </c>
      <c r="E38" t="inlineStr">
        <is>
          <t>Surface contact</t>
        </is>
      </c>
      <c r="F38" t="n">
        <v>2</v>
      </c>
      <c r="G38" t="inlineStr">
        <is>
          <t>Tech C</t>
        </is>
      </c>
      <c r="H38">
        <f>INDEX(Limits!$B$2:$B$5,MATCH(E38,Limits!$A$2:$A$5,0))</f>
        <v/>
      </c>
      <c r="I38">
        <f>INDEX(Limits!$C$2:$C$5,MATCH(E38,Limits!$A$2:$A$5,0))</f>
        <v/>
      </c>
      <c r="J38">
        <f>IF(F38&gt;=I38,"Action",IF(F38&gt;=H38,"Alert","Pass"))</f>
        <v/>
      </c>
      <c r="K38" s="4">
        <f>DATE(YEAR(B38),MONTH(B38),1)</f>
        <v/>
      </c>
    </row>
    <row r="39">
      <c r="A39" t="inlineStr">
        <is>
          <t>EM000038</t>
        </is>
      </c>
      <c r="B39" s="7" t="n">
        <v>46028</v>
      </c>
      <c r="C39" t="inlineStr">
        <is>
          <t>Gowning</t>
        </is>
      </c>
      <c r="D39" t="inlineStr">
        <is>
          <t>ISO 8</t>
        </is>
      </c>
      <c r="E39" t="inlineStr">
        <is>
          <t>Personnel glove</t>
        </is>
      </c>
      <c r="F39" t="n">
        <v>0</v>
      </c>
      <c r="G39" t="inlineStr">
        <is>
          <t>Tech D</t>
        </is>
      </c>
      <c r="H39">
        <f>INDEX(Limits!$B$2:$B$5,MATCH(E39,Limits!$A$2:$A$5,0))</f>
        <v/>
      </c>
      <c r="I39">
        <f>INDEX(Limits!$C$2:$C$5,MATCH(E39,Limits!$A$2:$A$5,0))</f>
        <v/>
      </c>
      <c r="J39">
        <f>IF(F39&gt;=I39,"Action",IF(F39&gt;=H39,"Alert","Pass"))</f>
        <v/>
      </c>
      <c r="K39" s="4">
        <f>DATE(YEAR(B39),MONTH(B39),1)</f>
        <v/>
      </c>
    </row>
    <row r="40">
      <c r="A40" t="inlineStr">
        <is>
          <t>EM000039</t>
        </is>
      </c>
      <c r="B40" s="7" t="n">
        <v>46029</v>
      </c>
      <c r="C40" t="inlineStr">
        <is>
          <t>CR-101</t>
        </is>
      </c>
      <c r="D40" t="inlineStr">
        <is>
          <t>ISO 7</t>
        </is>
      </c>
      <c r="E40" t="inlineStr">
        <is>
          <t>Active air</t>
        </is>
      </c>
      <c r="F40" t="n">
        <v>0</v>
      </c>
      <c r="G40" t="inlineStr">
        <is>
          <t>Tech B</t>
        </is>
      </c>
      <c r="H40">
        <f>INDEX(Limits!$B$2:$B$5,MATCH(E40,Limits!$A$2:$A$5,0))</f>
        <v/>
      </c>
      <c r="I40">
        <f>INDEX(Limits!$C$2:$C$5,MATCH(E40,Limits!$A$2:$A$5,0))</f>
        <v/>
      </c>
      <c r="J40">
        <f>IF(F40&gt;=I40,"Action",IF(F40&gt;=H40,"Alert","Pass"))</f>
        <v/>
      </c>
      <c r="K40" s="4">
        <f>DATE(YEAR(B40),MONTH(B40),1)</f>
        <v/>
      </c>
    </row>
    <row r="41">
      <c r="A41" t="inlineStr">
        <is>
          <t>EM000040</t>
        </is>
      </c>
      <c r="B41" s="7" t="n">
        <v>46029</v>
      </c>
      <c r="C41" t="inlineStr">
        <is>
          <t>CR-101</t>
        </is>
      </c>
      <c r="D41" t="inlineStr">
        <is>
          <t>ISO 7</t>
        </is>
      </c>
      <c r="E41" t="inlineStr">
        <is>
          <t>Surface contact</t>
        </is>
      </c>
      <c r="F41" t="n">
        <v>0</v>
      </c>
      <c r="G41" t="inlineStr">
        <is>
          <t>Tech A</t>
        </is>
      </c>
      <c r="H41">
        <f>INDEX(Limits!$B$2:$B$5,MATCH(E41,Limits!$A$2:$A$5,0))</f>
        <v/>
      </c>
      <c r="I41">
        <f>INDEX(Limits!$C$2:$C$5,MATCH(E41,Limits!$A$2:$A$5,0))</f>
        <v/>
      </c>
      <c r="J41">
        <f>IF(F41&gt;=I41,"Action",IF(F41&gt;=H41,"Alert","Pass"))</f>
        <v/>
      </c>
      <c r="K41" s="4">
        <f>DATE(YEAR(B41),MONTH(B41),1)</f>
        <v/>
      </c>
    </row>
    <row r="42">
      <c r="A42" t="inlineStr">
        <is>
          <t>EM000041</t>
        </is>
      </c>
      <c r="B42" s="7" t="n">
        <v>46029</v>
      </c>
      <c r="C42" t="inlineStr">
        <is>
          <t>CR-101</t>
        </is>
      </c>
      <c r="D42" t="inlineStr">
        <is>
          <t>ISO 7</t>
        </is>
      </c>
      <c r="E42" t="inlineStr">
        <is>
          <t>Compressed air</t>
        </is>
      </c>
      <c r="F42" t="n">
        <v>0</v>
      </c>
      <c r="G42" t="inlineStr">
        <is>
          <t>Tech C</t>
        </is>
      </c>
      <c r="H42">
        <f>INDEX(Limits!$B$2:$B$5,MATCH(E42,Limits!$A$2:$A$5,0))</f>
        <v/>
      </c>
      <c r="I42">
        <f>INDEX(Limits!$C$2:$C$5,MATCH(E42,Limits!$A$2:$A$5,0))</f>
        <v/>
      </c>
      <c r="J42">
        <f>IF(F42&gt;=I42,"Action",IF(F42&gt;=H42,"Alert","Pass"))</f>
        <v/>
      </c>
      <c r="K42" s="4">
        <f>DATE(YEAR(B42),MONTH(B42),1)</f>
        <v/>
      </c>
    </row>
    <row r="43">
      <c r="A43" t="inlineStr">
        <is>
          <t>EM000042</t>
        </is>
      </c>
      <c r="B43" s="7" t="n">
        <v>46029</v>
      </c>
      <c r="C43" t="inlineStr">
        <is>
          <t>CR-101</t>
        </is>
      </c>
      <c r="D43" t="inlineStr">
        <is>
          <t>ISO 7</t>
        </is>
      </c>
      <c r="E43" t="inlineStr">
        <is>
          <t>Personnel glove</t>
        </is>
      </c>
      <c r="F43" t="n">
        <v>0</v>
      </c>
      <c r="G43" t="inlineStr">
        <is>
          <t>Tech D</t>
        </is>
      </c>
      <c r="H43">
        <f>INDEX(Limits!$B$2:$B$5,MATCH(E43,Limits!$A$2:$A$5,0))</f>
        <v/>
      </c>
      <c r="I43">
        <f>INDEX(Limits!$C$2:$C$5,MATCH(E43,Limits!$A$2:$A$5,0))</f>
        <v/>
      </c>
      <c r="J43">
        <f>IF(F43&gt;=I43,"Action",IF(F43&gt;=H43,"Alert","Pass"))</f>
        <v/>
      </c>
      <c r="K43" s="4">
        <f>DATE(YEAR(B43),MONTH(B43),1)</f>
        <v/>
      </c>
    </row>
    <row r="44">
      <c r="A44" t="inlineStr">
        <is>
          <t>EM000043</t>
        </is>
      </c>
      <c r="B44" s="7" t="n">
        <v>46029</v>
      </c>
      <c r="C44" t="inlineStr">
        <is>
          <t>CR-102</t>
        </is>
      </c>
      <c r="D44" t="inlineStr">
        <is>
          <t>ISO 7</t>
        </is>
      </c>
      <c r="E44" t="inlineStr">
        <is>
          <t>Active air</t>
        </is>
      </c>
      <c r="F44" t="n">
        <v>0</v>
      </c>
      <c r="G44" t="inlineStr">
        <is>
          <t>Tech A</t>
        </is>
      </c>
      <c r="H44">
        <f>INDEX(Limits!$B$2:$B$5,MATCH(E44,Limits!$A$2:$A$5,0))</f>
        <v/>
      </c>
      <c r="I44">
        <f>INDEX(Limits!$C$2:$C$5,MATCH(E44,Limits!$A$2:$A$5,0))</f>
        <v/>
      </c>
      <c r="J44">
        <f>IF(F44&gt;=I44,"Action",IF(F44&gt;=H44,"Alert","Pass"))</f>
        <v/>
      </c>
      <c r="K44" s="4">
        <f>DATE(YEAR(B44),MONTH(B44),1)</f>
        <v/>
      </c>
    </row>
    <row r="45">
      <c r="A45" t="inlineStr">
        <is>
          <t>EM000044</t>
        </is>
      </c>
      <c r="B45" s="7" t="n">
        <v>46029</v>
      </c>
      <c r="C45" t="inlineStr">
        <is>
          <t>CR-102</t>
        </is>
      </c>
      <c r="D45" t="inlineStr">
        <is>
          <t>ISO 7</t>
        </is>
      </c>
      <c r="E45" t="inlineStr">
        <is>
          <t>Surface contact</t>
        </is>
      </c>
      <c r="F45" t="n">
        <v>0</v>
      </c>
      <c r="G45" t="inlineStr">
        <is>
          <t>Tech B</t>
        </is>
      </c>
      <c r="H45">
        <f>INDEX(Limits!$B$2:$B$5,MATCH(E45,Limits!$A$2:$A$5,0))</f>
        <v/>
      </c>
      <c r="I45">
        <f>INDEX(Limits!$C$2:$C$5,MATCH(E45,Limits!$A$2:$A$5,0))</f>
        <v/>
      </c>
      <c r="J45">
        <f>IF(F45&gt;=I45,"Action",IF(F45&gt;=H45,"Alert","Pass"))</f>
        <v/>
      </c>
      <c r="K45" s="4">
        <f>DATE(YEAR(B45),MONTH(B45),1)</f>
        <v/>
      </c>
    </row>
    <row r="46">
      <c r="A46" t="inlineStr">
        <is>
          <t>EM000045</t>
        </is>
      </c>
      <c r="B46" s="7" t="n">
        <v>46029</v>
      </c>
      <c r="C46" t="inlineStr">
        <is>
          <t>CR-102</t>
        </is>
      </c>
      <c r="D46" t="inlineStr">
        <is>
          <t>ISO 7</t>
        </is>
      </c>
      <c r="E46" t="inlineStr">
        <is>
          <t>Compressed air</t>
        </is>
      </c>
      <c r="F46" t="n">
        <v>0</v>
      </c>
      <c r="G46" t="inlineStr">
        <is>
          <t>Tech B</t>
        </is>
      </c>
      <c r="H46">
        <f>INDEX(Limits!$B$2:$B$5,MATCH(E46,Limits!$A$2:$A$5,0))</f>
        <v/>
      </c>
      <c r="I46">
        <f>INDEX(Limits!$C$2:$C$5,MATCH(E46,Limits!$A$2:$A$5,0))</f>
        <v/>
      </c>
      <c r="J46">
        <f>IF(F46&gt;=I46,"Action",IF(F46&gt;=H46,"Alert","Pass"))</f>
        <v/>
      </c>
      <c r="K46" s="4">
        <f>DATE(YEAR(B46),MONTH(B46),1)</f>
        <v/>
      </c>
    </row>
    <row r="47">
      <c r="A47" t="inlineStr">
        <is>
          <t>EM000046</t>
        </is>
      </c>
      <c r="B47" s="7" t="n">
        <v>46029</v>
      </c>
      <c r="C47" t="inlineStr">
        <is>
          <t>CR-102</t>
        </is>
      </c>
      <c r="D47" t="inlineStr">
        <is>
          <t>ISO 7</t>
        </is>
      </c>
      <c r="E47" t="inlineStr">
        <is>
          <t>Personnel glove</t>
        </is>
      </c>
      <c r="F47" t="n">
        <v>0</v>
      </c>
      <c r="G47" t="inlineStr">
        <is>
          <t>Tech C</t>
        </is>
      </c>
      <c r="H47">
        <f>INDEX(Limits!$B$2:$B$5,MATCH(E47,Limits!$A$2:$A$5,0))</f>
        <v/>
      </c>
      <c r="I47">
        <f>INDEX(Limits!$C$2:$C$5,MATCH(E47,Limits!$A$2:$A$5,0))</f>
        <v/>
      </c>
      <c r="J47">
        <f>IF(F47&gt;=I47,"Action",IF(F47&gt;=H47,"Alert","Pass"))</f>
        <v/>
      </c>
      <c r="K47" s="4">
        <f>DATE(YEAR(B47),MONTH(B47),1)</f>
        <v/>
      </c>
    </row>
    <row r="48">
      <c r="A48" t="inlineStr">
        <is>
          <t>EM000047</t>
        </is>
      </c>
      <c r="B48" s="7" t="n">
        <v>46029</v>
      </c>
      <c r="C48" t="inlineStr">
        <is>
          <t>CR-201</t>
        </is>
      </c>
      <c r="D48" t="inlineStr">
        <is>
          <t>ISO 8</t>
        </is>
      </c>
      <c r="E48" t="inlineStr">
        <is>
          <t>Active air</t>
        </is>
      </c>
      <c r="F48" t="n">
        <v>0</v>
      </c>
      <c r="G48" t="inlineStr">
        <is>
          <t>Tech C</t>
        </is>
      </c>
      <c r="H48">
        <f>INDEX(Limits!$B$2:$B$5,MATCH(E48,Limits!$A$2:$A$5,0))</f>
        <v/>
      </c>
      <c r="I48">
        <f>INDEX(Limits!$C$2:$C$5,MATCH(E48,Limits!$A$2:$A$5,0))</f>
        <v/>
      </c>
      <c r="J48">
        <f>IF(F48&gt;=I48,"Action",IF(F48&gt;=H48,"Alert","Pass"))</f>
        <v/>
      </c>
      <c r="K48" s="4">
        <f>DATE(YEAR(B48),MONTH(B48),1)</f>
        <v/>
      </c>
    </row>
    <row r="49">
      <c r="A49" t="inlineStr">
        <is>
          <t>EM000048</t>
        </is>
      </c>
      <c r="B49" s="7" t="n">
        <v>46029</v>
      </c>
      <c r="C49" t="inlineStr">
        <is>
          <t>CR-201</t>
        </is>
      </c>
      <c r="D49" t="inlineStr">
        <is>
          <t>ISO 8</t>
        </is>
      </c>
      <c r="E49" t="inlineStr">
        <is>
          <t>Surface contact</t>
        </is>
      </c>
      <c r="F49" t="n">
        <v>2</v>
      </c>
      <c r="G49" t="inlineStr">
        <is>
          <t>Tech A</t>
        </is>
      </c>
      <c r="H49">
        <f>INDEX(Limits!$B$2:$B$5,MATCH(E49,Limits!$A$2:$A$5,0))</f>
        <v/>
      </c>
      <c r="I49">
        <f>INDEX(Limits!$C$2:$C$5,MATCH(E49,Limits!$A$2:$A$5,0))</f>
        <v/>
      </c>
      <c r="J49">
        <f>IF(F49&gt;=I49,"Action",IF(F49&gt;=H49,"Alert","Pass"))</f>
        <v/>
      </c>
      <c r="K49" s="4">
        <f>DATE(YEAR(B49),MONTH(B49),1)</f>
        <v/>
      </c>
    </row>
    <row r="50">
      <c r="A50" t="inlineStr">
        <is>
          <t>EM000049</t>
        </is>
      </c>
      <c r="B50" s="7" t="n">
        <v>46029</v>
      </c>
      <c r="C50" t="inlineStr">
        <is>
          <t>CR-201</t>
        </is>
      </c>
      <c r="D50" t="inlineStr">
        <is>
          <t>ISO 8</t>
        </is>
      </c>
      <c r="E50" t="inlineStr">
        <is>
          <t>Compressed air</t>
        </is>
      </c>
      <c r="F50" t="n">
        <v>0</v>
      </c>
      <c r="G50" t="inlineStr">
        <is>
          <t>Tech D</t>
        </is>
      </c>
      <c r="H50">
        <f>INDEX(Limits!$B$2:$B$5,MATCH(E50,Limits!$A$2:$A$5,0))</f>
        <v/>
      </c>
      <c r="I50">
        <f>INDEX(Limits!$C$2:$C$5,MATCH(E50,Limits!$A$2:$A$5,0))</f>
        <v/>
      </c>
      <c r="J50">
        <f>IF(F50&gt;=I50,"Action",IF(F50&gt;=H50,"Alert","Pass"))</f>
        <v/>
      </c>
      <c r="K50" s="4">
        <f>DATE(YEAR(B50),MONTH(B50),1)</f>
        <v/>
      </c>
    </row>
    <row r="51">
      <c r="A51" t="inlineStr">
        <is>
          <t>EM000050</t>
        </is>
      </c>
      <c r="B51" s="7" t="n">
        <v>46029</v>
      </c>
      <c r="C51" t="inlineStr">
        <is>
          <t>CR-201</t>
        </is>
      </c>
      <c r="D51" t="inlineStr">
        <is>
          <t>ISO 8</t>
        </is>
      </c>
      <c r="E51" t="inlineStr">
        <is>
          <t>Personnel glove</t>
        </is>
      </c>
      <c r="F51" t="n">
        <v>0</v>
      </c>
      <c r="G51" t="inlineStr">
        <is>
          <t>Tech A</t>
        </is>
      </c>
      <c r="H51">
        <f>INDEX(Limits!$B$2:$B$5,MATCH(E51,Limits!$A$2:$A$5,0))</f>
        <v/>
      </c>
      <c r="I51">
        <f>INDEX(Limits!$C$2:$C$5,MATCH(E51,Limits!$A$2:$A$5,0))</f>
        <v/>
      </c>
      <c r="J51">
        <f>IF(F51&gt;=I51,"Action",IF(F51&gt;=H51,"Alert","Pass"))</f>
        <v/>
      </c>
      <c r="K51" s="4">
        <f>DATE(YEAR(B51),MONTH(B51),1)</f>
        <v/>
      </c>
    </row>
    <row r="52">
      <c r="A52" t="inlineStr">
        <is>
          <t>EM000051</t>
        </is>
      </c>
      <c r="B52" s="7" t="n">
        <v>46029</v>
      </c>
      <c r="C52" t="inlineStr">
        <is>
          <t>CR-202</t>
        </is>
      </c>
      <c r="D52" t="inlineStr">
        <is>
          <t>ISO 8</t>
        </is>
      </c>
      <c r="E52" t="inlineStr">
        <is>
          <t>Active air</t>
        </is>
      </c>
      <c r="F52" t="n">
        <v>4</v>
      </c>
      <c r="G52" t="inlineStr">
        <is>
          <t>Tech B</t>
        </is>
      </c>
      <c r="H52">
        <f>INDEX(Limits!$B$2:$B$5,MATCH(E52,Limits!$A$2:$A$5,0))</f>
        <v/>
      </c>
      <c r="I52">
        <f>INDEX(Limits!$C$2:$C$5,MATCH(E52,Limits!$A$2:$A$5,0))</f>
        <v/>
      </c>
      <c r="J52">
        <f>IF(F52&gt;=I52,"Action",IF(F52&gt;=H52,"Alert","Pass"))</f>
        <v/>
      </c>
      <c r="K52" s="4">
        <f>DATE(YEAR(B52),MONTH(B52),1)</f>
        <v/>
      </c>
    </row>
    <row r="53">
      <c r="A53" t="inlineStr">
        <is>
          <t>EM000052</t>
        </is>
      </c>
      <c r="B53" s="7" t="n">
        <v>46029</v>
      </c>
      <c r="C53" t="inlineStr">
        <is>
          <t>CR-202</t>
        </is>
      </c>
      <c r="D53" t="inlineStr">
        <is>
          <t>ISO 8</t>
        </is>
      </c>
      <c r="E53" t="inlineStr">
        <is>
          <t>Surface contact</t>
        </is>
      </c>
      <c r="F53" t="n">
        <v>3</v>
      </c>
      <c r="G53" t="inlineStr">
        <is>
          <t>Tech A</t>
        </is>
      </c>
      <c r="H53">
        <f>INDEX(Limits!$B$2:$B$5,MATCH(E53,Limits!$A$2:$A$5,0))</f>
        <v/>
      </c>
      <c r="I53">
        <f>INDEX(Limits!$C$2:$C$5,MATCH(E53,Limits!$A$2:$A$5,0))</f>
        <v/>
      </c>
      <c r="J53">
        <f>IF(F53&gt;=I53,"Action",IF(F53&gt;=H53,"Alert","Pass"))</f>
        <v/>
      </c>
      <c r="K53" s="4">
        <f>DATE(YEAR(B53),MONTH(B53),1)</f>
        <v/>
      </c>
    </row>
    <row r="54">
      <c r="A54" t="inlineStr">
        <is>
          <t>EM000053</t>
        </is>
      </c>
      <c r="B54" s="7" t="n">
        <v>46029</v>
      </c>
      <c r="C54" t="inlineStr">
        <is>
          <t>CR-202</t>
        </is>
      </c>
      <c r="D54" t="inlineStr">
        <is>
          <t>ISO 8</t>
        </is>
      </c>
      <c r="E54" t="inlineStr">
        <is>
          <t>Compressed air</t>
        </is>
      </c>
      <c r="F54" t="n">
        <v>0</v>
      </c>
      <c r="G54" t="inlineStr">
        <is>
          <t>Tech D</t>
        </is>
      </c>
      <c r="H54">
        <f>INDEX(Limits!$B$2:$B$5,MATCH(E54,Limits!$A$2:$A$5,0))</f>
        <v/>
      </c>
      <c r="I54">
        <f>INDEX(Limits!$C$2:$C$5,MATCH(E54,Limits!$A$2:$A$5,0))</f>
        <v/>
      </c>
      <c r="J54">
        <f>IF(F54&gt;=I54,"Action",IF(F54&gt;=H54,"Alert","Pass"))</f>
        <v/>
      </c>
      <c r="K54" s="4">
        <f>DATE(YEAR(B54),MONTH(B54),1)</f>
        <v/>
      </c>
    </row>
    <row r="55">
      <c r="A55" t="inlineStr">
        <is>
          <t>EM000054</t>
        </is>
      </c>
      <c r="B55" s="7" t="n">
        <v>46029</v>
      </c>
      <c r="C55" t="inlineStr">
        <is>
          <t>CR-202</t>
        </is>
      </c>
      <c r="D55" t="inlineStr">
        <is>
          <t>ISO 8</t>
        </is>
      </c>
      <c r="E55" t="inlineStr">
        <is>
          <t>Personnel glove</t>
        </is>
      </c>
      <c r="F55" t="n">
        <v>0</v>
      </c>
      <c r="G55" t="inlineStr">
        <is>
          <t>Tech D</t>
        </is>
      </c>
      <c r="H55">
        <f>INDEX(Limits!$B$2:$B$5,MATCH(E55,Limits!$A$2:$A$5,0))</f>
        <v/>
      </c>
      <c r="I55">
        <f>INDEX(Limits!$C$2:$C$5,MATCH(E55,Limits!$A$2:$A$5,0))</f>
        <v/>
      </c>
      <c r="J55">
        <f>IF(F55&gt;=I55,"Action",IF(F55&gt;=H55,"Alert","Pass"))</f>
        <v/>
      </c>
      <c r="K55" s="4">
        <f>DATE(YEAR(B55),MONTH(B55),1)</f>
        <v/>
      </c>
    </row>
    <row r="56">
      <c r="A56" t="inlineStr">
        <is>
          <t>EM000055</t>
        </is>
      </c>
      <c r="B56" s="7" t="n">
        <v>46029</v>
      </c>
      <c r="C56" t="inlineStr">
        <is>
          <t>Gowning</t>
        </is>
      </c>
      <c r="D56" t="inlineStr">
        <is>
          <t>ISO 8</t>
        </is>
      </c>
      <c r="E56" t="inlineStr">
        <is>
          <t>Active air</t>
        </is>
      </c>
      <c r="F56" t="n">
        <v>2</v>
      </c>
      <c r="G56" t="inlineStr">
        <is>
          <t>Tech D</t>
        </is>
      </c>
      <c r="H56">
        <f>INDEX(Limits!$B$2:$B$5,MATCH(E56,Limits!$A$2:$A$5,0))</f>
        <v/>
      </c>
      <c r="I56">
        <f>INDEX(Limits!$C$2:$C$5,MATCH(E56,Limits!$A$2:$A$5,0))</f>
        <v/>
      </c>
      <c r="J56">
        <f>IF(F56&gt;=I56,"Action",IF(F56&gt;=H56,"Alert","Pass"))</f>
        <v/>
      </c>
      <c r="K56" s="4">
        <f>DATE(YEAR(B56),MONTH(B56),1)</f>
        <v/>
      </c>
    </row>
    <row r="57">
      <c r="A57" t="inlineStr">
        <is>
          <t>EM000056</t>
        </is>
      </c>
      <c r="B57" s="7" t="n">
        <v>46029</v>
      </c>
      <c r="C57" t="inlineStr">
        <is>
          <t>Gowning</t>
        </is>
      </c>
      <c r="D57" t="inlineStr">
        <is>
          <t>ISO 8</t>
        </is>
      </c>
      <c r="E57" t="inlineStr">
        <is>
          <t>Surface contact</t>
        </is>
      </c>
      <c r="F57" t="n">
        <v>0</v>
      </c>
      <c r="G57" t="inlineStr">
        <is>
          <t>Tech A</t>
        </is>
      </c>
      <c r="H57">
        <f>INDEX(Limits!$B$2:$B$5,MATCH(E57,Limits!$A$2:$A$5,0))</f>
        <v/>
      </c>
      <c r="I57">
        <f>INDEX(Limits!$C$2:$C$5,MATCH(E57,Limits!$A$2:$A$5,0))</f>
        <v/>
      </c>
      <c r="J57">
        <f>IF(F57&gt;=I57,"Action",IF(F57&gt;=H57,"Alert","Pass"))</f>
        <v/>
      </c>
      <c r="K57" s="4">
        <f>DATE(YEAR(B57),MONTH(B57),1)</f>
        <v/>
      </c>
    </row>
    <row r="58">
      <c r="A58" t="inlineStr">
        <is>
          <t>EM000057</t>
        </is>
      </c>
      <c r="B58" s="7" t="n">
        <v>46029</v>
      </c>
      <c r="C58" t="inlineStr">
        <is>
          <t>Gowning</t>
        </is>
      </c>
      <c r="D58" t="inlineStr">
        <is>
          <t>ISO 8</t>
        </is>
      </c>
      <c r="E58" t="inlineStr">
        <is>
          <t>Personnel glove</t>
        </is>
      </c>
      <c r="F58" t="n">
        <v>0</v>
      </c>
      <c r="G58" t="inlineStr">
        <is>
          <t>Tech D</t>
        </is>
      </c>
      <c r="H58">
        <f>INDEX(Limits!$B$2:$B$5,MATCH(E58,Limits!$A$2:$A$5,0))</f>
        <v/>
      </c>
      <c r="I58">
        <f>INDEX(Limits!$C$2:$C$5,MATCH(E58,Limits!$A$2:$A$5,0))</f>
        <v/>
      </c>
      <c r="J58">
        <f>IF(F58&gt;=I58,"Action",IF(F58&gt;=H58,"Alert","Pass"))</f>
        <v/>
      </c>
      <c r="K58" s="4">
        <f>DATE(YEAR(B58),MONTH(B58),1)</f>
        <v/>
      </c>
    </row>
    <row r="59">
      <c r="A59" t="inlineStr">
        <is>
          <t>EM000058</t>
        </is>
      </c>
      <c r="B59" s="7" t="n">
        <v>46030</v>
      </c>
      <c r="C59" t="inlineStr">
        <is>
          <t>CR-101</t>
        </is>
      </c>
      <c r="D59" t="inlineStr">
        <is>
          <t>ISO 7</t>
        </is>
      </c>
      <c r="E59" t="inlineStr">
        <is>
          <t>Active air</t>
        </is>
      </c>
      <c r="F59" t="n">
        <v>1</v>
      </c>
      <c r="G59" t="inlineStr">
        <is>
          <t>Tech D</t>
        </is>
      </c>
      <c r="H59">
        <f>INDEX(Limits!$B$2:$B$5,MATCH(E59,Limits!$A$2:$A$5,0))</f>
        <v/>
      </c>
      <c r="I59">
        <f>INDEX(Limits!$C$2:$C$5,MATCH(E59,Limits!$A$2:$A$5,0))</f>
        <v/>
      </c>
      <c r="J59">
        <f>IF(F59&gt;=I59,"Action",IF(F59&gt;=H59,"Alert","Pass"))</f>
        <v/>
      </c>
      <c r="K59" s="4">
        <f>DATE(YEAR(B59),MONTH(B59),1)</f>
        <v/>
      </c>
    </row>
    <row r="60">
      <c r="A60" t="inlineStr">
        <is>
          <t>EM000059</t>
        </is>
      </c>
      <c r="B60" s="7" t="n">
        <v>46030</v>
      </c>
      <c r="C60" t="inlineStr">
        <is>
          <t>CR-101</t>
        </is>
      </c>
      <c r="D60" t="inlineStr">
        <is>
          <t>ISO 7</t>
        </is>
      </c>
      <c r="E60" t="inlineStr">
        <is>
          <t>Surface contact</t>
        </is>
      </c>
      <c r="F60" t="n">
        <v>0</v>
      </c>
      <c r="G60" t="inlineStr">
        <is>
          <t>Tech B</t>
        </is>
      </c>
      <c r="H60">
        <f>INDEX(Limits!$B$2:$B$5,MATCH(E60,Limits!$A$2:$A$5,0))</f>
        <v/>
      </c>
      <c r="I60">
        <f>INDEX(Limits!$C$2:$C$5,MATCH(E60,Limits!$A$2:$A$5,0))</f>
        <v/>
      </c>
      <c r="J60">
        <f>IF(F60&gt;=I60,"Action",IF(F60&gt;=H60,"Alert","Pass"))</f>
        <v/>
      </c>
      <c r="K60" s="4">
        <f>DATE(YEAR(B60),MONTH(B60),1)</f>
        <v/>
      </c>
    </row>
    <row r="61">
      <c r="A61" t="inlineStr">
        <is>
          <t>EM000060</t>
        </is>
      </c>
      <c r="B61" s="7" t="n">
        <v>46030</v>
      </c>
      <c r="C61" t="inlineStr">
        <is>
          <t>CR-101</t>
        </is>
      </c>
      <c r="D61" t="inlineStr">
        <is>
          <t>ISO 7</t>
        </is>
      </c>
      <c r="E61" t="inlineStr">
        <is>
          <t>Compressed air</t>
        </is>
      </c>
      <c r="F61" t="n">
        <v>0</v>
      </c>
      <c r="G61" t="inlineStr">
        <is>
          <t>Tech B</t>
        </is>
      </c>
      <c r="H61">
        <f>INDEX(Limits!$B$2:$B$5,MATCH(E61,Limits!$A$2:$A$5,0))</f>
        <v/>
      </c>
      <c r="I61">
        <f>INDEX(Limits!$C$2:$C$5,MATCH(E61,Limits!$A$2:$A$5,0))</f>
        <v/>
      </c>
      <c r="J61">
        <f>IF(F61&gt;=I61,"Action",IF(F61&gt;=H61,"Alert","Pass"))</f>
        <v/>
      </c>
      <c r="K61" s="4">
        <f>DATE(YEAR(B61),MONTH(B61),1)</f>
        <v/>
      </c>
    </row>
    <row r="62">
      <c r="A62" t="inlineStr">
        <is>
          <t>EM000061</t>
        </is>
      </c>
      <c r="B62" s="7" t="n">
        <v>46030</v>
      </c>
      <c r="C62" t="inlineStr">
        <is>
          <t>CR-101</t>
        </is>
      </c>
      <c r="D62" t="inlineStr">
        <is>
          <t>ISO 7</t>
        </is>
      </c>
      <c r="E62" t="inlineStr">
        <is>
          <t>Personnel glove</t>
        </is>
      </c>
      <c r="F62" t="n">
        <v>0</v>
      </c>
      <c r="G62" t="inlineStr">
        <is>
          <t>Tech B</t>
        </is>
      </c>
      <c r="H62">
        <f>INDEX(Limits!$B$2:$B$5,MATCH(E62,Limits!$A$2:$A$5,0))</f>
        <v/>
      </c>
      <c r="I62">
        <f>INDEX(Limits!$C$2:$C$5,MATCH(E62,Limits!$A$2:$A$5,0))</f>
        <v/>
      </c>
      <c r="J62">
        <f>IF(F62&gt;=I62,"Action",IF(F62&gt;=H62,"Alert","Pass"))</f>
        <v/>
      </c>
      <c r="K62" s="4">
        <f>DATE(YEAR(B62),MONTH(B62),1)</f>
        <v/>
      </c>
    </row>
    <row r="63">
      <c r="A63" t="inlineStr">
        <is>
          <t>EM000062</t>
        </is>
      </c>
      <c r="B63" s="7" t="n">
        <v>46030</v>
      </c>
      <c r="C63" t="inlineStr">
        <is>
          <t>CR-102</t>
        </is>
      </c>
      <c r="D63" t="inlineStr">
        <is>
          <t>ISO 7</t>
        </is>
      </c>
      <c r="E63" t="inlineStr">
        <is>
          <t>Active air</t>
        </is>
      </c>
      <c r="F63" t="n">
        <v>2</v>
      </c>
      <c r="G63" t="inlineStr">
        <is>
          <t>Tech C</t>
        </is>
      </c>
      <c r="H63">
        <f>INDEX(Limits!$B$2:$B$5,MATCH(E63,Limits!$A$2:$A$5,0))</f>
        <v/>
      </c>
      <c r="I63">
        <f>INDEX(Limits!$C$2:$C$5,MATCH(E63,Limits!$A$2:$A$5,0))</f>
        <v/>
      </c>
      <c r="J63">
        <f>IF(F63&gt;=I63,"Action",IF(F63&gt;=H63,"Alert","Pass"))</f>
        <v/>
      </c>
      <c r="K63" s="4">
        <f>DATE(YEAR(B63),MONTH(B63),1)</f>
        <v/>
      </c>
    </row>
    <row r="64">
      <c r="A64" t="inlineStr">
        <is>
          <t>EM000063</t>
        </is>
      </c>
      <c r="B64" s="7" t="n">
        <v>46030</v>
      </c>
      <c r="C64" t="inlineStr">
        <is>
          <t>CR-102</t>
        </is>
      </c>
      <c r="D64" t="inlineStr">
        <is>
          <t>ISO 7</t>
        </is>
      </c>
      <c r="E64" t="inlineStr">
        <is>
          <t>Surface contact</t>
        </is>
      </c>
      <c r="F64" t="n">
        <v>0</v>
      </c>
      <c r="G64" t="inlineStr">
        <is>
          <t>Tech C</t>
        </is>
      </c>
      <c r="H64">
        <f>INDEX(Limits!$B$2:$B$5,MATCH(E64,Limits!$A$2:$A$5,0))</f>
        <v/>
      </c>
      <c r="I64">
        <f>INDEX(Limits!$C$2:$C$5,MATCH(E64,Limits!$A$2:$A$5,0))</f>
        <v/>
      </c>
      <c r="J64">
        <f>IF(F64&gt;=I64,"Action",IF(F64&gt;=H64,"Alert","Pass"))</f>
        <v/>
      </c>
      <c r="K64" s="4">
        <f>DATE(YEAR(B64),MONTH(B64),1)</f>
        <v/>
      </c>
    </row>
    <row r="65">
      <c r="A65" t="inlineStr">
        <is>
          <t>EM000064</t>
        </is>
      </c>
      <c r="B65" s="7" t="n">
        <v>46030</v>
      </c>
      <c r="C65" t="inlineStr">
        <is>
          <t>CR-102</t>
        </is>
      </c>
      <c r="D65" t="inlineStr">
        <is>
          <t>ISO 7</t>
        </is>
      </c>
      <c r="E65" t="inlineStr">
        <is>
          <t>Compressed air</t>
        </is>
      </c>
      <c r="F65" t="n">
        <v>0</v>
      </c>
      <c r="G65" t="inlineStr">
        <is>
          <t>Tech A</t>
        </is>
      </c>
      <c r="H65">
        <f>INDEX(Limits!$B$2:$B$5,MATCH(E65,Limits!$A$2:$A$5,0))</f>
        <v/>
      </c>
      <c r="I65">
        <f>INDEX(Limits!$C$2:$C$5,MATCH(E65,Limits!$A$2:$A$5,0))</f>
        <v/>
      </c>
      <c r="J65">
        <f>IF(F65&gt;=I65,"Action",IF(F65&gt;=H65,"Alert","Pass"))</f>
        <v/>
      </c>
      <c r="K65" s="4">
        <f>DATE(YEAR(B65),MONTH(B65),1)</f>
        <v/>
      </c>
    </row>
    <row r="66">
      <c r="A66" t="inlineStr">
        <is>
          <t>EM000065</t>
        </is>
      </c>
      <c r="B66" s="7" t="n">
        <v>46030</v>
      </c>
      <c r="C66" t="inlineStr">
        <is>
          <t>CR-102</t>
        </is>
      </c>
      <c r="D66" t="inlineStr">
        <is>
          <t>ISO 7</t>
        </is>
      </c>
      <c r="E66" t="inlineStr">
        <is>
          <t>Personnel glove</t>
        </is>
      </c>
      <c r="F66" t="n">
        <v>0</v>
      </c>
      <c r="G66" t="inlineStr">
        <is>
          <t>Tech A</t>
        </is>
      </c>
      <c r="H66">
        <f>INDEX(Limits!$B$2:$B$5,MATCH(E66,Limits!$A$2:$A$5,0))</f>
        <v/>
      </c>
      <c r="I66">
        <f>INDEX(Limits!$C$2:$C$5,MATCH(E66,Limits!$A$2:$A$5,0))</f>
        <v/>
      </c>
      <c r="J66">
        <f>IF(F66&gt;=I66,"Action",IF(F66&gt;=H66,"Alert","Pass"))</f>
        <v/>
      </c>
      <c r="K66" s="4">
        <f>DATE(YEAR(B66),MONTH(B66),1)</f>
        <v/>
      </c>
    </row>
    <row r="67">
      <c r="A67" t="inlineStr">
        <is>
          <t>EM000066</t>
        </is>
      </c>
      <c r="B67" s="7" t="n">
        <v>46030</v>
      </c>
      <c r="C67" t="inlineStr">
        <is>
          <t>CR-201</t>
        </is>
      </c>
      <c r="D67" t="inlineStr">
        <is>
          <t>ISO 8</t>
        </is>
      </c>
      <c r="E67" t="inlineStr">
        <is>
          <t>Active air</t>
        </is>
      </c>
      <c r="F67" t="n">
        <v>0</v>
      </c>
      <c r="G67" t="inlineStr">
        <is>
          <t>Tech D</t>
        </is>
      </c>
      <c r="H67">
        <f>INDEX(Limits!$B$2:$B$5,MATCH(E67,Limits!$A$2:$A$5,0))</f>
        <v/>
      </c>
      <c r="I67">
        <f>INDEX(Limits!$C$2:$C$5,MATCH(E67,Limits!$A$2:$A$5,0))</f>
        <v/>
      </c>
      <c r="J67">
        <f>IF(F67&gt;=I67,"Action",IF(F67&gt;=H67,"Alert","Pass"))</f>
        <v/>
      </c>
      <c r="K67" s="4">
        <f>DATE(YEAR(B67),MONTH(B67),1)</f>
        <v/>
      </c>
    </row>
    <row r="68">
      <c r="A68" t="inlineStr">
        <is>
          <t>EM000067</t>
        </is>
      </c>
      <c r="B68" s="7" t="n">
        <v>46030</v>
      </c>
      <c r="C68" t="inlineStr">
        <is>
          <t>CR-201</t>
        </is>
      </c>
      <c r="D68" t="inlineStr">
        <is>
          <t>ISO 8</t>
        </is>
      </c>
      <c r="E68" t="inlineStr">
        <is>
          <t>Surface contact</t>
        </is>
      </c>
      <c r="F68" t="n">
        <v>0</v>
      </c>
      <c r="G68" t="inlineStr">
        <is>
          <t>Tech C</t>
        </is>
      </c>
      <c r="H68">
        <f>INDEX(Limits!$B$2:$B$5,MATCH(E68,Limits!$A$2:$A$5,0))</f>
        <v/>
      </c>
      <c r="I68">
        <f>INDEX(Limits!$C$2:$C$5,MATCH(E68,Limits!$A$2:$A$5,0))</f>
        <v/>
      </c>
      <c r="J68">
        <f>IF(F68&gt;=I68,"Action",IF(F68&gt;=H68,"Alert","Pass"))</f>
        <v/>
      </c>
      <c r="K68" s="4">
        <f>DATE(YEAR(B68),MONTH(B68),1)</f>
        <v/>
      </c>
    </row>
    <row r="69">
      <c r="A69" t="inlineStr">
        <is>
          <t>EM000068</t>
        </is>
      </c>
      <c r="B69" s="7" t="n">
        <v>46030</v>
      </c>
      <c r="C69" t="inlineStr">
        <is>
          <t>CR-201</t>
        </is>
      </c>
      <c r="D69" t="inlineStr">
        <is>
          <t>ISO 8</t>
        </is>
      </c>
      <c r="E69" t="inlineStr">
        <is>
          <t>Compressed air</t>
        </is>
      </c>
      <c r="F69" t="n">
        <v>0</v>
      </c>
      <c r="G69" t="inlineStr">
        <is>
          <t>Tech D</t>
        </is>
      </c>
      <c r="H69">
        <f>INDEX(Limits!$B$2:$B$5,MATCH(E69,Limits!$A$2:$A$5,0))</f>
        <v/>
      </c>
      <c r="I69">
        <f>INDEX(Limits!$C$2:$C$5,MATCH(E69,Limits!$A$2:$A$5,0))</f>
        <v/>
      </c>
      <c r="J69">
        <f>IF(F69&gt;=I69,"Action",IF(F69&gt;=H69,"Alert","Pass"))</f>
        <v/>
      </c>
      <c r="K69" s="4">
        <f>DATE(YEAR(B69),MONTH(B69),1)</f>
        <v/>
      </c>
    </row>
    <row r="70">
      <c r="A70" t="inlineStr">
        <is>
          <t>EM000069</t>
        </is>
      </c>
      <c r="B70" s="7" t="n">
        <v>46030</v>
      </c>
      <c r="C70" t="inlineStr">
        <is>
          <t>CR-201</t>
        </is>
      </c>
      <c r="D70" t="inlineStr">
        <is>
          <t>ISO 8</t>
        </is>
      </c>
      <c r="E70" t="inlineStr">
        <is>
          <t>Personnel glove</t>
        </is>
      </c>
      <c r="F70" t="n">
        <v>0</v>
      </c>
      <c r="G70" t="inlineStr">
        <is>
          <t>Tech D</t>
        </is>
      </c>
      <c r="H70">
        <f>INDEX(Limits!$B$2:$B$5,MATCH(E70,Limits!$A$2:$A$5,0))</f>
        <v/>
      </c>
      <c r="I70">
        <f>INDEX(Limits!$C$2:$C$5,MATCH(E70,Limits!$A$2:$A$5,0))</f>
        <v/>
      </c>
      <c r="J70">
        <f>IF(F70&gt;=I70,"Action",IF(F70&gt;=H70,"Alert","Pass"))</f>
        <v/>
      </c>
      <c r="K70" s="4">
        <f>DATE(YEAR(B70),MONTH(B70),1)</f>
        <v/>
      </c>
    </row>
    <row r="71">
      <c r="A71" t="inlineStr">
        <is>
          <t>EM000070</t>
        </is>
      </c>
      <c r="B71" s="7" t="n">
        <v>46030</v>
      </c>
      <c r="C71" t="inlineStr">
        <is>
          <t>CR-202</t>
        </is>
      </c>
      <c r="D71" t="inlineStr">
        <is>
          <t>ISO 8</t>
        </is>
      </c>
      <c r="E71" t="inlineStr">
        <is>
          <t>Active air</t>
        </is>
      </c>
      <c r="F71" t="n">
        <v>0</v>
      </c>
      <c r="G71" t="inlineStr">
        <is>
          <t>Tech D</t>
        </is>
      </c>
      <c r="H71">
        <f>INDEX(Limits!$B$2:$B$5,MATCH(E71,Limits!$A$2:$A$5,0))</f>
        <v/>
      </c>
      <c r="I71">
        <f>INDEX(Limits!$C$2:$C$5,MATCH(E71,Limits!$A$2:$A$5,0))</f>
        <v/>
      </c>
      <c r="J71">
        <f>IF(F71&gt;=I71,"Action",IF(F71&gt;=H71,"Alert","Pass"))</f>
        <v/>
      </c>
      <c r="K71" s="4">
        <f>DATE(YEAR(B71),MONTH(B71),1)</f>
        <v/>
      </c>
    </row>
    <row r="72">
      <c r="A72" t="inlineStr">
        <is>
          <t>EM000071</t>
        </is>
      </c>
      <c r="B72" s="7" t="n">
        <v>46030</v>
      </c>
      <c r="C72" t="inlineStr">
        <is>
          <t>CR-202</t>
        </is>
      </c>
      <c r="D72" t="inlineStr">
        <is>
          <t>ISO 8</t>
        </is>
      </c>
      <c r="E72" t="inlineStr">
        <is>
          <t>Surface contact</t>
        </is>
      </c>
      <c r="F72" t="n">
        <v>3</v>
      </c>
      <c r="G72" t="inlineStr">
        <is>
          <t>Tech A</t>
        </is>
      </c>
      <c r="H72">
        <f>INDEX(Limits!$B$2:$B$5,MATCH(E72,Limits!$A$2:$A$5,0))</f>
        <v/>
      </c>
      <c r="I72">
        <f>INDEX(Limits!$C$2:$C$5,MATCH(E72,Limits!$A$2:$A$5,0))</f>
        <v/>
      </c>
      <c r="J72">
        <f>IF(F72&gt;=I72,"Action",IF(F72&gt;=H72,"Alert","Pass"))</f>
        <v/>
      </c>
      <c r="K72" s="4">
        <f>DATE(YEAR(B72),MONTH(B72),1)</f>
        <v/>
      </c>
    </row>
    <row r="73">
      <c r="A73" t="inlineStr">
        <is>
          <t>EM000072</t>
        </is>
      </c>
      <c r="B73" s="7" t="n">
        <v>46030</v>
      </c>
      <c r="C73" t="inlineStr">
        <is>
          <t>CR-202</t>
        </is>
      </c>
      <c r="D73" t="inlineStr">
        <is>
          <t>ISO 8</t>
        </is>
      </c>
      <c r="E73" t="inlineStr">
        <is>
          <t>Compressed air</t>
        </is>
      </c>
      <c r="F73" t="n">
        <v>0</v>
      </c>
      <c r="G73" t="inlineStr">
        <is>
          <t>Tech B</t>
        </is>
      </c>
      <c r="H73">
        <f>INDEX(Limits!$B$2:$B$5,MATCH(E73,Limits!$A$2:$A$5,0))</f>
        <v/>
      </c>
      <c r="I73">
        <f>INDEX(Limits!$C$2:$C$5,MATCH(E73,Limits!$A$2:$A$5,0))</f>
        <v/>
      </c>
      <c r="J73">
        <f>IF(F73&gt;=I73,"Action",IF(F73&gt;=H73,"Alert","Pass"))</f>
        <v/>
      </c>
      <c r="K73" s="4">
        <f>DATE(YEAR(B73),MONTH(B73),1)</f>
        <v/>
      </c>
    </row>
    <row r="74">
      <c r="A74" t="inlineStr">
        <is>
          <t>EM000073</t>
        </is>
      </c>
      <c r="B74" s="7" t="n">
        <v>46030</v>
      </c>
      <c r="C74" t="inlineStr">
        <is>
          <t>CR-202</t>
        </is>
      </c>
      <c r="D74" t="inlineStr">
        <is>
          <t>ISO 8</t>
        </is>
      </c>
      <c r="E74" t="inlineStr">
        <is>
          <t>Personnel glove</t>
        </is>
      </c>
      <c r="F74" t="n">
        <v>0</v>
      </c>
      <c r="G74" t="inlineStr">
        <is>
          <t>Tech A</t>
        </is>
      </c>
      <c r="H74">
        <f>INDEX(Limits!$B$2:$B$5,MATCH(E74,Limits!$A$2:$A$5,0))</f>
        <v/>
      </c>
      <c r="I74">
        <f>INDEX(Limits!$C$2:$C$5,MATCH(E74,Limits!$A$2:$A$5,0))</f>
        <v/>
      </c>
      <c r="J74">
        <f>IF(F74&gt;=I74,"Action",IF(F74&gt;=H74,"Alert","Pass"))</f>
        <v/>
      </c>
      <c r="K74" s="4">
        <f>DATE(YEAR(B74),MONTH(B74),1)</f>
        <v/>
      </c>
    </row>
    <row r="75">
      <c r="A75" t="inlineStr">
        <is>
          <t>EM000074</t>
        </is>
      </c>
      <c r="B75" s="7" t="n">
        <v>46030</v>
      </c>
      <c r="C75" t="inlineStr">
        <is>
          <t>Gowning</t>
        </is>
      </c>
      <c r="D75" t="inlineStr">
        <is>
          <t>ISO 8</t>
        </is>
      </c>
      <c r="E75" t="inlineStr">
        <is>
          <t>Active air</t>
        </is>
      </c>
      <c r="F75" t="n">
        <v>1</v>
      </c>
      <c r="G75" t="inlineStr">
        <is>
          <t>Tech C</t>
        </is>
      </c>
      <c r="H75">
        <f>INDEX(Limits!$B$2:$B$5,MATCH(E75,Limits!$A$2:$A$5,0))</f>
        <v/>
      </c>
      <c r="I75">
        <f>INDEX(Limits!$C$2:$C$5,MATCH(E75,Limits!$A$2:$A$5,0))</f>
        <v/>
      </c>
      <c r="J75">
        <f>IF(F75&gt;=I75,"Action",IF(F75&gt;=H75,"Alert","Pass"))</f>
        <v/>
      </c>
      <c r="K75" s="4">
        <f>DATE(YEAR(B75),MONTH(B75),1)</f>
        <v/>
      </c>
    </row>
    <row r="76">
      <c r="A76" t="inlineStr">
        <is>
          <t>EM000075</t>
        </is>
      </c>
      <c r="B76" s="7" t="n">
        <v>46030</v>
      </c>
      <c r="C76" t="inlineStr">
        <is>
          <t>Gowning</t>
        </is>
      </c>
      <c r="D76" t="inlineStr">
        <is>
          <t>ISO 8</t>
        </is>
      </c>
      <c r="E76" t="inlineStr">
        <is>
          <t>Surface contact</t>
        </is>
      </c>
      <c r="F76" t="n">
        <v>1</v>
      </c>
      <c r="G76" t="inlineStr">
        <is>
          <t>Tech C</t>
        </is>
      </c>
      <c r="H76">
        <f>INDEX(Limits!$B$2:$B$5,MATCH(E76,Limits!$A$2:$A$5,0))</f>
        <v/>
      </c>
      <c r="I76">
        <f>INDEX(Limits!$C$2:$C$5,MATCH(E76,Limits!$A$2:$A$5,0))</f>
        <v/>
      </c>
      <c r="J76">
        <f>IF(F76&gt;=I76,"Action",IF(F76&gt;=H76,"Alert","Pass"))</f>
        <v/>
      </c>
      <c r="K76" s="4">
        <f>DATE(YEAR(B76),MONTH(B76),1)</f>
        <v/>
      </c>
    </row>
    <row r="77">
      <c r="A77" t="inlineStr">
        <is>
          <t>EM000076</t>
        </is>
      </c>
      <c r="B77" s="7" t="n">
        <v>46030</v>
      </c>
      <c r="C77" t="inlineStr">
        <is>
          <t>Gowning</t>
        </is>
      </c>
      <c r="D77" t="inlineStr">
        <is>
          <t>ISO 8</t>
        </is>
      </c>
      <c r="E77" t="inlineStr">
        <is>
          <t>Personnel glove</t>
        </is>
      </c>
      <c r="F77" t="n">
        <v>0</v>
      </c>
      <c r="G77" t="inlineStr">
        <is>
          <t>Tech C</t>
        </is>
      </c>
      <c r="H77">
        <f>INDEX(Limits!$B$2:$B$5,MATCH(E77,Limits!$A$2:$A$5,0))</f>
        <v/>
      </c>
      <c r="I77">
        <f>INDEX(Limits!$C$2:$C$5,MATCH(E77,Limits!$A$2:$A$5,0))</f>
        <v/>
      </c>
      <c r="J77">
        <f>IF(F77&gt;=I77,"Action",IF(F77&gt;=H77,"Alert","Pass"))</f>
        <v/>
      </c>
      <c r="K77" s="4">
        <f>DATE(YEAR(B77),MONTH(B77),1)</f>
        <v/>
      </c>
    </row>
    <row r="78">
      <c r="A78" t="inlineStr">
        <is>
          <t>EM000077</t>
        </is>
      </c>
      <c r="B78" s="7" t="n">
        <v>46031</v>
      </c>
      <c r="C78" t="inlineStr">
        <is>
          <t>CR-101</t>
        </is>
      </c>
      <c r="D78" t="inlineStr">
        <is>
          <t>ISO 7</t>
        </is>
      </c>
      <c r="E78" t="inlineStr">
        <is>
          <t>Active air</t>
        </is>
      </c>
      <c r="F78" t="n">
        <v>0</v>
      </c>
      <c r="G78" t="inlineStr">
        <is>
          <t>Tech B</t>
        </is>
      </c>
      <c r="H78">
        <f>INDEX(Limits!$B$2:$B$5,MATCH(E78,Limits!$A$2:$A$5,0))</f>
        <v/>
      </c>
      <c r="I78">
        <f>INDEX(Limits!$C$2:$C$5,MATCH(E78,Limits!$A$2:$A$5,0))</f>
        <v/>
      </c>
      <c r="J78">
        <f>IF(F78&gt;=I78,"Action",IF(F78&gt;=H78,"Alert","Pass"))</f>
        <v/>
      </c>
      <c r="K78" s="4">
        <f>DATE(YEAR(B78),MONTH(B78),1)</f>
        <v/>
      </c>
    </row>
    <row r="79">
      <c r="A79" t="inlineStr">
        <is>
          <t>EM000078</t>
        </is>
      </c>
      <c r="B79" s="7" t="n">
        <v>46031</v>
      </c>
      <c r="C79" t="inlineStr">
        <is>
          <t>CR-101</t>
        </is>
      </c>
      <c r="D79" t="inlineStr">
        <is>
          <t>ISO 7</t>
        </is>
      </c>
      <c r="E79" t="inlineStr">
        <is>
          <t>Surface contact</t>
        </is>
      </c>
      <c r="F79" t="n">
        <v>0</v>
      </c>
      <c r="G79" t="inlineStr">
        <is>
          <t>Tech C</t>
        </is>
      </c>
      <c r="H79">
        <f>INDEX(Limits!$B$2:$B$5,MATCH(E79,Limits!$A$2:$A$5,0))</f>
        <v/>
      </c>
      <c r="I79">
        <f>INDEX(Limits!$C$2:$C$5,MATCH(E79,Limits!$A$2:$A$5,0))</f>
        <v/>
      </c>
      <c r="J79">
        <f>IF(F79&gt;=I79,"Action",IF(F79&gt;=H79,"Alert","Pass"))</f>
        <v/>
      </c>
      <c r="K79" s="4">
        <f>DATE(YEAR(B79),MONTH(B79),1)</f>
        <v/>
      </c>
    </row>
    <row r="80">
      <c r="A80" t="inlineStr">
        <is>
          <t>EM000079</t>
        </is>
      </c>
      <c r="B80" s="7" t="n">
        <v>46031</v>
      </c>
      <c r="C80" t="inlineStr">
        <is>
          <t>CR-101</t>
        </is>
      </c>
      <c r="D80" t="inlineStr">
        <is>
          <t>ISO 7</t>
        </is>
      </c>
      <c r="E80" t="inlineStr">
        <is>
          <t>Compressed air</t>
        </is>
      </c>
      <c r="F80" t="n">
        <v>0</v>
      </c>
      <c r="G80" t="inlineStr">
        <is>
          <t>Tech A</t>
        </is>
      </c>
      <c r="H80">
        <f>INDEX(Limits!$B$2:$B$5,MATCH(E80,Limits!$A$2:$A$5,0))</f>
        <v/>
      </c>
      <c r="I80">
        <f>INDEX(Limits!$C$2:$C$5,MATCH(E80,Limits!$A$2:$A$5,0))</f>
        <v/>
      </c>
      <c r="J80">
        <f>IF(F80&gt;=I80,"Action",IF(F80&gt;=H80,"Alert","Pass"))</f>
        <v/>
      </c>
      <c r="K80" s="4">
        <f>DATE(YEAR(B80),MONTH(B80),1)</f>
        <v/>
      </c>
    </row>
    <row r="81">
      <c r="A81" t="inlineStr">
        <is>
          <t>EM000080</t>
        </is>
      </c>
      <c r="B81" s="7" t="n">
        <v>46031</v>
      </c>
      <c r="C81" t="inlineStr">
        <is>
          <t>CR-101</t>
        </is>
      </c>
      <c r="D81" t="inlineStr">
        <is>
          <t>ISO 7</t>
        </is>
      </c>
      <c r="E81" t="inlineStr">
        <is>
          <t>Personnel glove</t>
        </is>
      </c>
      <c r="F81" t="n">
        <v>0</v>
      </c>
      <c r="G81" t="inlineStr">
        <is>
          <t>Tech D</t>
        </is>
      </c>
      <c r="H81">
        <f>INDEX(Limits!$B$2:$B$5,MATCH(E81,Limits!$A$2:$A$5,0))</f>
        <v/>
      </c>
      <c r="I81">
        <f>INDEX(Limits!$C$2:$C$5,MATCH(E81,Limits!$A$2:$A$5,0))</f>
        <v/>
      </c>
      <c r="J81">
        <f>IF(F81&gt;=I81,"Action",IF(F81&gt;=H81,"Alert","Pass"))</f>
        <v/>
      </c>
      <c r="K81" s="4">
        <f>DATE(YEAR(B81),MONTH(B81),1)</f>
        <v/>
      </c>
    </row>
    <row r="82">
      <c r="A82" t="inlineStr">
        <is>
          <t>EM000081</t>
        </is>
      </c>
      <c r="B82" s="7" t="n">
        <v>46031</v>
      </c>
      <c r="C82" t="inlineStr">
        <is>
          <t>CR-102</t>
        </is>
      </c>
      <c r="D82" t="inlineStr">
        <is>
          <t>ISO 7</t>
        </is>
      </c>
      <c r="E82" t="inlineStr">
        <is>
          <t>Active air</t>
        </is>
      </c>
      <c r="F82" t="n">
        <v>0</v>
      </c>
      <c r="G82" t="inlineStr">
        <is>
          <t>Tech A</t>
        </is>
      </c>
      <c r="H82">
        <f>INDEX(Limits!$B$2:$B$5,MATCH(E82,Limits!$A$2:$A$5,0))</f>
        <v/>
      </c>
      <c r="I82">
        <f>INDEX(Limits!$C$2:$C$5,MATCH(E82,Limits!$A$2:$A$5,0))</f>
        <v/>
      </c>
      <c r="J82">
        <f>IF(F82&gt;=I82,"Action",IF(F82&gt;=H82,"Alert","Pass"))</f>
        <v/>
      </c>
      <c r="K82" s="4">
        <f>DATE(YEAR(B82),MONTH(B82),1)</f>
        <v/>
      </c>
    </row>
    <row r="83">
      <c r="A83" t="inlineStr">
        <is>
          <t>EM000082</t>
        </is>
      </c>
      <c r="B83" s="7" t="n">
        <v>46031</v>
      </c>
      <c r="C83" t="inlineStr">
        <is>
          <t>CR-102</t>
        </is>
      </c>
      <c r="D83" t="inlineStr">
        <is>
          <t>ISO 7</t>
        </is>
      </c>
      <c r="E83" t="inlineStr">
        <is>
          <t>Surface contact</t>
        </is>
      </c>
      <c r="F83" t="n">
        <v>2</v>
      </c>
      <c r="G83" t="inlineStr">
        <is>
          <t>Tech C</t>
        </is>
      </c>
      <c r="H83">
        <f>INDEX(Limits!$B$2:$B$5,MATCH(E83,Limits!$A$2:$A$5,0))</f>
        <v/>
      </c>
      <c r="I83">
        <f>INDEX(Limits!$C$2:$C$5,MATCH(E83,Limits!$A$2:$A$5,0))</f>
        <v/>
      </c>
      <c r="J83">
        <f>IF(F83&gt;=I83,"Action",IF(F83&gt;=H83,"Alert","Pass"))</f>
        <v/>
      </c>
      <c r="K83" s="4">
        <f>DATE(YEAR(B83),MONTH(B83),1)</f>
        <v/>
      </c>
    </row>
    <row r="84">
      <c r="A84" t="inlineStr">
        <is>
          <t>EM000083</t>
        </is>
      </c>
      <c r="B84" s="7" t="n">
        <v>46031</v>
      </c>
      <c r="C84" t="inlineStr">
        <is>
          <t>CR-102</t>
        </is>
      </c>
      <c r="D84" t="inlineStr">
        <is>
          <t>ISO 7</t>
        </is>
      </c>
      <c r="E84" t="inlineStr">
        <is>
          <t>Compressed air</t>
        </is>
      </c>
      <c r="F84" t="n">
        <v>0</v>
      </c>
      <c r="G84" t="inlineStr">
        <is>
          <t>Tech D</t>
        </is>
      </c>
      <c r="H84">
        <f>INDEX(Limits!$B$2:$B$5,MATCH(E84,Limits!$A$2:$A$5,0))</f>
        <v/>
      </c>
      <c r="I84">
        <f>INDEX(Limits!$C$2:$C$5,MATCH(E84,Limits!$A$2:$A$5,0))</f>
        <v/>
      </c>
      <c r="J84">
        <f>IF(F84&gt;=I84,"Action",IF(F84&gt;=H84,"Alert","Pass"))</f>
        <v/>
      </c>
      <c r="K84" s="4">
        <f>DATE(YEAR(B84),MONTH(B84),1)</f>
        <v/>
      </c>
    </row>
    <row r="85">
      <c r="A85" t="inlineStr">
        <is>
          <t>EM000084</t>
        </is>
      </c>
      <c r="B85" s="7" t="n">
        <v>46031</v>
      </c>
      <c r="C85" t="inlineStr">
        <is>
          <t>CR-102</t>
        </is>
      </c>
      <c r="D85" t="inlineStr">
        <is>
          <t>ISO 7</t>
        </is>
      </c>
      <c r="E85" t="inlineStr">
        <is>
          <t>Personnel glove</t>
        </is>
      </c>
      <c r="F85" t="n">
        <v>0</v>
      </c>
      <c r="G85" t="inlineStr">
        <is>
          <t>Tech D</t>
        </is>
      </c>
      <c r="H85">
        <f>INDEX(Limits!$B$2:$B$5,MATCH(E85,Limits!$A$2:$A$5,0))</f>
        <v/>
      </c>
      <c r="I85">
        <f>INDEX(Limits!$C$2:$C$5,MATCH(E85,Limits!$A$2:$A$5,0))</f>
        <v/>
      </c>
      <c r="J85">
        <f>IF(F85&gt;=I85,"Action",IF(F85&gt;=H85,"Alert","Pass"))</f>
        <v/>
      </c>
      <c r="K85" s="4">
        <f>DATE(YEAR(B85),MONTH(B85),1)</f>
        <v/>
      </c>
    </row>
    <row r="86">
      <c r="A86" t="inlineStr">
        <is>
          <t>EM000085</t>
        </is>
      </c>
      <c r="B86" s="7" t="n">
        <v>46031</v>
      </c>
      <c r="C86" t="inlineStr">
        <is>
          <t>CR-201</t>
        </is>
      </c>
      <c r="D86" t="inlineStr">
        <is>
          <t>ISO 8</t>
        </is>
      </c>
      <c r="E86" t="inlineStr">
        <is>
          <t>Active air</t>
        </is>
      </c>
      <c r="F86" t="n">
        <v>2</v>
      </c>
      <c r="G86" t="inlineStr">
        <is>
          <t>Tech C</t>
        </is>
      </c>
      <c r="H86">
        <f>INDEX(Limits!$B$2:$B$5,MATCH(E86,Limits!$A$2:$A$5,0))</f>
        <v/>
      </c>
      <c r="I86">
        <f>INDEX(Limits!$C$2:$C$5,MATCH(E86,Limits!$A$2:$A$5,0))</f>
        <v/>
      </c>
      <c r="J86">
        <f>IF(F86&gt;=I86,"Action",IF(F86&gt;=H86,"Alert","Pass"))</f>
        <v/>
      </c>
      <c r="K86" s="4">
        <f>DATE(YEAR(B86),MONTH(B86),1)</f>
        <v/>
      </c>
    </row>
    <row r="87">
      <c r="A87" t="inlineStr">
        <is>
          <t>EM000086</t>
        </is>
      </c>
      <c r="B87" s="7" t="n">
        <v>46031</v>
      </c>
      <c r="C87" t="inlineStr">
        <is>
          <t>CR-201</t>
        </is>
      </c>
      <c r="D87" t="inlineStr">
        <is>
          <t>ISO 8</t>
        </is>
      </c>
      <c r="E87" t="inlineStr">
        <is>
          <t>Surface contact</t>
        </is>
      </c>
      <c r="F87" t="n">
        <v>1</v>
      </c>
      <c r="G87" t="inlineStr">
        <is>
          <t>Tech C</t>
        </is>
      </c>
      <c r="H87">
        <f>INDEX(Limits!$B$2:$B$5,MATCH(E87,Limits!$A$2:$A$5,0))</f>
        <v/>
      </c>
      <c r="I87">
        <f>INDEX(Limits!$C$2:$C$5,MATCH(E87,Limits!$A$2:$A$5,0))</f>
        <v/>
      </c>
      <c r="J87">
        <f>IF(F87&gt;=I87,"Action",IF(F87&gt;=H87,"Alert","Pass"))</f>
        <v/>
      </c>
      <c r="K87" s="4">
        <f>DATE(YEAR(B87),MONTH(B87),1)</f>
        <v/>
      </c>
    </row>
    <row r="88">
      <c r="A88" t="inlineStr">
        <is>
          <t>EM000087</t>
        </is>
      </c>
      <c r="B88" s="7" t="n">
        <v>46031</v>
      </c>
      <c r="C88" t="inlineStr">
        <is>
          <t>CR-201</t>
        </is>
      </c>
      <c r="D88" t="inlineStr">
        <is>
          <t>ISO 8</t>
        </is>
      </c>
      <c r="E88" t="inlineStr">
        <is>
          <t>Compressed air</t>
        </is>
      </c>
      <c r="F88" t="n">
        <v>0</v>
      </c>
      <c r="G88" t="inlineStr">
        <is>
          <t>Tech B</t>
        </is>
      </c>
      <c r="H88">
        <f>INDEX(Limits!$B$2:$B$5,MATCH(E88,Limits!$A$2:$A$5,0))</f>
        <v/>
      </c>
      <c r="I88">
        <f>INDEX(Limits!$C$2:$C$5,MATCH(E88,Limits!$A$2:$A$5,0))</f>
        <v/>
      </c>
      <c r="J88">
        <f>IF(F88&gt;=I88,"Action",IF(F88&gt;=H88,"Alert","Pass"))</f>
        <v/>
      </c>
      <c r="K88" s="4">
        <f>DATE(YEAR(B88),MONTH(B88),1)</f>
        <v/>
      </c>
    </row>
    <row r="89">
      <c r="A89" t="inlineStr">
        <is>
          <t>EM000088</t>
        </is>
      </c>
      <c r="B89" s="7" t="n">
        <v>46031</v>
      </c>
      <c r="C89" t="inlineStr">
        <is>
          <t>CR-201</t>
        </is>
      </c>
      <c r="D89" t="inlineStr">
        <is>
          <t>ISO 8</t>
        </is>
      </c>
      <c r="E89" t="inlineStr">
        <is>
          <t>Personnel glove</t>
        </is>
      </c>
      <c r="F89" t="n">
        <v>0</v>
      </c>
      <c r="G89" t="inlineStr">
        <is>
          <t>Tech B</t>
        </is>
      </c>
      <c r="H89">
        <f>INDEX(Limits!$B$2:$B$5,MATCH(E89,Limits!$A$2:$A$5,0))</f>
        <v/>
      </c>
      <c r="I89">
        <f>INDEX(Limits!$C$2:$C$5,MATCH(E89,Limits!$A$2:$A$5,0))</f>
        <v/>
      </c>
      <c r="J89">
        <f>IF(F89&gt;=I89,"Action",IF(F89&gt;=H89,"Alert","Pass"))</f>
        <v/>
      </c>
      <c r="K89" s="4">
        <f>DATE(YEAR(B89),MONTH(B89),1)</f>
        <v/>
      </c>
    </row>
    <row r="90">
      <c r="A90" t="inlineStr">
        <is>
          <t>EM000089</t>
        </is>
      </c>
      <c r="B90" s="7" t="n">
        <v>46031</v>
      </c>
      <c r="C90" t="inlineStr">
        <is>
          <t>CR-202</t>
        </is>
      </c>
      <c r="D90" t="inlineStr">
        <is>
          <t>ISO 8</t>
        </is>
      </c>
      <c r="E90" t="inlineStr">
        <is>
          <t>Active air</t>
        </is>
      </c>
      <c r="F90" t="n">
        <v>2</v>
      </c>
      <c r="G90" t="inlineStr">
        <is>
          <t>Tech B</t>
        </is>
      </c>
      <c r="H90">
        <f>INDEX(Limits!$B$2:$B$5,MATCH(E90,Limits!$A$2:$A$5,0))</f>
        <v/>
      </c>
      <c r="I90">
        <f>INDEX(Limits!$C$2:$C$5,MATCH(E90,Limits!$A$2:$A$5,0))</f>
        <v/>
      </c>
      <c r="J90">
        <f>IF(F90&gt;=I90,"Action",IF(F90&gt;=H90,"Alert","Pass"))</f>
        <v/>
      </c>
      <c r="K90" s="4">
        <f>DATE(YEAR(B90),MONTH(B90),1)</f>
        <v/>
      </c>
    </row>
    <row r="91">
      <c r="A91" t="inlineStr">
        <is>
          <t>EM000090</t>
        </is>
      </c>
      <c r="B91" s="7" t="n">
        <v>46031</v>
      </c>
      <c r="C91" t="inlineStr">
        <is>
          <t>CR-202</t>
        </is>
      </c>
      <c r="D91" t="inlineStr">
        <is>
          <t>ISO 8</t>
        </is>
      </c>
      <c r="E91" t="inlineStr">
        <is>
          <t>Surface contact</t>
        </is>
      </c>
      <c r="F91" t="n">
        <v>1</v>
      </c>
      <c r="G91" t="inlineStr">
        <is>
          <t>Tech A</t>
        </is>
      </c>
      <c r="H91">
        <f>INDEX(Limits!$B$2:$B$5,MATCH(E91,Limits!$A$2:$A$5,0))</f>
        <v/>
      </c>
      <c r="I91">
        <f>INDEX(Limits!$C$2:$C$5,MATCH(E91,Limits!$A$2:$A$5,0))</f>
        <v/>
      </c>
      <c r="J91">
        <f>IF(F91&gt;=I91,"Action",IF(F91&gt;=H91,"Alert","Pass"))</f>
        <v/>
      </c>
      <c r="K91" s="4">
        <f>DATE(YEAR(B91),MONTH(B91),1)</f>
        <v/>
      </c>
    </row>
    <row r="92">
      <c r="A92" t="inlineStr">
        <is>
          <t>EM000091</t>
        </is>
      </c>
      <c r="B92" s="7" t="n">
        <v>46031</v>
      </c>
      <c r="C92" t="inlineStr">
        <is>
          <t>CR-202</t>
        </is>
      </c>
      <c r="D92" t="inlineStr">
        <is>
          <t>ISO 8</t>
        </is>
      </c>
      <c r="E92" t="inlineStr">
        <is>
          <t>Compressed air</t>
        </is>
      </c>
      <c r="F92" t="n">
        <v>0</v>
      </c>
      <c r="G92" t="inlineStr">
        <is>
          <t>Tech B</t>
        </is>
      </c>
      <c r="H92">
        <f>INDEX(Limits!$B$2:$B$5,MATCH(E92,Limits!$A$2:$A$5,0))</f>
        <v/>
      </c>
      <c r="I92">
        <f>INDEX(Limits!$C$2:$C$5,MATCH(E92,Limits!$A$2:$A$5,0))</f>
        <v/>
      </c>
      <c r="J92">
        <f>IF(F92&gt;=I92,"Action",IF(F92&gt;=H92,"Alert","Pass"))</f>
        <v/>
      </c>
      <c r="K92" s="4">
        <f>DATE(YEAR(B92),MONTH(B92),1)</f>
        <v/>
      </c>
    </row>
    <row r="93">
      <c r="A93" t="inlineStr">
        <is>
          <t>EM000092</t>
        </is>
      </c>
      <c r="B93" s="7" t="n">
        <v>46031</v>
      </c>
      <c r="C93" t="inlineStr">
        <is>
          <t>CR-202</t>
        </is>
      </c>
      <c r="D93" t="inlineStr">
        <is>
          <t>ISO 8</t>
        </is>
      </c>
      <c r="E93" t="inlineStr">
        <is>
          <t>Personnel glove</t>
        </is>
      </c>
      <c r="F93" t="n">
        <v>0</v>
      </c>
      <c r="G93" t="inlineStr">
        <is>
          <t>Tech B</t>
        </is>
      </c>
      <c r="H93">
        <f>INDEX(Limits!$B$2:$B$5,MATCH(E93,Limits!$A$2:$A$5,0))</f>
        <v/>
      </c>
      <c r="I93">
        <f>INDEX(Limits!$C$2:$C$5,MATCH(E93,Limits!$A$2:$A$5,0))</f>
        <v/>
      </c>
      <c r="J93">
        <f>IF(F93&gt;=I93,"Action",IF(F93&gt;=H93,"Alert","Pass"))</f>
        <v/>
      </c>
      <c r="K93" s="4">
        <f>DATE(YEAR(B93),MONTH(B93),1)</f>
        <v/>
      </c>
    </row>
    <row r="94">
      <c r="A94" t="inlineStr">
        <is>
          <t>EM000093</t>
        </is>
      </c>
      <c r="B94" s="7" t="n">
        <v>46031</v>
      </c>
      <c r="C94" t="inlineStr">
        <is>
          <t>Gowning</t>
        </is>
      </c>
      <c r="D94" t="inlineStr">
        <is>
          <t>ISO 8</t>
        </is>
      </c>
      <c r="E94" t="inlineStr">
        <is>
          <t>Active air</t>
        </is>
      </c>
      <c r="F94" t="n">
        <v>2</v>
      </c>
      <c r="G94" t="inlineStr">
        <is>
          <t>Tech D</t>
        </is>
      </c>
      <c r="H94">
        <f>INDEX(Limits!$B$2:$B$5,MATCH(E94,Limits!$A$2:$A$5,0))</f>
        <v/>
      </c>
      <c r="I94">
        <f>INDEX(Limits!$C$2:$C$5,MATCH(E94,Limits!$A$2:$A$5,0))</f>
        <v/>
      </c>
      <c r="J94">
        <f>IF(F94&gt;=I94,"Action",IF(F94&gt;=H94,"Alert","Pass"))</f>
        <v/>
      </c>
      <c r="K94" s="4">
        <f>DATE(YEAR(B94),MONTH(B94),1)</f>
        <v/>
      </c>
    </row>
    <row r="95">
      <c r="A95" t="inlineStr">
        <is>
          <t>EM000094</t>
        </is>
      </c>
      <c r="B95" s="7" t="n">
        <v>46031</v>
      </c>
      <c r="C95" t="inlineStr">
        <is>
          <t>Gowning</t>
        </is>
      </c>
      <c r="D95" t="inlineStr">
        <is>
          <t>ISO 8</t>
        </is>
      </c>
      <c r="E95" t="inlineStr">
        <is>
          <t>Surface contact</t>
        </is>
      </c>
      <c r="F95" t="n">
        <v>2</v>
      </c>
      <c r="G95" t="inlineStr">
        <is>
          <t>Tech C</t>
        </is>
      </c>
      <c r="H95">
        <f>INDEX(Limits!$B$2:$B$5,MATCH(E95,Limits!$A$2:$A$5,0))</f>
        <v/>
      </c>
      <c r="I95">
        <f>INDEX(Limits!$C$2:$C$5,MATCH(E95,Limits!$A$2:$A$5,0))</f>
        <v/>
      </c>
      <c r="J95">
        <f>IF(F95&gt;=I95,"Action",IF(F95&gt;=H95,"Alert","Pass"))</f>
        <v/>
      </c>
      <c r="K95" s="4">
        <f>DATE(YEAR(B95),MONTH(B95),1)</f>
        <v/>
      </c>
    </row>
    <row r="96">
      <c r="A96" t="inlineStr">
        <is>
          <t>EM000095</t>
        </is>
      </c>
      <c r="B96" s="7" t="n">
        <v>46031</v>
      </c>
      <c r="C96" t="inlineStr">
        <is>
          <t>Gowning</t>
        </is>
      </c>
      <c r="D96" t="inlineStr">
        <is>
          <t>ISO 8</t>
        </is>
      </c>
      <c r="E96" t="inlineStr">
        <is>
          <t>Personnel glove</t>
        </is>
      </c>
      <c r="F96" t="n">
        <v>0</v>
      </c>
      <c r="G96" t="inlineStr">
        <is>
          <t>Tech A</t>
        </is>
      </c>
      <c r="H96">
        <f>INDEX(Limits!$B$2:$B$5,MATCH(E96,Limits!$A$2:$A$5,0))</f>
        <v/>
      </c>
      <c r="I96">
        <f>INDEX(Limits!$C$2:$C$5,MATCH(E96,Limits!$A$2:$A$5,0))</f>
        <v/>
      </c>
      <c r="J96">
        <f>IF(F96&gt;=I96,"Action",IF(F96&gt;=H96,"Alert","Pass"))</f>
        <v/>
      </c>
      <c r="K96" s="4">
        <f>DATE(YEAR(B96),MONTH(B96),1)</f>
        <v/>
      </c>
    </row>
    <row r="97">
      <c r="A97" t="inlineStr">
        <is>
          <t>EM000096</t>
        </is>
      </c>
      <c r="B97" s="7" t="n">
        <v>46034</v>
      </c>
      <c r="C97" t="inlineStr">
        <is>
          <t>CR-101</t>
        </is>
      </c>
      <c r="D97" t="inlineStr">
        <is>
          <t>ISO 7</t>
        </is>
      </c>
      <c r="E97" t="inlineStr">
        <is>
          <t>Active air</t>
        </is>
      </c>
      <c r="F97" t="n">
        <v>2</v>
      </c>
      <c r="G97" t="inlineStr">
        <is>
          <t>Tech A</t>
        </is>
      </c>
      <c r="H97">
        <f>INDEX(Limits!$B$2:$B$5,MATCH(E97,Limits!$A$2:$A$5,0))</f>
        <v/>
      </c>
      <c r="I97">
        <f>INDEX(Limits!$C$2:$C$5,MATCH(E97,Limits!$A$2:$A$5,0))</f>
        <v/>
      </c>
      <c r="J97">
        <f>IF(F97&gt;=I97,"Action",IF(F97&gt;=H97,"Alert","Pass"))</f>
        <v/>
      </c>
      <c r="K97" s="4">
        <f>DATE(YEAR(B97),MONTH(B97),1)</f>
        <v/>
      </c>
    </row>
    <row r="98">
      <c r="A98" t="inlineStr">
        <is>
          <t>EM000097</t>
        </is>
      </c>
      <c r="B98" s="7" t="n">
        <v>46034</v>
      </c>
      <c r="C98" t="inlineStr">
        <is>
          <t>CR-101</t>
        </is>
      </c>
      <c r="D98" t="inlineStr">
        <is>
          <t>ISO 7</t>
        </is>
      </c>
      <c r="E98" t="inlineStr">
        <is>
          <t>Surface contact</t>
        </is>
      </c>
      <c r="F98" t="n">
        <v>2</v>
      </c>
      <c r="G98" t="inlineStr">
        <is>
          <t>Tech C</t>
        </is>
      </c>
      <c r="H98">
        <f>INDEX(Limits!$B$2:$B$5,MATCH(E98,Limits!$A$2:$A$5,0))</f>
        <v/>
      </c>
      <c r="I98">
        <f>INDEX(Limits!$C$2:$C$5,MATCH(E98,Limits!$A$2:$A$5,0))</f>
        <v/>
      </c>
      <c r="J98">
        <f>IF(F98&gt;=I98,"Action",IF(F98&gt;=H98,"Alert","Pass"))</f>
        <v/>
      </c>
      <c r="K98" s="4">
        <f>DATE(YEAR(B98),MONTH(B98),1)</f>
        <v/>
      </c>
    </row>
    <row r="99">
      <c r="A99" t="inlineStr">
        <is>
          <t>EM000098</t>
        </is>
      </c>
      <c r="B99" s="7" t="n">
        <v>46034</v>
      </c>
      <c r="C99" t="inlineStr">
        <is>
          <t>CR-101</t>
        </is>
      </c>
      <c r="D99" t="inlineStr">
        <is>
          <t>ISO 7</t>
        </is>
      </c>
      <c r="E99" t="inlineStr">
        <is>
          <t>Compressed air</t>
        </is>
      </c>
      <c r="F99" t="n">
        <v>0</v>
      </c>
      <c r="G99" t="inlineStr">
        <is>
          <t>Tech C</t>
        </is>
      </c>
      <c r="H99">
        <f>INDEX(Limits!$B$2:$B$5,MATCH(E99,Limits!$A$2:$A$5,0))</f>
        <v/>
      </c>
      <c r="I99">
        <f>INDEX(Limits!$C$2:$C$5,MATCH(E99,Limits!$A$2:$A$5,0))</f>
        <v/>
      </c>
      <c r="J99">
        <f>IF(F99&gt;=I99,"Action",IF(F99&gt;=H99,"Alert","Pass"))</f>
        <v/>
      </c>
      <c r="K99" s="4">
        <f>DATE(YEAR(B99),MONTH(B99),1)</f>
        <v/>
      </c>
    </row>
    <row r="100">
      <c r="A100" t="inlineStr">
        <is>
          <t>EM000099</t>
        </is>
      </c>
      <c r="B100" s="7" t="n">
        <v>46034</v>
      </c>
      <c r="C100" t="inlineStr">
        <is>
          <t>CR-101</t>
        </is>
      </c>
      <c r="D100" t="inlineStr">
        <is>
          <t>ISO 7</t>
        </is>
      </c>
      <c r="E100" t="inlineStr">
        <is>
          <t>Personnel glove</t>
        </is>
      </c>
      <c r="F100" t="n">
        <v>0</v>
      </c>
      <c r="G100" t="inlineStr">
        <is>
          <t>Tech D</t>
        </is>
      </c>
      <c r="H100">
        <f>INDEX(Limits!$B$2:$B$5,MATCH(E100,Limits!$A$2:$A$5,0))</f>
        <v/>
      </c>
      <c r="I100">
        <f>INDEX(Limits!$C$2:$C$5,MATCH(E100,Limits!$A$2:$A$5,0))</f>
        <v/>
      </c>
      <c r="J100">
        <f>IF(F100&gt;=I100,"Action",IF(F100&gt;=H100,"Alert","Pass"))</f>
        <v/>
      </c>
      <c r="K100" s="4">
        <f>DATE(YEAR(B100),MONTH(B100),1)</f>
        <v/>
      </c>
    </row>
    <row r="101">
      <c r="A101" t="inlineStr">
        <is>
          <t>EM000100</t>
        </is>
      </c>
      <c r="B101" s="7" t="n">
        <v>46034</v>
      </c>
      <c r="C101" t="inlineStr">
        <is>
          <t>CR-102</t>
        </is>
      </c>
      <c r="D101" t="inlineStr">
        <is>
          <t>ISO 7</t>
        </is>
      </c>
      <c r="E101" t="inlineStr">
        <is>
          <t>Active air</t>
        </is>
      </c>
      <c r="F101" t="n">
        <v>1</v>
      </c>
      <c r="G101" t="inlineStr">
        <is>
          <t>Tech C</t>
        </is>
      </c>
      <c r="H101">
        <f>INDEX(Limits!$B$2:$B$5,MATCH(E101,Limits!$A$2:$A$5,0))</f>
        <v/>
      </c>
      <c r="I101">
        <f>INDEX(Limits!$C$2:$C$5,MATCH(E101,Limits!$A$2:$A$5,0))</f>
        <v/>
      </c>
      <c r="J101">
        <f>IF(F101&gt;=I101,"Action",IF(F101&gt;=H101,"Alert","Pass"))</f>
        <v/>
      </c>
      <c r="K101" s="4">
        <f>DATE(YEAR(B101),MONTH(B101),1)</f>
        <v/>
      </c>
    </row>
    <row r="102">
      <c r="A102" t="inlineStr">
        <is>
          <t>EM000101</t>
        </is>
      </c>
      <c r="B102" s="7" t="n">
        <v>46034</v>
      </c>
      <c r="C102" t="inlineStr">
        <is>
          <t>CR-102</t>
        </is>
      </c>
      <c r="D102" t="inlineStr">
        <is>
          <t>ISO 7</t>
        </is>
      </c>
      <c r="E102" t="inlineStr">
        <is>
          <t>Surface contact</t>
        </is>
      </c>
      <c r="F102" t="n">
        <v>0</v>
      </c>
      <c r="G102" t="inlineStr">
        <is>
          <t>Tech D</t>
        </is>
      </c>
      <c r="H102">
        <f>INDEX(Limits!$B$2:$B$5,MATCH(E102,Limits!$A$2:$A$5,0))</f>
        <v/>
      </c>
      <c r="I102">
        <f>INDEX(Limits!$C$2:$C$5,MATCH(E102,Limits!$A$2:$A$5,0))</f>
        <v/>
      </c>
      <c r="J102">
        <f>IF(F102&gt;=I102,"Action",IF(F102&gt;=H102,"Alert","Pass"))</f>
        <v/>
      </c>
      <c r="K102" s="4">
        <f>DATE(YEAR(B102),MONTH(B102),1)</f>
        <v/>
      </c>
    </row>
    <row r="103">
      <c r="A103" t="inlineStr">
        <is>
          <t>EM000102</t>
        </is>
      </c>
      <c r="B103" s="7" t="n">
        <v>46034</v>
      </c>
      <c r="C103" t="inlineStr">
        <is>
          <t>CR-102</t>
        </is>
      </c>
      <c r="D103" t="inlineStr">
        <is>
          <t>ISO 7</t>
        </is>
      </c>
      <c r="E103" t="inlineStr">
        <is>
          <t>Compressed air</t>
        </is>
      </c>
      <c r="F103" t="n">
        <v>0</v>
      </c>
      <c r="G103" t="inlineStr">
        <is>
          <t>Tech A</t>
        </is>
      </c>
      <c r="H103">
        <f>INDEX(Limits!$B$2:$B$5,MATCH(E103,Limits!$A$2:$A$5,0))</f>
        <v/>
      </c>
      <c r="I103">
        <f>INDEX(Limits!$C$2:$C$5,MATCH(E103,Limits!$A$2:$A$5,0))</f>
        <v/>
      </c>
      <c r="J103">
        <f>IF(F103&gt;=I103,"Action",IF(F103&gt;=H103,"Alert","Pass"))</f>
        <v/>
      </c>
      <c r="K103" s="4">
        <f>DATE(YEAR(B103),MONTH(B103),1)</f>
        <v/>
      </c>
    </row>
    <row r="104">
      <c r="A104" t="inlineStr">
        <is>
          <t>EM000103</t>
        </is>
      </c>
      <c r="B104" s="7" t="n">
        <v>46034</v>
      </c>
      <c r="C104" t="inlineStr">
        <is>
          <t>CR-102</t>
        </is>
      </c>
      <c r="D104" t="inlineStr">
        <is>
          <t>ISO 7</t>
        </is>
      </c>
      <c r="E104" t="inlineStr">
        <is>
          <t>Personnel glove</t>
        </is>
      </c>
      <c r="F104" t="n">
        <v>0</v>
      </c>
      <c r="G104" t="inlineStr">
        <is>
          <t>Tech D</t>
        </is>
      </c>
      <c r="H104">
        <f>INDEX(Limits!$B$2:$B$5,MATCH(E104,Limits!$A$2:$A$5,0))</f>
        <v/>
      </c>
      <c r="I104">
        <f>INDEX(Limits!$C$2:$C$5,MATCH(E104,Limits!$A$2:$A$5,0))</f>
        <v/>
      </c>
      <c r="J104">
        <f>IF(F104&gt;=I104,"Action",IF(F104&gt;=H104,"Alert","Pass"))</f>
        <v/>
      </c>
      <c r="K104" s="4">
        <f>DATE(YEAR(B104),MONTH(B104),1)</f>
        <v/>
      </c>
    </row>
    <row r="105">
      <c r="A105" t="inlineStr">
        <is>
          <t>EM000104</t>
        </is>
      </c>
      <c r="B105" s="7" t="n">
        <v>46034</v>
      </c>
      <c r="C105" t="inlineStr">
        <is>
          <t>CR-201</t>
        </is>
      </c>
      <c r="D105" t="inlineStr">
        <is>
          <t>ISO 8</t>
        </is>
      </c>
      <c r="E105" t="inlineStr">
        <is>
          <t>Active air</t>
        </is>
      </c>
      <c r="F105" t="n">
        <v>0</v>
      </c>
      <c r="G105" t="inlineStr">
        <is>
          <t>Tech A</t>
        </is>
      </c>
      <c r="H105">
        <f>INDEX(Limits!$B$2:$B$5,MATCH(E105,Limits!$A$2:$A$5,0))</f>
        <v/>
      </c>
      <c r="I105">
        <f>INDEX(Limits!$C$2:$C$5,MATCH(E105,Limits!$A$2:$A$5,0))</f>
        <v/>
      </c>
      <c r="J105">
        <f>IF(F105&gt;=I105,"Action",IF(F105&gt;=H105,"Alert","Pass"))</f>
        <v/>
      </c>
      <c r="K105" s="4">
        <f>DATE(YEAR(B105),MONTH(B105),1)</f>
        <v/>
      </c>
    </row>
    <row r="106">
      <c r="A106" t="inlineStr">
        <is>
          <t>EM000105</t>
        </is>
      </c>
      <c r="B106" s="7" t="n">
        <v>46034</v>
      </c>
      <c r="C106" t="inlineStr">
        <is>
          <t>CR-201</t>
        </is>
      </c>
      <c r="D106" t="inlineStr">
        <is>
          <t>ISO 8</t>
        </is>
      </c>
      <c r="E106" t="inlineStr">
        <is>
          <t>Surface contact</t>
        </is>
      </c>
      <c r="F106" t="n">
        <v>1</v>
      </c>
      <c r="G106" t="inlineStr">
        <is>
          <t>Tech B</t>
        </is>
      </c>
      <c r="H106">
        <f>INDEX(Limits!$B$2:$B$5,MATCH(E106,Limits!$A$2:$A$5,0))</f>
        <v/>
      </c>
      <c r="I106">
        <f>INDEX(Limits!$C$2:$C$5,MATCH(E106,Limits!$A$2:$A$5,0))</f>
        <v/>
      </c>
      <c r="J106">
        <f>IF(F106&gt;=I106,"Action",IF(F106&gt;=H106,"Alert","Pass"))</f>
        <v/>
      </c>
      <c r="K106" s="4">
        <f>DATE(YEAR(B106),MONTH(B106),1)</f>
        <v/>
      </c>
    </row>
    <row r="107">
      <c r="A107" t="inlineStr">
        <is>
          <t>EM000106</t>
        </is>
      </c>
      <c r="B107" s="7" t="n">
        <v>46034</v>
      </c>
      <c r="C107" t="inlineStr">
        <is>
          <t>CR-201</t>
        </is>
      </c>
      <c r="D107" t="inlineStr">
        <is>
          <t>ISO 8</t>
        </is>
      </c>
      <c r="E107" t="inlineStr">
        <is>
          <t>Compressed air</t>
        </is>
      </c>
      <c r="F107" t="n">
        <v>0</v>
      </c>
      <c r="G107" t="inlineStr">
        <is>
          <t>Tech A</t>
        </is>
      </c>
      <c r="H107">
        <f>INDEX(Limits!$B$2:$B$5,MATCH(E107,Limits!$A$2:$A$5,0))</f>
        <v/>
      </c>
      <c r="I107">
        <f>INDEX(Limits!$C$2:$C$5,MATCH(E107,Limits!$A$2:$A$5,0))</f>
        <v/>
      </c>
      <c r="J107">
        <f>IF(F107&gt;=I107,"Action",IF(F107&gt;=H107,"Alert","Pass"))</f>
        <v/>
      </c>
      <c r="K107" s="4">
        <f>DATE(YEAR(B107),MONTH(B107),1)</f>
        <v/>
      </c>
    </row>
    <row r="108">
      <c r="A108" t="inlineStr">
        <is>
          <t>EM000107</t>
        </is>
      </c>
      <c r="B108" s="7" t="n">
        <v>46034</v>
      </c>
      <c r="C108" t="inlineStr">
        <is>
          <t>CR-201</t>
        </is>
      </c>
      <c r="D108" t="inlineStr">
        <is>
          <t>ISO 8</t>
        </is>
      </c>
      <c r="E108" t="inlineStr">
        <is>
          <t>Personnel glove</t>
        </is>
      </c>
      <c r="F108" t="n">
        <v>0</v>
      </c>
      <c r="G108" t="inlineStr">
        <is>
          <t>Tech C</t>
        </is>
      </c>
      <c r="H108">
        <f>INDEX(Limits!$B$2:$B$5,MATCH(E108,Limits!$A$2:$A$5,0))</f>
        <v/>
      </c>
      <c r="I108">
        <f>INDEX(Limits!$C$2:$C$5,MATCH(E108,Limits!$A$2:$A$5,0))</f>
        <v/>
      </c>
      <c r="J108">
        <f>IF(F108&gt;=I108,"Action",IF(F108&gt;=H108,"Alert","Pass"))</f>
        <v/>
      </c>
      <c r="K108" s="4">
        <f>DATE(YEAR(B108),MONTH(B108),1)</f>
        <v/>
      </c>
    </row>
    <row r="109">
      <c r="A109" t="inlineStr">
        <is>
          <t>EM000108</t>
        </is>
      </c>
      <c r="B109" s="7" t="n">
        <v>46034</v>
      </c>
      <c r="C109" t="inlineStr">
        <is>
          <t>CR-202</t>
        </is>
      </c>
      <c r="D109" t="inlineStr">
        <is>
          <t>ISO 8</t>
        </is>
      </c>
      <c r="E109" t="inlineStr">
        <is>
          <t>Active air</t>
        </is>
      </c>
      <c r="F109" t="n">
        <v>3</v>
      </c>
      <c r="G109" t="inlineStr">
        <is>
          <t>Tech C</t>
        </is>
      </c>
      <c r="H109">
        <f>INDEX(Limits!$B$2:$B$5,MATCH(E109,Limits!$A$2:$A$5,0))</f>
        <v/>
      </c>
      <c r="I109">
        <f>INDEX(Limits!$C$2:$C$5,MATCH(E109,Limits!$A$2:$A$5,0))</f>
        <v/>
      </c>
      <c r="J109">
        <f>IF(F109&gt;=I109,"Action",IF(F109&gt;=H109,"Alert","Pass"))</f>
        <v/>
      </c>
      <c r="K109" s="4">
        <f>DATE(YEAR(B109),MONTH(B109),1)</f>
        <v/>
      </c>
    </row>
    <row r="110">
      <c r="A110" t="inlineStr">
        <is>
          <t>EM000109</t>
        </is>
      </c>
      <c r="B110" s="7" t="n">
        <v>46034</v>
      </c>
      <c r="C110" t="inlineStr">
        <is>
          <t>CR-202</t>
        </is>
      </c>
      <c r="D110" t="inlineStr">
        <is>
          <t>ISO 8</t>
        </is>
      </c>
      <c r="E110" t="inlineStr">
        <is>
          <t>Surface contact</t>
        </is>
      </c>
      <c r="F110" t="n">
        <v>1</v>
      </c>
      <c r="G110" t="inlineStr">
        <is>
          <t>Tech B</t>
        </is>
      </c>
      <c r="H110">
        <f>INDEX(Limits!$B$2:$B$5,MATCH(E110,Limits!$A$2:$A$5,0))</f>
        <v/>
      </c>
      <c r="I110">
        <f>INDEX(Limits!$C$2:$C$5,MATCH(E110,Limits!$A$2:$A$5,0))</f>
        <v/>
      </c>
      <c r="J110">
        <f>IF(F110&gt;=I110,"Action",IF(F110&gt;=H110,"Alert","Pass"))</f>
        <v/>
      </c>
      <c r="K110" s="4">
        <f>DATE(YEAR(B110),MONTH(B110),1)</f>
        <v/>
      </c>
    </row>
    <row r="111">
      <c r="A111" t="inlineStr">
        <is>
          <t>EM000110</t>
        </is>
      </c>
      <c r="B111" s="7" t="n">
        <v>46034</v>
      </c>
      <c r="C111" t="inlineStr">
        <is>
          <t>CR-202</t>
        </is>
      </c>
      <c r="D111" t="inlineStr">
        <is>
          <t>ISO 8</t>
        </is>
      </c>
      <c r="E111" t="inlineStr">
        <is>
          <t>Compressed air</t>
        </is>
      </c>
      <c r="F111" t="n">
        <v>0</v>
      </c>
      <c r="G111" t="inlineStr">
        <is>
          <t>Tech A</t>
        </is>
      </c>
      <c r="H111">
        <f>INDEX(Limits!$B$2:$B$5,MATCH(E111,Limits!$A$2:$A$5,0))</f>
        <v/>
      </c>
      <c r="I111">
        <f>INDEX(Limits!$C$2:$C$5,MATCH(E111,Limits!$A$2:$A$5,0))</f>
        <v/>
      </c>
      <c r="J111">
        <f>IF(F111&gt;=I111,"Action",IF(F111&gt;=H111,"Alert","Pass"))</f>
        <v/>
      </c>
      <c r="K111" s="4">
        <f>DATE(YEAR(B111),MONTH(B111),1)</f>
        <v/>
      </c>
    </row>
    <row r="112">
      <c r="A112" t="inlineStr">
        <is>
          <t>EM000111</t>
        </is>
      </c>
      <c r="B112" s="7" t="n">
        <v>46034</v>
      </c>
      <c r="C112" t="inlineStr">
        <is>
          <t>CR-202</t>
        </is>
      </c>
      <c r="D112" t="inlineStr">
        <is>
          <t>ISO 8</t>
        </is>
      </c>
      <c r="E112" t="inlineStr">
        <is>
          <t>Personnel glove</t>
        </is>
      </c>
      <c r="F112" t="n">
        <v>0</v>
      </c>
      <c r="G112" t="inlineStr">
        <is>
          <t>Tech C</t>
        </is>
      </c>
      <c r="H112">
        <f>INDEX(Limits!$B$2:$B$5,MATCH(E112,Limits!$A$2:$A$5,0))</f>
        <v/>
      </c>
      <c r="I112">
        <f>INDEX(Limits!$C$2:$C$5,MATCH(E112,Limits!$A$2:$A$5,0))</f>
        <v/>
      </c>
      <c r="J112">
        <f>IF(F112&gt;=I112,"Action",IF(F112&gt;=H112,"Alert","Pass"))</f>
        <v/>
      </c>
      <c r="K112" s="4">
        <f>DATE(YEAR(B112),MONTH(B112),1)</f>
        <v/>
      </c>
    </row>
    <row r="113">
      <c r="A113" t="inlineStr">
        <is>
          <t>EM000112</t>
        </is>
      </c>
      <c r="B113" s="7" t="n">
        <v>46034</v>
      </c>
      <c r="C113" t="inlineStr">
        <is>
          <t>Gowning</t>
        </is>
      </c>
      <c r="D113" t="inlineStr">
        <is>
          <t>ISO 8</t>
        </is>
      </c>
      <c r="E113" t="inlineStr">
        <is>
          <t>Active air</t>
        </is>
      </c>
      <c r="F113" t="n">
        <v>1</v>
      </c>
      <c r="G113" t="inlineStr">
        <is>
          <t>Tech C</t>
        </is>
      </c>
      <c r="H113">
        <f>INDEX(Limits!$B$2:$B$5,MATCH(E113,Limits!$A$2:$A$5,0))</f>
        <v/>
      </c>
      <c r="I113">
        <f>INDEX(Limits!$C$2:$C$5,MATCH(E113,Limits!$A$2:$A$5,0))</f>
        <v/>
      </c>
      <c r="J113">
        <f>IF(F113&gt;=I113,"Action",IF(F113&gt;=H113,"Alert","Pass"))</f>
        <v/>
      </c>
      <c r="K113" s="4">
        <f>DATE(YEAR(B113),MONTH(B113),1)</f>
        <v/>
      </c>
    </row>
    <row r="114">
      <c r="A114" t="inlineStr">
        <is>
          <t>EM000113</t>
        </is>
      </c>
      <c r="B114" s="7" t="n">
        <v>46034</v>
      </c>
      <c r="C114" t="inlineStr">
        <is>
          <t>Gowning</t>
        </is>
      </c>
      <c r="D114" t="inlineStr">
        <is>
          <t>ISO 8</t>
        </is>
      </c>
      <c r="E114" t="inlineStr">
        <is>
          <t>Surface contact</t>
        </is>
      </c>
      <c r="F114" t="n">
        <v>2</v>
      </c>
      <c r="G114" t="inlineStr">
        <is>
          <t>Tech D</t>
        </is>
      </c>
      <c r="H114">
        <f>INDEX(Limits!$B$2:$B$5,MATCH(E114,Limits!$A$2:$A$5,0))</f>
        <v/>
      </c>
      <c r="I114">
        <f>INDEX(Limits!$C$2:$C$5,MATCH(E114,Limits!$A$2:$A$5,0))</f>
        <v/>
      </c>
      <c r="J114">
        <f>IF(F114&gt;=I114,"Action",IF(F114&gt;=H114,"Alert","Pass"))</f>
        <v/>
      </c>
      <c r="K114" s="4">
        <f>DATE(YEAR(B114),MONTH(B114),1)</f>
        <v/>
      </c>
    </row>
    <row r="115">
      <c r="A115" t="inlineStr">
        <is>
          <t>EM000114</t>
        </is>
      </c>
      <c r="B115" s="7" t="n">
        <v>46034</v>
      </c>
      <c r="C115" t="inlineStr">
        <is>
          <t>Gowning</t>
        </is>
      </c>
      <c r="D115" t="inlineStr">
        <is>
          <t>ISO 8</t>
        </is>
      </c>
      <c r="E115" t="inlineStr">
        <is>
          <t>Personnel glove</t>
        </is>
      </c>
      <c r="F115" t="n">
        <v>0</v>
      </c>
      <c r="G115" t="inlineStr">
        <is>
          <t>Tech D</t>
        </is>
      </c>
      <c r="H115">
        <f>INDEX(Limits!$B$2:$B$5,MATCH(E115,Limits!$A$2:$A$5,0))</f>
        <v/>
      </c>
      <c r="I115">
        <f>INDEX(Limits!$C$2:$C$5,MATCH(E115,Limits!$A$2:$A$5,0))</f>
        <v/>
      </c>
      <c r="J115">
        <f>IF(F115&gt;=I115,"Action",IF(F115&gt;=H115,"Alert","Pass"))</f>
        <v/>
      </c>
      <c r="K115" s="4">
        <f>DATE(YEAR(B115),MONTH(B115),1)</f>
        <v/>
      </c>
    </row>
    <row r="116">
      <c r="A116" t="inlineStr">
        <is>
          <t>EM000115</t>
        </is>
      </c>
      <c r="B116" s="7" t="n">
        <v>46035</v>
      </c>
      <c r="C116" t="inlineStr">
        <is>
          <t>CR-101</t>
        </is>
      </c>
      <c r="D116" t="inlineStr">
        <is>
          <t>ISO 7</t>
        </is>
      </c>
      <c r="E116" t="inlineStr">
        <is>
          <t>Active air</t>
        </is>
      </c>
      <c r="F116" t="n">
        <v>2</v>
      </c>
      <c r="G116" t="inlineStr">
        <is>
          <t>Tech A</t>
        </is>
      </c>
      <c r="H116">
        <f>INDEX(Limits!$B$2:$B$5,MATCH(E116,Limits!$A$2:$A$5,0))</f>
        <v/>
      </c>
      <c r="I116">
        <f>INDEX(Limits!$C$2:$C$5,MATCH(E116,Limits!$A$2:$A$5,0))</f>
        <v/>
      </c>
      <c r="J116">
        <f>IF(F116&gt;=I116,"Action",IF(F116&gt;=H116,"Alert","Pass"))</f>
        <v/>
      </c>
      <c r="K116" s="4">
        <f>DATE(YEAR(B116),MONTH(B116),1)</f>
        <v/>
      </c>
    </row>
    <row r="117">
      <c r="A117" t="inlineStr">
        <is>
          <t>EM000116</t>
        </is>
      </c>
      <c r="B117" s="7" t="n">
        <v>46035</v>
      </c>
      <c r="C117" t="inlineStr">
        <is>
          <t>CR-101</t>
        </is>
      </c>
      <c r="D117" t="inlineStr">
        <is>
          <t>ISO 7</t>
        </is>
      </c>
      <c r="E117" t="inlineStr">
        <is>
          <t>Surface contact</t>
        </is>
      </c>
      <c r="F117" t="n">
        <v>0</v>
      </c>
      <c r="G117" t="inlineStr">
        <is>
          <t>Tech B</t>
        </is>
      </c>
      <c r="H117">
        <f>INDEX(Limits!$B$2:$B$5,MATCH(E117,Limits!$A$2:$A$5,0))</f>
        <v/>
      </c>
      <c r="I117">
        <f>INDEX(Limits!$C$2:$C$5,MATCH(E117,Limits!$A$2:$A$5,0))</f>
        <v/>
      </c>
      <c r="J117">
        <f>IF(F117&gt;=I117,"Action",IF(F117&gt;=H117,"Alert","Pass"))</f>
        <v/>
      </c>
      <c r="K117" s="4">
        <f>DATE(YEAR(B117),MONTH(B117),1)</f>
        <v/>
      </c>
    </row>
    <row r="118">
      <c r="A118" t="inlineStr">
        <is>
          <t>EM000117</t>
        </is>
      </c>
      <c r="B118" s="7" t="n">
        <v>46035</v>
      </c>
      <c r="C118" t="inlineStr">
        <is>
          <t>CR-101</t>
        </is>
      </c>
      <c r="D118" t="inlineStr">
        <is>
          <t>ISO 7</t>
        </is>
      </c>
      <c r="E118" t="inlineStr">
        <is>
          <t>Compressed air</t>
        </is>
      </c>
      <c r="F118" t="n">
        <v>0</v>
      </c>
      <c r="G118" t="inlineStr">
        <is>
          <t>Tech C</t>
        </is>
      </c>
      <c r="H118">
        <f>INDEX(Limits!$B$2:$B$5,MATCH(E118,Limits!$A$2:$A$5,0))</f>
        <v/>
      </c>
      <c r="I118">
        <f>INDEX(Limits!$C$2:$C$5,MATCH(E118,Limits!$A$2:$A$5,0))</f>
        <v/>
      </c>
      <c r="J118">
        <f>IF(F118&gt;=I118,"Action",IF(F118&gt;=H118,"Alert","Pass"))</f>
        <v/>
      </c>
      <c r="K118" s="4">
        <f>DATE(YEAR(B118),MONTH(B118),1)</f>
        <v/>
      </c>
    </row>
    <row r="119">
      <c r="A119" t="inlineStr">
        <is>
          <t>EM000118</t>
        </is>
      </c>
      <c r="B119" s="7" t="n">
        <v>46035</v>
      </c>
      <c r="C119" t="inlineStr">
        <is>
          <t>CR-101</t>
        </is>
      </c>
      <c r="D119" t="inlineStr">
        <is>
          <t>ISO 7</t>
        </is>
      </c>
      <c r="E119" t="inlineStr">
        <is>
          <t>Personnel glove</t>
        </is>
      </c>
      <c r="F119" t="n">
        <v>0</v>
      </c>
      <c r="G119" t="inlineStr">
        <is>
          <t>Tech B</t>
        </is>
      </c>
      <c r="H119">
        <f>INDEX(Limits!$B$2:$B$5,MATCH(E119,Limits!$A$2:$A$5,0))</f>
        <v/>
      </c>
      <c r="I119">
        <f>INDEX(Limits!$C$2:$C$5,MATCH(E119,Limits!$A$2:$A$5,0))</f>
        <v/>
      </c>
      <c r="J119">
        <f>IF(F119&gt;=I119,"Action",IF(F119&gt;=H119,"Alert","Pass"))</f>
        <v/>
      </c>
      <c r="K119" s="4">
        <f>DATE(YEAR(B119),MONTH(B119),1)</f>
        <v/>
      </c>
    </row>
    <row r="120">
      <c r="A120" t="inlineStr">
        <is>
          <t>EM000119</t>
        </is>
      </c>
      <c r="B120" s="7" t="n">
        <v>46035</v>
      </c>
      <c r="C120" t="inlineStr">
        <is>
          <t>CR-102</t>
        </is>
      </c>
      <c r="D120" t="inlineStr">
        <is>
          <t>ISO 7</t>
        </is>
      </c>
      <c r="E120" t="inlineStr">
        <is>
          <t>Active air</t>
        </is>
      </c>
      <c r="F120" t="n">
        <v>2</v>
      </c>
      <c r="G120" t="inlineStr">
        <is>
          <t>Tech C</t>
        </is>
      </c>
      <c r="H120">
        <f>INDEX(Limits!$B$2:$B$5,MATCH(E120,Limits!$A$2:$A$5,0))</f>
        <v/>
      </c>
      <c r="I120">
        <f>INDEX(Limits!$C$2:$C$5,MATCH(E120,Limits!$A$2:$A$5,0))</f>
        <v/>
      </c>
      <c r="J120">
        <f>IF(F120&gt;=I120,"Action",IF(F120&gt;=H120,"Alert","Pass"))</f>
        <v/>
      </c>
      <c r="K120" s="4">
        <f>DATE(YEAR(B120),MONTH(B120),1)</f>
        <v/>
      </c>
    </row>
    <row r="121">
      <c r="A121" t="inlineStr">
        <is>
          <t>EM000120</t>
        </is>
      </c>
      <c r="B121" s="7" t="n">
        <v>46035</v>
      </c>
      <c r="C121" t="inlineStr">
        <is>
          <t>CR-102</t>
        </is>
      </c>
      <c r="D121" t="inlineStr">
        <is>
          <t>ISO 7</t>
        </is>
      </c>
      <c r="E121" t="inlineStr">
        <is>
          <t>Surface contact</t>
        </is>
      </c>
      <c r="F121" t="n">
        <v>0</v>
      </c>
      <c r="G121" t="inlineStr">
        <is>
          <t>Tech C</t>
        </is>
      </c>
      <c r="H121">
        <f>INDEX(Limits!$B$2:$B$5,MATCH(E121,Limits!$A$2:$A$5,0))</f>
        <v/>
      </c>
      <c r="I121">
        <f>INDEX(Limits!$C$2:$C$5,MATCH(E121,Limits!$A$2:$A$5,0))</f>
        <v/>
      </c>
      <c r="J121">
        <f>IF(F121&gt;=I121,"Action",IF(F121&gt;=H121,"Alert","Pass"))</f>
        <v/>
      </c>
      <c r="K121" s="4">
        <f>DATE(YEAR(B121),MONTH(B121),1)</f>
        <v/>
      </c>
    </row>
    <row r="122">
      <c r="A122" t="inlineStr">
        <is>
          <t>EM000121</t>
        </is>
      </c>
      <c r="B122" s="7" t="n">
        <v>46035</v>
      </c>
      <c r="C122" t="inlineStr">
        <is>
          <t>CR-102</t>
        </is>
      </c>
      <c r="D122" t="inlineStr">
        <is>
          <t>ISO 7</t>
        </is>
      </c>
      <c r="E122" t="inlineStr">
        <is>
          <t>Compressed air</t>
        </is>
      </c>
      <c r="F122" t="n">
        <v>0</v>
      </c>
      <c r="G122" t="inlineStr">
        <is>
          <t>Tech B</t>
        </is>
      </c>
      <c r="H122">
        <f>INDEX(Limits!$B$2:$B$5,MATCH(E122,Limits!$A$2:$A$5,0))</f>
        <v/>
      </c>
      <c r="I122">
        <f>INDEX(Limits!$C$2:$C$5,MATCH(E122,Limits!$A$2:$A$5,0))</f>
        <v/>
      </c>
      <c r="J122">
        <f>IF(F122&gt;=I122,"Action",IF(F122&gt;=H122,"Alert","Pass"))</f>
        <v/>
      </c>
      <c r="K122" s="4">
        <f>DATE(YEAR(B122),MONTH(B122),1)</f>
        <v/>
      </c>
    </row>
    <row r="123">
      <c r="A123" t="inlineStr">
        <is>
          <t>EM000122</t>
        </is>
      </c>
      <c r="B123" s="7" t="n">
        <v>46035</v>
      </c>
      <c r="C123" t="inlineStr">
        <is>
          <t>CR-102</t>
        </is>
      </c>
      <c r="D123" t="inlineStr">
        <is>
          <t>ISO 7</t>
        </is>
      </c>
      <c r="E123" t="inlineStr">
        <is>
          <t>Personnel glove</t>
        </is>
      </c>
      <c r="F123" t="n">
        <v>0</v>
      </c>
      <c r="G123" t="inlineStr">
        <is>
          <t>Tech A</t>
        </is>
      </c>
      <c r="H123">
        <f>INDEX(Limits!$B$2:$B$5,MATCH(E123,Limits!$A$2:$A$5,0))</f>
        <v/>
      </c>
      <c r="I123">
        <f>INDEX(Limits!$C$2:$C$5,MATCH(E123,Limits!$A$2:$A$5,0))</f>
        <v/>
      </c>
      <c r="J123">
        <f>IF(F123&gt;=I123,"Action",IF(F123&gt;=H123,"Alert","Pass"))</f>
        <v/>
      </c>
      <c r="K123" s="4">
        <f>DATE(YEAR(B123),MONTH(B123),1)</f>
        <v/>
      </c>
    </row>
    <row r="124">
      <c r="A124" t="inlineStr">
        <is>
          <t>EM000123</t>
        </is>
      </c>
      <c r="B124" s="7" t="n">
        <v>46035</v>
      </c>
      <c r="C124" t="inlineStr">
        <is>
          <t>CR-201</t>
        </is>
      </c>
      <c r="D124" t="inlineStr">
        <is>
          <t>ISO 8</t>
        </is>
      </c>
      <c r="E124" t="inlineStr">
        <is>
          <t>Active air</t>
        </is>
      </c>
      <c r="F124" t="n">
        <v>1</v>
      </c>
      <c r="G124" t="inlineStr">
        <is>
          <t>Tech D</t>
        </is>
      </c>
      <c r="H124">
        <f>INDEX(Limits!$B$2:$B$5,MATCH(E124,Limits!$A$2:$A$5,0))</f>
        <v/>
      </c>
      <c r="I124">
        <f>INDEX(Limits!$C$2:$C$5,MATCH(E124,Limits!$A$2:$A$5,0))</f>
        <v/>
      </c>
      <c r="J124">
        <f>IF(F124&gt;=I124,"Action",IF(F124&gt;=H124,"Alert","Pass"))</f>
        <v/>
      </c>
      <c r="K124" s="4">
        <f>DATE(YEAR(B124),MONTH(B124),1)</f>
        <v/>
      </c>
    </row>
    <row r="125">
      <c r="A125" t="inlineStr">
        <is>
          <t>EM000124</t>
        </is>
      </c>
      <c r="B125" s="7" t="n">
        <v>46035</v>
      </c>
      <c r="C125" t="inlineStr">
        <is>
          <t>CR-201</t>
        </is>
      </c>
      <c r="D125" t="inlineStr">
        <is>
          <t>ISO 8</t>
        </is>
      </c>
      <c r="E125" t="inlineStr">
        <is>
          <t>Surface contact</t>
        </is>
      </c>
      <c r="F125" t="n">
        <v>2</v>
      </c>
      <c r="G125" t="inlineStr">
        <is>
          <t>Tech D</t>
        </is>
      </c>
      <c r="H125">
        <f>INDEX(Limits!$B$2:$B$5,MATCH(E125,Limits!$A$2:$A$5,0))</f>
        <v/>
      </c>
      <c r="I125">
        <f>INDEX(Limits!$C$2:$C$5,MATCH(E125,Limits!$A$2:$A$5,0))</f>
        <v/>
      </c>
      <c r="J125">
        <f>IF(F125&gt;=I125,"Action",IF(F125&gt;=H125,"Alert","Pass"))</f>
        <v/>
      </c>
      <c r="K125" s="4">
        <f>DATE(YEAR(B125),MONTH(B125),1)</f>
        <v/>
      </c>
    </row>
    <row r="126">
      <c r="A126" t="inlineStr">
        <is>
          <t>EM000125</t>
        </is>
      </c>
      <c r="B126" s="7" t="n">
        <v>46035</v>
      </c>
      <c r="C126" t="inlineStr">
        <is>
          <t>CR-201</t>
        </is>
      </c>
      <c r="D126" t="inlineStr">
        <is>
          <t>ISO 8</t>
        </is>
      </c>
      <c r="E126" t="inlineStr">
        <is>
          <t>Compressed air</t>
        </is>
      </c>
      <c r="F126" t="n">
        <v>1</v>
      </c>
      <c r="G126" t="inlineStr">
        <is>
          <t>Tech B</t>
        </is>
      </c>
      <c r="H126">
        <f>INDEX(Limits!$B$2:$B$5,MATCH(E126,Limits!$A$2:$A$5,0))</f>
        <v/>
      </c>
      <c r="I126">
        <f>INDEX(Limits!$C$2:$C$5,MATCH(E126,Limits!$A$2:$A$5,0))</f>
        <v/>
      </c>
      <c r="J126">
        <f>IF(F126&gt;=I126,"Action",IF(F126&gt;=H126,"Alert","Pass"))</f>
        <v/>
      </c>
      <c r="K126" s="4">
        <f>DATE(YEAR(B126),MONTH(B126),1)</f>
        <v/>
      </c>
    </row>
    <row r="127">
      <c r="A127" t="inlineStr">
        <is>
          <t>EM000126</t>
        </is>
      </c>
      <c r="B127" s="7" t="n">
        <v>46035</v>
      </c>
      <c r="C127" t="inlineStr">
        <is>
          <t>CR-201</t>
        </is>
      </c>
      <c r="D127" t="inlineStr">
        <is>
          <t>ISO 8</t>
        </is>
      </c>
      <c r="E127" t="inlineStr">
        <is>
          <t>Personnel glove</t>
        </is>
      </c>
      <c r="F127" t="n">
        <v>0</v>
      </c>
      <c r="G127" t="inlineStr">
        <is>
          <t>Tech C</t>
        </is>
      </c>
      <c r="H127">
        <f>INDEX(Limits!$B$2:$B$5,MATCH(E127,Limits!$A$2:$A$5,0))</f>
        <v/>
      </c>
      <c r="I127">
        <f>INDEX(Limits!$C$2:$C$5,MATCH(E127,Limits!$A$2:$A$5,0))</f>
        <v/>
      </c>
      <c r="J127">
        <f>IF(F127&gt;=I127,"Action",IF(F127&gt;=H127,"Alert","Pass"))</f>
        <v/>
      </c>
      <c r="K127" s="4">
        <f>DATE(YEAR(B127),MONTH(B127),1)</f>
        <v/>
      </c>
    </row>
    <row r="128">
      <c r="A128" t="inlineStr">
        <is>
          <t>EM000127</t>
        </is>
      </c>
      <c r="B128" s="7" t="n">
        <v>46035</v>
      </c>
      <c r="C128" t="inlineStr">
        <is>
          <t>CR-202</t>
        </is>
      </c>
      <c r="D128" t="inlineStr">
        <is>
          <t>ISO 8</t>
        </is>
      </c>
      <c r="E128" t="inlineStr">
        <is>
          <t>Active air</t>
        </is>
      </c>
      <c r="F128" t="n">
        <v>1</v>
      </c>
      <c r="G128" t="inlineStr">
        <is>
          <t>Tech B</t>
        </is>
      </c>
      <c r="H128">
        <f>INDEX(Limits!$B$2:$B$5,MATCH(E128,Limits!$A$2:$A$5,0))</f>
        <v/>
      </c>
      <c r="I128">
        <f>INDEX(Limits!$C$2:$C$5,MATCH(E128,Limits!$A$2:$A$5,0))</f>
        <v/>
      </c>
      <c r="J128">
        <f>IF(F128&gt;=I128,"Action",IF(F128&gt;=H128,"Alert","Pass"))</f>
        <v/>
      </c>
      <c r="K128" s="4">
        <f>DATE(YEAR(B128),MONTH(B128),1)</f>
        <v/>
      </c>
    </row>
    <row r="129">
      <c r="A129" t="inlineStr">
        <is>
          <t>EM000128</t>
        </is>
      </c>
      <c r="B129" s="7" t="n">
        <v>46035</v>
      </c>
      <c r="C129" t="inlineStr">
        <is>
          <t>CR-202</t>
        </is>
      </c>
      <c r="D129" t="inlineStr">
        <is>
          <t>ISO 8</t>
        </is>
      </c>
      <c r="E129" t="inlineStr">
        <is>
          <t>Surface contact</t>
        </is>
      </c>
      <c r="F129" t="n">
        <v>0</v>
      </c>
      <c r="G129" t="inlineStr">
        <is>
          <t>Tech C</t>
        </is>
      </c>
      <c r="H129">
        <f>INDEX(Limits!$B$2:$B$5,MATCH(E129,Limits!$A$2:$A$5,0))</f>
        <v/>
      </c>
      <c r="I129">
        <f>INDEX(Limits!$C$2:$C$5,MATCH(E129,Limits!$A$2:$A$5,0))</f>
        <v/>
      </c>
      <c r="J129">
        <f>IF(F129&gt;=I129,"Action",IF(F129&gt;=H129,"Alert","Pass"))</f>
        <v/>
      </c>
      <c r="K129" s="4">
        <f>DATE(YEAR(B129),MONTH(B129),1)</f>
        <v/>
      </c>
    </row>
    <row r="130">
      <c r="A130" t="inlineStr">
        <is>
          <t>EM000129</t>
        </is>
      </c>
      <c r="B130" s="7" t="n">
        <v>46035</v>
      </c>
      <c r="C130" t="inlineStr">
        <is>
          <t>CR-202</t>
        </is>
      </c>
      <c r="D130" t="inlineStr">
        <is>
          <t>ISO 8</t>
        </is>
      </c>
      <c r="E130" t="inlineStr">
        <is>
          <t>Compressed air</t>
        </is>
      </c>
      <c r="F130" t="n">
        <v>0</v>
      </c>
      <c r="G130" t="inlineStr">
        <is>
          <t>Tech B</t>
        </is>
      </c>
      <c r="H130">
        <f>INDEX(Limits!$B$2:$B$5,MATCH(E130,Limits!$A$2:$A$5,0))</f>
        <v/>
      </c>
      <c r="I130">
        <f>INDEX(Limits!$C$2:$C$5,MATCH(E130,Limits!$A$2:$A$5,0))</f>
        <v/>
      </c>
      <c r="J130">
        <f>IF(F130&gt;=I130,"Action",IF(F130&gt;=H130,"Alert","Pass"))</f>
        <v/>
      </c>
      <c r="K130" s="4">
        <f>DATE(YEAR(B130),MONTH(B130),1)</f>
        <v/>
      </c>
    </row>
    <row r="131">
      <c r="A131" t="inlineStr">
        <is>
          <t>EM000130</t>
        </is>
      </c>
      <c r="B131" s="7" t="n">
        <v>46035</v>
      </c>
      <c r="C131" t="inlineStr">
        <is>
          <t>CR-202</t>
        </is>
      </c>
      <c r="D131" t="inlineStr">
        <is>
          <t>ISO 8</t>
        </is>
      </c>
      <c r="E131" t="inlineStr">
        <is>
          <t>Personnel glove</t>
        </is>
      </c>
      <c r="F131" t="n">
        <v>0</v>
      </c>
      <c r="G131" t="inlineStr">
        <is>
          <t>Tech A</t>
        </is>
      </c>
      <c r="H131">
        <f>INDEX(Limits!$B$2:$B$5,MATCH(E131,Limits!$A$2:$A$5,0))</f>
        <v/>
      </c>
      <c r="I131">
        <f>INDEX(Limits!$C$2:$C$5,MATCH(E131,Limits!$A$2:$A$5,0))</f>
        <v/>
      </c>
      <c r="J131">
        <f>IF(F131&gt;=I131,"Action",IF(F131&gt;=H131,"Alert","Pass"))</f>
        <v/>
      </c>
      <c r="K131" s="4">
        <f>DATE(YEAR(B131),MONTH(B131),1)</f>
        <v/>
      </c>
    </row>
    <row r="132">
      <c r="A132" t="inlineStr">
        <is>
          <t>EM000131</t>
        </is>
      </c>
      <c r="B132" s="7" t="n">
        <v>46035</v>
      </c>
      <c r="C132" t="inlineStr">
        <is>
          <t>Gowning</t>
        </is>
      </c>
      <c r="D132" t="inlineStr">
        <is>
          <t>ISO 8</t>
        </is>
      </c>
      <c r="E132" t="inlineStr">
        <is>
          <t>Active air</t>
        </is>
      </c>
      <c r="F132" t="n">
        <v>0</v>
      </c>
      <c r="G132" t="inlineStr">
        <is>
          <t>Tech C</t>
        </is>
      </c>
      <c r="H132">
        <f>INDEX(Limits!$B$2:$B$5,MATCH(E132,Limits!$A$2:$A$5,0))</f>
        <v/>
      </c>
      <c r="I132">
        <f>INDEX(Limits!$C$2:$C$5,MATCH(E132,Limits!$A$2:$A$5,0))</f>
        <v/>
      </c>
      <c r="J132">
        <f>IF(F132&gt;=I132,"Action",IF(F132&gt;=H132,"Alert","Pass"))</f>
        <v/>
      </c>
      <c r="K132" s="4">
        <f>DATE(YEAR(B132),MONTH(B132),1)</f>
        <v/>
      </c>
    </row>
    <row r="133">
      <c r="A133" t="inlineStr">
        <is>
          <t>EM000132</t>
        </is>
      </c>
      <c r="B133" s="7" t="n">
        <v>46035</v>
      </c>
      <c r="C133" t="inlineStr">
        <is>
          <t>Gowning</t>
        </is>
      </c>
      <c r="D133" t="inlineStr">
        <is>
          <t>ISO 8</t>
        </is>
      </c>
      <c r="E133" t="inlineStr">
        <is>
          <t>Surface contact</t>
        </is>
      </c>
      <c r="F133" t="n">
        <v>1</v>
      </c>
      <c r="G133" t="inlineStr">
        <is>
          <t>Tech C</t>
        </is>
      </c>
      <c r="H133">
        <f>INDEX(Limits!$B$2:$B$5,MATCH(E133,Limits!$A$2:$A$5,0))</f>
        <v/>
      </c>
      <c r="I133">
        <f>INDEX(Limits!$C$2:$C$5,MATCH(E133,Limits!$A$2:$A$5,0))</f>
        <v/>
      </c>
      <c r="J133">
        <f>IF(F133&gt;=I133,"Action",IF(F133&gt;=H133,"Alert","Pass"))</f>
        <v/>
      </c>
      <c r="K133" s="4">
        <f>DATE(YEAR(B133),MONTH(B133),1)</f>
        <v/>
      </c>
    </row>
    <row r="134">
      <c r="A134" t="inlineStr">
        <is>
          <t>EM000133</t>
        </is>
      </c>
      <c r="B134" s="7" t="n">
        <v>46035</v>
      </c>
      <c r="C134" t="inlineStr">
        <is>
          <t>Gowning</t>
        </is>
      </c>
      <c r="D134" t="inlineStr">
        <is>
          <t>ISO 8</t>
        </is>
      </c>
      <c r="E134" t="inlineStr">
        <is>
          <t>Personnel glove</t>
        </is>
      </c>
      <c r="F134" t="n">
        <v>0</v>
      </c>
      <c r="G134" t="inlineStr">
        <is>
          <t>Tech D</t>
        </is>
      </c>
      <c r="H134">
        <f>INDEX(Limits!$B$2:$B$5,MATCH(E134,Limits!$A$2:$A$5,0))</f>
        <v/>
      </c>
      <c r="I134">
        <f>INDEX(Limits!$C$2:$C$5,MATCH(E134,Limits!$A$2:$A$5,0))</f>
        <v/>
      </c>
      <c r="J134">
        <f>IF(F134&gt;=I134,"Action",IF(F134&gt;=H134,"Alert","Pass"))</f>
        <v/>
      </c>
      <c r="K134" s="4">
        <f>DATE(YEAR(B134),MONTH(B134),1)</f>
        <v/>
      </c>
    </row>
    <row r="135">
      <c r="A135" t="inlineStr">
        <is>
          <t>EM000134</t>
        </is>
      </c>
      <c r="B135" s="7" t="n">
        <v>46036</v>
      </c>
      <c r="C135" t="inlineStr">
        <is>
          <t>CR-101</t>
        </is>
      </c>
      <c r="D135" t="inlineStr">
        <is>
          <t>ISO 7</t>
        </is>
      </c>
      <c r="E135" t="inlineStr">
        <is>
          <t>Active air</t>
        </is>
      </c>
      <c r="F135" t="n">
        <v>2</v>
      </c>
      <c r="G135" t="inlineStr">
        <is>
          <t>Tech D</t>
        </is>
      </c>
      <c r="H135">
        <f>INDEX(Limits!$B$2:$B$5,MATCH(E135,Limits!$A$2:$A$5,0))</f>
        <v/>
      </c>
      <c r="I135">
        <f>INDEX(Limits!$C$2:$C$5,MATCH(E135,Limits!$A$2:$A$5,0))</f>
        <v/>
      </c>
      <c r="J135">
        <f>IF(F135&gt;=I135,"Action",IF(F135&gt;=H135,"Alert","Pass"))</f>
        <v/>
      </c>
      <c r="K135" s="4">
        <f>DATE(YEAR(B135),MONTH(B135),1)</f>
        <v/>
      </c>
    </row>
    <row r="136">
      <c r="A136" t="inlineStr">
        <is>
          <t>EM000135</t>
        </is>
      </c>
      <c r="B136" s="7" t="n">
        <v>46036</v>
      </c>
      <c r="C136" t="inlineStr">
        <is>
          <t>CR-101</t>
        </is>
      </c>
      <c r="D136" t="inlineStr">
        <is>
          <t>ISO 7</t>
        </is>
      </c>
      <c r="E136" t="inlineStr">
        <is>
          <t>Surface contact</t>
        </is>
      </c>
      <c r="F136" t="n">
        <v>0</v>
      </c>
      <c r="G136" t="inlineStr">
        <is>
          <t>Tech D</t>
        </is>
      </c>
      <c r="H136">
        <f>INDEX(Limits!$B$2:$B$5,MATCH(E136,Limits!$A$2:$A$5,0))</f>
        <v/>
      </c>
      <c r="I136">
        <f>INDEX(Limits!$C$2:$C$5,MATCH(E136,Limits!$A$2:$A$5,0))</f>
        <v/>
      </c>
      <c r="J136">
        <f>IF(F136&gt;=I136,"Action",IF(F136&gt;=H136,"Alert","Pass"))</f>
        <v/>
      </c>
      <c r="K136" s="4">
        <f>DATE(YEAR(B136),MONTH(B136),1)</f>
        <v/>
      </c>
    </row>
    <row r="137">
      <c r="A137" t="inlineStr">
        <is>
          <t>EM000136</t>
        </is>
      </c>
      <c r="B137" s="7" t="n">
        <v>46036</v>
      </c>
      <c r="C137" t="inlineStr">
        <is>
          <t>CR-101</t>
        </is>
      </c>
      <c r="D137" t="inlineStr">
        <is>
          <t>ISO 7</t>
        </is>
      </c>
      <c r="E137" t="inlineStr">
        <is>
          <t>Compressed air</t>
        </is>
      </c>
      <c r="F137" t="n">
        <v>0</v>
      </c>
      <c r="G137" t="inlineStr">
        <is>
          <t>Tech B</t>
        </is>
      </c>
      <c r="H137">
        <f>INDEX(Limits!$B$2:$B$5,MATCH(E137,Limits!$A$2:$A$5,0))</f>
        <v/>
      </c>
      <c r="I137">
        <f>INDEX(Limits!$C$2:$C$5,MATCH(E137,Limits!$A$2:$A$5,0))</f>
        <v/>
      </c>
      <c r="J137">
        <f>IF(F137&gt;=I137,"Action",IF(F137&gt;=H137,"Alert","Pass"))</f>
        <v/>
      </c>
      <c r="K137" s="4">
        <f>DATE(YEAR(B137),MONTH(B137),1)</f>
        <v/>
      </c>
    </row>
    <row r="138">
      <c r="A138" t="inlineStr">
        <is>
          <t>EM000137</t>
        </is>
      </c>
      <c r="B138" s="7" t="n">
        <v>46036</v>
      </c>
      <c r="C138" t="inlineStr">
        <is>
          <t>CR-101</t>
        </is>
      </c>
      <c r="D138" t="inlineStr">
        <is>
          <t>ISO 7</t>
        </is>
      </c>
      <c r="E138" t="inlineStr">
        <is>
          <t>Personnel glove</t>
        </is>
      </c>
      <c r="F138" t="n">
        <v>0</v>
      </c>
      <c r="G138" t="inlineStr">
        <is>
          <t>Tech B</t>
        </is>
      </c>
      <c r="H138">
        <f>INDEX(Limits!$B$2:$B$5,MATCH(E138,Limits!$A$2:$A$5,0))</f>
        <v/>
      </c>
      <c r="I138">
        <f>INDEX(Limits!$C$2:$C$5,MATCH(E138,Limits!$A$2:$A$5,0))</f>
        <v/>
      </c>
      <c r="J138">
        <f>IF(F138&gt;=I138,"Action",IF(F138&gt;=H138,"Alert","Pass"))</f>
        <v/>
      </c>
      <c r="K138" s="4">
        <f>DATE(YEAR(B138),MONTH(B138),1)</f>
        <v/>
      </c>
    </row>
    <row r="139">
      <c r="A139" t="inlineStr">
        <is>
          <t>EM000138</t>
        </is>
      </c>
      <c r="B139" s="7" t="n">
        <v>46036</v>
      </c>
      <c r="C139" t="inlineStr">
        <is>
          <t>CR-102</t>
        </is>
      </c>
      <c r="D139" t="inlineStr">
        <is>
          <t>ISO 7</t>
        </is>
      </c>
      <c r="E139" t="inlineStr">
        <is>
          <t>Active air</t>
        </is>
      </c>
      <c r="F139" t="n">
        <v>0</v>
      </c>
      <c r="G139" t="inlineStr">
        <is>
          <t>Tech B</t>
        </is>
      </c>
      <c r="H139">
        <f>INDEX(Limits!$B$2:$B$5,MATCH(E139,Limits!$A$2:$A$5,0))</f>
        <v/>
      </c>
      <c r="I139">
        <f>INDEX(Limits!$C$2:$C$5,MATCH(E139,Limits!$A$2:$A$5,0))</f>
        <v/>
      </c>
      <c r="J139">
        <f>IF(F139&gt;=I139,"Action",IF(F139&gt;=H139,"Alert","Pass"))</f>
        <v/>
      </c>
      <c r="K139" s="4">
        <f>DATE(YEAR(B139),MONTH(B139),1)</f>
        <v/>
      </c>
    </row>
    <row r="140">
      <c r="A140" t="inlineStr">
        <is>
          <t>EM000139</t>
        </is>
      </c>
      <c r="B140" s="7" t="n">
        <v>46036</v>
      </c>
      <c r="C140" t="inlineStr">
        <is>
          <t>CR-102</t>
        </is>
      </c>
      <c r="D140" t="inlineStr">
        <is>
          <t>ISO 7</t>
        </is>
      </c>
      <c r="E140" t="inlineStr">
        <is>
          <t>Surface contact</t>
        </is>
      </c>
      <c r="F140" t="n">
        <v>0</v>
      </c>
      <c r="G140" t="inlineStr">
        <is>
          <t>Tech B</t>
        </is>
      </c>
      <c r="H140">
        <f>INDEX(Limits!$B$2:$B$5,MATCH(E140,Limits!$A$2:$A$5,0))</f>
        <v/>
      </c>
      <c r="I140">
        <f>INDEX(Limits!$C$2:$C$5,MATCH(E140,Limits!$A$2:$A$5,0))</f>
        <v/>
      </c>
      <c r="J140">
        <f>IF(F140&gt;=I140,"Action",IF(F140&gt;=H140,"Alert","Pass"))</f>
        <v/>
      </c>
      <c r="K140" s="4">
        <f>DATE(YEAR(B140),MONTH(B140),1)</f>
        <v/>
      </c>
    </row>
    <row r="141">
      <c r="A141" t="inlineStr">
        <is>
          <t>EM000140</t>
        </is>
      </c>
      <c r="B141" s="7" t="n">
        <v>46036</v>
      </c>
      <c r="C141" t="inlineStr">
        <is>
          <t>CR-102</t>
        </is>
      </c>
      <c r="D141" t="inlineStr">
        <is>
          <t>ISO 7</t>
        </is>
      </c>
      <c r="E141" t="inlineStr">
        <is>
          <t>Compressed air</t>
        </is>
      </c>
      <c r="F141" t="n">
        <v>0</v>
      </c>
      <c r="G141" t="inlineStr">
        <is>
          <t>Tech B</t>
        </is>
      </c>
      <c r="H141">
        <f>INDEX(Limits!$B$2:$B$5,MATCH(E141,Limits!$A$2:$A$5,0))</f>
        <v/>
      </c>
      <c r="I141">
        <f>INDEX(Limits!$C$2:$C$5,MATCH(E141,Limits!$A$2:$A$5,0))</f>
        <v/>
      </c>
      <c r="J141">
        <f>IF(F141&gt;=I141,"Action",IF(F141&gt;=H141,"Alert","Pass"))</f>
        <v/>
      </c>
      <c r="K141" s="4">
        <f>DATE(YEAR(B141),MONTH(B141),1)</f>
        <v/>
      </c>
    </row>
    <row r="142">
      <c r="A142" t="inlineStr">
        <is>
          <t>EM000141</t>
        </is>
      </c>
      <c r="B142" s="7" t="n">
        <v>46036</v>
      </c>
      <c r="C142" t="inlineStr">
        <is>
          <t>CR-102</t>
        </is>
      </c>
      <c r="D142" t="inlineStr">
        <is>
          <t>ISO 7</t>
        </is>
      </c>
      <c r="E142" t="inlineStr">
        <is>
          <t>Personnel glove</t>
        </is>
      </c>
      <c r="F142" t="n">
        <v>0</v>
      </c>
      <c r="G142" t="inlineStr">
        <is>
          <t>Tech B</t>
        </is>
      </c>
      <c r="H142">
        <f>INDEX(Limits!$B$2:$B$5,MATCH(E142,Limits!$A$2:$A$5,0))</f>
        <v/>
      </c>
      <c r="I142">
        <f>INDEX(Limits!$C$2:$C$5,MATCH(E142,Limits!$A$2:$A$5,0))</f>
        <v/>
      </c>
      <c r="J142">
        <f>IF(F142&gt;=I142,"Action",IF(F142&gt;=H142,"Alert","Pass"))</f>
        <v/>
      </c>
      <c r="K142" s="4">
        <f>DATE(YEAR(B142),MONTH(B142),1)</f>
        <v/>
      </c>
    </row>
    <row r="143">
      <c r="A143" t="inlineStr">
        <is>
          <t>EM000142</t>
        </is>
      </c>
      <c r="B143" s="7" t="n">
        <v>46036</v>
      </c>
      <c r="C143" t="inlineStr">
        <is>
          <t>CR-201</t>
        </is>
      </c>
      <c r="D143" t="inlineStr">
        <is>
          <t>ISO 8</t>
        </is>
      </c>
      <c r="E143" t="inlineStr">
        <is>
          <t>Active air</t>
        </is>
      </c>
      <c r="F143" t="n">
        <v>2</v>
      </c>
      <c r="G143" t="inlineStr">
        <is>
          <t>Tech B</t>
        </is>
      </c>
      <c r="H143">
        <f>INDEX(Limits!$B$2:$B$5,MATCH(E143,Limits!$A$2:$A$5,0))</f>
        <v/>
      </c>
      <c r="I143">
        <f>INDEX(Limits!$C$2:$C$5,MATCH(E143,Limits!$A$2:$A$5,0))</f>
        <v/>
      </c>
      <c r="J143">
        <f>IF(F143&gt;=I143,"Action",IF(F143&gt;=H143,"Alert","Pass"))</f>
        <v/>
      </c>
      <c r="K143" s="4">
        <f>DATE(YEAR(B143),MONTH(B143),1)</f>
        <v/>
      </c>
    </row>
    <row r="144">
      <c r="A144" t="inlineStr">
        <is>
          <t>EM000143</t>
        </is>
      </c>
      <c r="B144" s="7" t="n">
        <v>46036</v>
      </c>
      <c r="C144" t="inlineStr">
        <is>
          <t>CR-201</t>
        </is>
      </c>
      <c r="D144" t="inlineStr">
        <is>
          <t>ISO 8</t>
        </is>
      </c>
      <c r="E144" t="inlineStr">
        <is>
          <t>Surface contact</t>
        </is>
      </c>
      <c r="F144" t="n">
        <v>0</v>
      </c>
      <c r="G144" t="inlineStr">
        <is>
          <t>Tech A</t>
        </is>
      </c>
      <c r="H144">
        <f>INDEX(Limits!$B$2:$B$5,MATCH(E144,Limits!$A$2:$A$5,0))</f>
        <v/>
      </c>
      <c r="I144">
        <f>INDEX(Limits!$C$2:$C$5,MATCH(E144,Limits!$A$2:$A$5,0))</f>
        <v/>
      </c>
      <c r="J144">
        <f>IF(F144&gt;=I144,"Action",IF(F144&gt;=H144,"Alert","Pass"))</f>
        <v/>
      </c>
      <c r="K144" s="4">
        <f>DATE(YEAR(B144),MONTH(B144),1)</f>
        <v/>
      </c>
    </row>
    <row r="145">
      <c r="A145" t="inlineStr">
        <is>
          <t>EM000144</t>
        </is>
      </c>
      <c r="B145" s="7" t="n">
        <v>46036</v>
      </c>
      <c r="C145" t="inlineStr">
        <is>
          <t>CR-201</t>
        </is>
      </c>
      <c r="D145" t="inlineStr">
        <is>
          <t>ISO 8</t>
        </is>
      </c>
      <c r="E145" t="inlineStr">
        <is>
          <t>Compressed air</t>
        </is>
      </c>
      <c r="F145" t="n">
        <v>0</v>
      </c>
      <c r="G145" t="inlineStr">
        <is>
          <t>Tech D</t>
        </is>
      </c>
      <c r="H145">
        <f>INDEX(Limits!$B$2:$B$5,MATCH(E145,Limits!$A$2:$A$5,0))</f>
        <v/>
      </c>
      <c r="I145">
        <f>INDEX(Limits!$C$2:$C$5,MATCH(E145,Limits!$A$2:$A$5,0))</f>
        <v/>
      </c>
      <c r="J145">
        <f>IF(F145&gt;=I145,"Action",IF(F145&gt;=H145,"Alert","Pass"))</f>
        <v/>
      </c>
      <c r="K145" s="4">
        <f>DATE(YEAR(B145),MONTH(B145),1)</f>
        <v/>
      </c>
    </row>
    <row r="146">
      <c r="A146" t="inlineStr">
        <is>
          <t>EM000145</t>
        </is>
      </c>
      <c r="B146" s="7" t="n">
        <v>46036</v>
      </c>
      <c r="C146" t="inlineStr">
        <is>
          <t>CR-201</t>
        </is>
      </c>
      <c r="D146" t="inlineStr">
        <is>
          <t>ISO 8</t>
        </is>
      </c>
      <c r="E146" t="inlineStr">
        <is>
          <t>Personnel glove</t>
        </is>
      </c>
      <c r="F146" t="n">
        <v>0</v>
      </c>
      <c r="G146" t="inlineStr">
        <is>
          <t>Tech D</t>
        </is>
      </c>
      <c r="H146">
        <f>INDEX(Limits!$B$2:$B$5,MATCH(E146,Limits!$A$2:$A$5,0))</f>
        <v/>
      </c>
      <c r="I146">
        <f>INDEX(Limits!$C$2:$C$5,MATCH(E146,Limits!$A$2:$A$5,0))</f>
        <v/>
      </c>
      <c r="J146">
        <f>IF(F146&gt;=I146,"Action",IF(F146&gt;=H146,"Alert","Pass"))</f>
        <v/>
      </c>
      <c r="K146" s="4">
        <f>DATE(YEAR(B146),MONTH(B146),1)</f>
        <v/>
      </c>
    </row>
    <row r="147">
      <c r="A147" t="inlineStr">
        <is>
          <t>EM000146</t>
        </is>
      </c>
      <c r="B147" s="7" t="n">
        <v>46036</v>
      </c>
      <c r="C147" t="inlineStr">
        <is>
          <t>CR-202</t>
        </is>
      </c>
      <c r="D147" t="inlineStr">
        <is>
          <t>ISO 8</t>
        </is>
      </c>
      <c r="E147" t="inlineStr">
        <is>
          <t>Active air</t>
        </is>
      </c>
      <c r="F147" t="n">
        <v>5</v>
      </c>
      <c r="G147" t="inlineStr">
        <is>
          <t>Tech C</t>
        </is>
      </c>
      <c r="H147">
        <f>INDEX(Limits!$B$2:$B$5,MATCH(E147,Limits!$A$2:$A$5,0))</f>
        <v/>
      </c>
      <c r="I147">
        <f>INDEX(Limits!$C$2:$C$5,MATCH(E147,Limits!$A$2:$A$5,0))</f>
        <v/>
      </c>
      <c r="J147">
        <f>IF(F147&gt;=I147,"Action",IF(F147&gt;=H147,"Alert","Pass"))</f>
        <v/>
      </c>
      <c r="K147" s="4">
        <f>DATE(YEAR(B147),MONTH(B147),1)</f>
        <v/>
      </c>
    </row>
    <row r="148">
      <c r="A148" t="inlineStr">
        <is>
          <t>EM000147</t>
        </is>
      </c>
      <c r="B148" s="7" t="n">
        <v>46036</v>
      </c>
      <c r="C148" t="inlineStr">
        <is>
          <t>CR-202</t>
        </is>
      </c>
      <c r="D148" t="inlineStr">
        <is>
          <t>ISO 8</t>
        </is>
      </c>
      <c r="E148" t="inlineStr">
        <is>
          <t>Surface contact</t>
        </is>
      </c>
      <c r="F148" t="n">
        <v>0</v>
      </c>
      <c r="G148" t="inlineStr">
        <is>
          <t>Tech C</t>
        </is>
      </c>
      <c r="H148">
        <f>INDEX(Limits!$B$2:$B$5,MATCH(E148,Limits!$A$2:$A$5,0))</f>
        <v/>
      </c>
      <c r="I148">
        <f>INDEX(Limits!$C$2:$C$5,MATCH(E148,Limits!$A$2:$A$5,0))</f>
        <v/>
      </c>
      <c r="J148">
        <f>IF(F148&gt;=I148,"Action",IF(F148&gt;=H148,"Alert","Pass"))</f>
        <v/>
      </c>
      <c r="K148" s="4">
        <f>DATE(YEAR(B148),MONTH(B148),1)</f>
        <v/>
      </c>
    </row>
    <row r="149">
      <c r="A149" t="inlineStr">
        <is>
          <t>EM000148</t>
        </is>
      </c>
      <c r="B149" s="7" t="n">
        <v>46036</v>
      </c>
      <c r="C149" t="inlineStr">
        <is>
          <t>CR-202</t>
        </is>
      </c>
      <c r="D149" t="inlineStr">
        <is>
          <t>ISO 8</t>
        </is>
      </c>
      <c r="E149" t="inlineStr">
        <is>
          <t>Compressed air</t>
        </is>
      </c>
      <c r="F149" t="n">
        <v>0</v>
      </c>
      <c r="G149" t="inlineStr">
        <is>
          <t>Tech C</t>
        </is>
      </c>
      <c r="H149">
        <f>INDEX(Limits!$B$2:$B$5,MATCH(E149,Limits!$A$2:$A$5,0))</f>
        <v/>
      </c>
      <c r="I149">
        <f>INDEX(Limits!$C$2:$C$5,MATCH(E149,Limits!$A$2:$A$5,0))</f>
        <v/>
      </c>
      <c r="J149">
        <f>IF(F149&gt;=I149,"Action",IF(F149&gt;=H149,"Alert","Pass"))</f>
        <v/>
      </c>
      <c r="K149" s="4">
        <f>DATE(YEAR(B149),MONTH(B149),1)</f>
        <v/>
      </c>
    </row>
    <row r="150">
      <c r="A150" t="inlineStr">
        <is>
          <t>EM000149</t>
        </is>
      </c>
      <c r="B150" s="7" t="n">
        <v>46036</v>
      </c>
      <c r="C150" t="inlineStr">
        <is>
          <t>CR-202</t>
        </is>
      </c>
      <c r="D150" t="inlineStr">
        <is>
          <t>ISO 8</t>
        </is>
      </c>
      <c r="E150" t="inlineStr">
        <is>
          <t>Personnel glove</t>
        </is>
      </c>
      <c r="F150" t="n">
        <v>0</v>
      </c>
      <c r="G150" t="inlineStr">
        <is>
          <t>Tech C</t>
        </is>
      </c>
      <c r="H150">
        <f>INDEX(Limits!$B$2:$B$5,MATCH(E150,Limits!$A$2:$A$5,0))</f>
        <v/>
      </c>
      <c r="I150">
        <f>INDEX(Limits!$C$2:$C$5,MATCH(E150,Limits!$A$2:$A$5,0))</f>
        <v/>
      </c>
      <c r="J150">
        <f>IF(F150&gt;=I150,"Action",IF(F150&gt;=H150,"Alert","Pass"))</f>
        <v/>
      </c>
      <c r="K150" s="4">
        <f>DATE(YEAR(B150),MONTH(B150),1)</f>
        <v/>
      </c>
    </row>
    <row r="151">
      <c r="A151" t="inlineStr">
        <is>
          <t>EM000150</t>
        </is>
      </c>
      <c r="B151" s="7" t="n">
        <v>46036</v>
      </c>
      <c r="C151" t="inlineStr">
        <is>
          <t>Gowning</t>
        </is>
      </c>
      <c r="D151" t="inlineStr">
        <is>
          <t>ISO 8</t>
        </is>
      </c>
      <c r="E151" t="inlineStr">
        <is>
          <t>Active air</t>
        </is>
      </c>
      <c r="F151" t="n">
        <v>0</v>
      </c>
      <c r="G151" t="inlineStr">
        <is>
          <t>Tech C</t>
        </is>
      </c>
      <c r="H151">
        <f>INDEX(Limits!$B$2:$B$5,MATCH(E151,Limits!$A$2:$A$5,0))</f>
        <v/>
      </c>
      <c r="I151">
        <f>INDEX(Limits!$C$2:$C$5,MATCH(E151,Limits!$A$2:$A$5,0))</f>
        <v/>
      </c>
      <c r="J151">
        <f>IF(F151&gt;=I151,"Action",IF(F151&gt;=H151,"Alert","Pass"))</f>
        <v/>
      </c>
      <c r="K151" s="4">
        <f>DATE(YEAR(B151),MONTH(B151),1)</f>
        <v/>
      </c>
    </row>
    <row r="152">
      <c r="A152" t="inlineStr">
        <is>
          <t>EM000151</t>
        </is>
      </c>
      <c r="B152" s="7" t="n">
        <v>46036</v>
      </c>
      <c r="C152" t="inlineStr">
        <is>
          <t>Gowning</t>
        </is>
      </c>
      <c r="D152" t="inlineStr">
        <is>
          <t>ISO 8</t>
        </is>
      </c>
      <c r="E152" t="inlineStr">
        <is>
          <t>Surface contact</t>
        </is>
      </c>
      <c r="F152" t="n">
        <v>0</v>
      </c>
      <c r="G152" t="inlineStr">
        <is>
          <t>Tech B</t>
        </is>
      </c>
      <c r="H152">
        <f>INDEX(Limits!$B$2:$B$5,MATCH(E152,Limits!$A$2:$A$5,0))</f>
        <v/>
      </c>
      <c r="I152">
        <f>INDEX(Limits!$C$2:$C$5,MATCH(E152,Limits!$A$2:$A$5,0))</f>
        <v/>
      </c>
      <c r="J152">
        <f>IF(F152&gt;=I152,"Action",IF(F152&gt;=H152,"Alert","Pass"))</f>
        <v/>
      </c>
      <c r="K152" s="4">
        <f>DATE(YEAR(B152),MONTH(B152),1)</f>
        <v/>
      </c>
    </row>
    <row r="153">
      <c r="A153" t="inlineStr">
        <is>
          <t>EM000152</t>
        </is>
      </c>
      <c r="B153" s="7" t="n">
        <v>46036</v>
      </c>
      <c r="C153" t="inlineStr">
        <is>
          <t>Gowning</t>
        </is>
      </c>
      <c r="D153" t="inlineStr">
        <is>
          <t>ISO 8</t>
        </is>
      </c>
      <c r="E153" t="inlineStr">
        <is>
          <t>Personnel glove</t>
        </is>
      </c>
      <c r="F153" t="n">
        <v>0</v>
      </c>
      <c r="G153" t="inlineStr">
        <is>
          <t>Tech B</t>
        </is>
      </c>
      <c r="H153">
        <f>INDEX(Limits!$B$2:$B$5,MATCH(E153,Limits!$A$2:$A$5,0))</f>
        <v/>
      </c>
      <c r="I153">
        <f>INDEX(Limits!$C$2:$C$5,MATCH(E153,Limits!$A$2:$A$5,0))</f>
        <v/>
      </c>
      <c r="J153">
        <f>IF(F153&gt;=I153,"Action",IF(F153&gt;=H153,"Alert","Pass"))</f>
        <v/>
      </c>
      <c r="K153" s="4">
        <f>DATE(YEAR(B153),MONTH(B153),1)</f>
        <v/>
      </c>
    </row>
    <row r="154">
      <c r="A154" t="inlineStr">
        <is>
          <t>EM000153</t>
        </is>
      </c>
      <c r="B154" s="7" t="n">
        <v>46037</v>
      </c>
      <c r="C154" t="inlineStr">
        <is>
          <t>CR-101</t>
        </is>
      </c>
      <c r="D154" t="inlineStr">
        <is>
          <t>ISO 7</t>
        </is>
      </c>
      <c r="E154" t="inlineStr">
        <is>
          <t>Active air</t>
        </is>
      </c>
      <c r="F154" t="n">
        <v>0</v>
      </c>
      <c r="G154" t="inlineStr">
        <is>
          <t>Tech D</t>
        </is>
      </c>
      <c r="H154">
        <f>INDEX(Limits!$B$2:$B$5,MATCH(E154,Limits!$A$2:$A$5,0))</f>
        <v/>
      </c>
      <c r="I154">
        <f>INDEX(Limits!$C$2:$C$5,MATCH(E154,Limits!$A$2:$A$5,0))</f>
        <v/>
      </c>
      <c r="J154">
        <f>IF(F154&gt;=I154,"Action",IF(F154&gt;=H154,"Alert","Pass"))</f>
        <v/>
      </c>
      <c r="K154" s="4">
        <f>DATE(YEAR(B154),MONTH(B154),1)</f>
        <v/>
      </c>
    </row>
    <row r="155">
      <c r="A155" t="inlineStr">
        <is>
          <t>EM000154</t>
        </is>
      </c>
      <c r="B155" s="7" t="n">
        <v>46037</v>
      </c>
      <c r="C155" t="inlineStr">
        <is>
          <t>CR-101</t>
        </is>
      </c>
      <c r="D155" t="inlineStr">
        <is>
          <t>ISO 7</t>
        </is>
      </c>
      <c r="E155" t="inlineStr">
        <is>
          <t>Surface contact</t>
        </is>
      </c>
      <c r="F155" t="n">
        <v>0</v>
      </c>
      <c r="G155" t="inlineStr">
        <is>
          <t>Tech C</t>
        </is>
      </c>
      <c r="H155">
        <f>INDEX(Limits!$B$2:$B$5,MATCH(E155,Limits!$A$2:$A$5,0))</f>
        <v/>
      </c>
      <c r="I155">
        <f>INDEX(Limits!$C$2:$C$5,MATCH(E155,Limits!$A$2:$A$5,0))</f>
        <v/>
      </c>
      <c r="J155">
        <f>IF(F155&gt;=I155,"Action",IF(F155&gt;=H155,"Alert","Pass"))</f>
        <v/>
      </c>
      <c r="K155" s="4">
        <f>DATE(YEAR(B155),MONTH(B155),1)</f>
        <v/>
      </c>
    </row>
    <row r="156">
      <c r="A156" t="inlineStr">
        <is>
          <t>EM000155</t>
        </is>
      </c>
      <c r="B156" s="7" t="n">
        <v>46037</v>
      </c>
      <c r="C156" t="inlineStr">
        <is>
          <t>CR-101</t>
        </is>
      </c>
      <c r="D156" t="inlineStr">
        <is>
          <t>ISO 7</t>
        </is>
      </c>
      <c r="E156" t="inlineStr">
        <is>
          <t>Compressed air</t>
        </is>
      </c>
      <c r="F156" t="n">
        <v>0</v>
      </c>
      <c r="G156" t="inlineStr">
        <is>
          <t>Tech A</t>
        </is>
      </c>
      <c r="H156">
        <f>INDEX(Limits!$B$2:$B$5,MATCH(E156,Limits!$A$2:$A$5,0))</f>
        <v/>
      </c>
      <c r="I156">
        <f>INDEX(Limits!$C$2:$C$5,MATCH(E156,Limits!$A$2:$A$5,0))</f>
        <v/>
      </c>
      <c r="J156">
        <f>IF(F156&gt;=I156,"Action",IF(F156&gt;=H156,"Alert","Pass"))</f>
        <v/>
      </c>
      <c r="K156" s="4">
        <f>DATE(YEAR(B156),MONTH(B156),1)</f>
        <v/>
      </c>
    </row>
    <row r="157">
      <c r="A157" t="inlineStr">
        <is>
          <t>EM000156</t>
        </is>
      </c>
      <c r="B157" s="7" t="n">
        <v>46037</v>
      </c>
      <c r="C157" t="inlineStr">
        <is>
          <t>CR-101</t>
        </is>
      </c>
      <c r="D157" t="inlineStr">
        <is>
          <t>ISO 7</t>
        </is>
      </c>
      <c r="E157" t="inlineStr">
        <is>
          <t>Personnel glove</t>
        </is>
      </c>
      <c r="F157" t="n">
        <v>0</v>
      </c>
      <c r="G157" t="inlineStr">
        <is>
          <t>Tech D</t>
        </is>
      </c>
      <c r="H157">
        <f>INDEX(Limits!$B$2:$B$5,MATCH(E157,Limits!$A$2:$A$5,0))</f>
        <v/>
      </c>
      <c r="I157">
        <f>INDEX(Limits!$C$2:$C$5,MATCH(E157,Limits!$A$2:$A$5,0))</f>
        <v/>
      </c>
      <c r="J157">
        <f>IF(F157&gt;=I157,"Action",IF(F157&gt;=H157,"Alert","Pass"))</f>
        <v/>
      </c>
      <c r="K157" s="4">
        <f>DATE(YEAR(B157),MONTH(B157),1)</f>
        <v/>
      </c>
    </row>
    <row r="158">
      <c r="A158" t="inlineStr">
        <is>
          <t>EM000157</t>
        </is>
      </c>
      <c r="B158" s="7" t="n">
        <v>46037</v>
      </c>
      <c r="C158" t="inlineStr">
        <is>
          <t>CR-102</t>
        </is>
      </c>
      <c r="D158" t="inlineStr">
        <is>
          <t>ISO 7</t>
        </is>
      </c>
      <c r="E158" t="inlineStr">
        <is>
          <t>Active air</t>
        </is>
      </c>
      <c r="F158" t="n">
        <v>3</v>
      </c>
      <c r="G158" t="inlineStr">
        <is>
          <t>Tech A</t>
        </is>
      </c>
      <c r="H158">
        <f>INDEX(Limits!$B$2:$B$5,MATCH(E158,Limits!$A$2:$A$5,0))</f>
        <v/>
      </c>
      <c r="I158">
        <f>INDEX(Limits!$C$2:$C$5,MATCH(E158,Limits!$A$2:$A$5,0))</f>
        <v/>
      </c>
      <c r="J158">
        <f>IF(F158&gt;=I158,"Action",IF(F158&gt;=H158,"Alert","Pass"))</f>
        <v/>
      </c>
      <c r="K158" s="4">
        <f>DATE(YEAR(B158),MONTH(B158),1)</f>
        <v/>
      </c>
    </row>
    <row r="159">
      <c r="A159" t="inlineStr">
        <is>
          <t>EM000158</t>
        </is>
      </c>
      <c r="B159" s="7" t="n">
        <v>46037</v>
      </c>
      <c r="C159" t="inlineStr">
        <is>
          <t>CR-102</t>
        </is>
      </c>
      <c r="D159" t="inlineStr">
        <is>
          <t>ISO 7</t>
        </is>
      </c>
      <c r="E159" t="inlineStr">
        <is>
          <t>Surface contact</t>
        </is>
      </c>
      <c r="F159" t="n">
        <v>1</v>
      </c>
      <c r="G159" t="inlineStr">
        <is>
          <t>Tech C</t>
        </is>
      </c>
      <c r="H159">
        <f>INDEX(Limits!$B$2:$B$5,MATCH(E159,Limits!$A$2:$A$5,0))</f>
        <v/>
      </c>
      <c r="I159">
        <f>INDEX(Limits!$C$2:$C$5,MATCH(E159,Limits!$A$2:$A$5,0))</f>
        <v/>
      </c>
      <c r="J159">
        <f>IF(F159&gt;=I159,"Action",IF(F159&gt;=H159,"Alert","Pass"))</f>
        <v/>
      </c>
      <c r="K159" s="4">
        <f>DATE(YEAR(B159),MONTH(B159),1)</f>
        <v/>
      </c>
    </row>
    <row r="160">
      <c r="A160" t="inlineStr">
        <is>
          <t>EM000159</t>
        </is>
      </c>
      <c r="B160" s="7" t="n">
        <v>46037</v>
      </c>
      <c r="C160" t="inlineStr">
        <is>
          <t>CR-102</t>
        </is>
      </c>
      <c r="D160" t="inlineStr">
        <is>
          <t>ISO 7</t>
        </is>
      </c>
      <c r="E160" t="inlineStr">
        <is>
          <t>Compressed air</t>
        </is>
      </c>
      <c r="F160" t="n">
        <v>0</v>
      </c>
      <c r="G160" t="inlineStr">
        <is>
          <t>Tech D</t>
        </is>
      </c>
      <c r="H160">
        <f>INDEX(Limits!$B$2:$B$5,MATCH(E160,Limits!$A$2:$A$5,0))</f>
        <v/>
      </c>
      <c r="I160">
        <f>INDEX(Limits!$C$2:$C$5,MATCH(E160,Limits!$A$2:$A$5,0))</f>
        <v/>
      </c>
      <c r="J160">
        <f>IF(F160&gt;=I160,"Action",IF(F160&gt;=H160,"Alert","Pass"))</f>
        <v/>
      </c>
      <c r="K160" s="4">
        <f>DATE(YEAR(B160),MONTH(B160),1)</f>
        <v/>
      </c>
    </row>
    <row r="161">
      <c r="A161" t="inlineStr">
        <is>
          <t>EM000160</t>
        </is>
      </c>
      <c r="B161" s="7" t="n">
        <v>46037</v>
      </c>
      <c r="C161" t="inlineStr">
        <is>
          <t>CR-102</t>
        </is>
      </c>
      <c r="D161" t="inlineStr">
        <is>
          <t>ISO 7</t>
        </is>
      </c>
      <c r="E161" t="inlineStr">
        <is>
          <t>Personnel glove</t>
        </is>
      </c>
      <c r="F161" t="n">
        <v>0</v>
      </c>
      <c r="G161" t="inlineStr">
        <is>
          <t>Tech A</t>
        </is>
      </c>
      <c r="H161">
        <f>INDEX(Limits!$B$2:$B$5,MATCH(E161,Limits!$A$2:$A$5,0))</f>
        <v/>
      </c>
      <c r="I161">
        <f>INDEX(Limits!$C$2:$C$5,MATCH(E161,Limits!$A$2:$A$5,0))</f>
        <v/>
      </c>
      <c r="J161">
        <f>IF(F161&gt;=I161,"Action",IF(F161&gt;=H161,"Alert","Pass"))</f>
        <v/>
      </c>
      <c r="K161" s="4">
        <f>DATE(YEAR(B161),MONTH(B161),1)</f>
        <v/>
      </c>
    </row>
    <row r="162">
      <c r="A162" t="inlineStr">
        <is>
          <t>EM000161</t>
        </is>
      </c>
      <c r="B162" s="7" t="n">
        <v>46037</v>
      </c>
      <c r="C162" t="inlineStr">
        <is>
          <t>CR-201</t>
        </is>
      </c>
      <c r="D162" t="inlineStr">
        <is>
          <t>ISO 8</t>
        </is>
      </c>
      <c r="E162" t="inlineStr">
        <is>
          <t>Active air</t>
        </is>
      </c>
      <c r="F162" t="n">
        <v>0</v>
      </c>
      <c r="G162" t="inlineStr">
        <is>
          <t>Tech B</t>
        </is>
      </c>
      <c r="H162">
        <f>INDEX(Limits!$B$2:$B$5,MATCH(E162,Limits!$A$2:$A$5,0))</f>
        <v/>
      </c>
      <c r="I162">
        <f>INDEX(Limits!$C$2:$C$5,MATCH(E162,Limits!$A$2:$A$5,0))</f>
        <v/>
      </c>
      <c r="J162">
        <f>IF(F162&gt;=I162,"Action",IF(F162&gt;=H162,"Alert","Pass"))</f>
        <v/>
      </c>
      <c r="K162" s="4">
        <f>DATE(YEAR(B162),MONTH(B162),1)</f>
        <v/>
      </c>
    </row>
    <row r="163">
      <c r="A163" t="inlineStr">
        <is>
          <t>EM000162</t>
        </is>
      </c>
      <c r="B163" s="7" t="n">
        <v>46037</v>
      </c>
      <c r="C163" t="inlineStr">
        <is>
          <t>CR-201</t>
        </is>
      </c>
      <c r="D163" t="inlineStr">
        <is>
          <t>ISO 8</t>
        </is>
      </c>
      <c r="E163" t="inlineStr">
        <is>
          <t>Surface contact</t>
        </is>
      </c>
      <c r="F163" t="n">
        <v>0</v>
      </c>
      <c r="G163" t="inlineStr">
        <is>
          <t>Tech D</t>
        </is>
      </c>
      <c r="H163">
        <f>INDEX(Limits!$B$2:$B$5,MATCH(E163,Limits!$A$2:$A$5,0))</f>
        <v/>
      </c>
      <c r="I163">
        <f>INDEX(Limits!$C$2:$C$5,MATCH(E163,Limits!$A$2:$A$5,0))</f>
        <v/>
      </c>
      <c r="J163">
        <f>IF(F163&gt;=I163,"Action",IF(F163&gt;=H163,"Alert","Pass"))</f>
        <v/>
      </c>
      <c r="K163" s="4">
        <f>DATE(YEAR(B163),MONTH(B163),1)</f>
        <v/>
      </c>
    </row>
    <row r="164">
      <c r="A164" t="inlineStr">
        <is>
          <t>EM000163</t>
        </is>
      </c>
      <c r="B164" s="7" t="n">
        <v>46037</v>
      </c>
      <c r="C164" t="inlineStr">
        <is>
          <t>CR-201</t>
        </is>
      </c>
      <c r="D164" t="inlineStr">
        <is>
          <t>ISO 8</t>
        </is>
      </c>
      <c r="E164" t="inlineStr">
        <is>
          <t>Compressed air</t>
        </is>
      </c>
      <c r="F164" t="n">
        <v>0</v>
      </c>
      <c r="G164" t="inlineStr">
        <is>
          <t>Tech A</t>
        </is>
      </c>
      <c r="H164">
        <f>INDEX(Limits!$B$2:$B$5,MATCH(E164,Limits!$A$2:$A$5,0))</f>
        <v/>
      </c>
      <c r="I164">
        <f>INDEX(Limits!$C$2:$C$5,MATCH(E164,Limits!$A$2:$A$5,0))</f>
        <v/>
      </c>
      <c r="J164">
        <f>IF(F164&gt;=I164,"Action",IF(F164&gt;=H164,"Alert","Pass"))</f>
        <v/>
      </c>
      <c r="K164" s="4">
        <f>DATE(YEAR(B164),MONTH(B164),1)</f>
        <v/>
      </c>
    </row>
    <row r="165">
      <c r="A165" t="inlineStr">
        <is>
          <t>EM000164</t>
        </is>
      </c>
      <c r="B165" s="7" t="n">
        <v>46037</v>
      </c>
      <c r="C165" t="inlineStr">
        <is>
          <t>CR-201</t>
        </is>
      </c>
      <c r="D165" t="inlineStr">
        <is>
          <t>ISO 8</t>
        </is>
      </c>
      <c r="E165" t="inlineStr">
        <is>
          <t>Personnel glove</t>
        </is>
      </c>
      <c r="F165" t="n">
        <v>0</v>
      </c>
      <c r="G165" t="inlineStr">
        <is>
          <t>Tech D</t>
        </is>
      </c>
      <c r="H165">
        <f>INDEX(Limits!$B$2:$B$5,MATCH(E165,Limits!$A$2:$A$5,0))</f>
        <v/>
      </c>
      <c r="I165">
        <f>INDEX(Limits!$C$2:$C$5,MATCH(E165,Limits!$A$2:$A$5,0))</f>
        <v/>
      </c>
      <c r="J165">
        <f>IF(F165&gt;=I165,"Action",IF(F165&gt;=H165,"Alert","Pass"))</f>
        <v/>
      </c>
      <c r="K165" s="4">
        <f>DATE(YEAR(B165),MONTH(B165),1)</f>
        <v/>
      </c>
    </row>
    <row r="166">
      <c r="A166" t="inlineStr">
        <is>
          <t>EM000165</t>
        </is>
      </c>
      <c r="B166" s="7" t="n">
        <v>46037</v>
      </c>
      <c r="C166" t="inlineStr">
        <is>
          <t>CR-202</t>
        </is>
      </c>
      <c r="D166" t="inlineStr">
        <is>
          <t>ISO 8</t>
        </is>
      </c>
      <c r="E166" t="inlineStr">
        <is>
          <t>Active air</t>
        </is>
      </c>
      <c r="F166" t="n">
        <v>2</v>
      </c>
      <c r="G166" t="inlineStr">
        <is>
          <t>Tech C</t>
        </is>
      </c>
      <c r="H166">
        <f>INDEX(Limits!$B$2:$B$5,MATCH(E166,Limits!$A$2:$A$5,0))</f>
        <v/>
      </c>
      <c r="I166">
        <f>INDEX(Limits!$C$2:$C$5,MATCH(E166,Limits!$A$2:$A$5,0))</f>
        <v/>
      </c>
      <c r="J166">
        <f>IF(F166&gt;=I166,"Action",IF(F166&gt;=H166,"Alert","Pass"))</f>
        <v/>
      </c>
      <c r="K166" s="4">
        <f>DATE(YEAR(B166),MONTH(B166),1)</f>
        <v/>
      </c>
    </row>
    <row r="167">
      <c r="A167" t="inlineStr">
        <is>
          <t>EM000166</t>
        </is>
      </c>
      <c r="B167" s="7" t="n">
        <v>46037</v>
      </c>
      <c r="C167" t="inlineStr">
        <is>
          <t>CR-202</t>
        </is>
      </c>
      <c r="D167" t="inlineStr">
        <is>
          <t>ISO 8</t>
        </is>
      </c>
      <c r="E167" t="inlineStr">
        <is>
          <t>Surface contact</t>
        </is>
      </c>
      <c r="F167" t="n">
        <v>0</v>
      </c>
      <c r="G167" t="inlineStr">
        <is>
          <t>Tech B</t>
        </is>
      </c>
      <c r="H167">
        <f>INDEX(Limits!$B$2:$B$5,MATCH(E167,Limits!$A$2:$A$5,0))</f>
        <v/>
      </c>
      <c r="I167">
        <f>INDEX(Limits!$C$2:$C$5,MATCH(E167,Limits!$A$2:$A$5,0))</f>
        <v/>
      </c>
      <c r="J167">
        <f>IF(F167&gt;=I167,"Action",IF(F167&gt;=H167,"Alert","Pass"))</f>
        <v/>
      </c>
      <c r="K167" s="4">
        <f>DATE(YEAR(B167),MONTH(B167),1)</f>
        <v/>
      </c>
    </row>
    <row r="168">
      <c r="A168" t="inlineStr">
        <is>
          <t>EM000167</t>
        </is>
      </c>
      <c r="B168" s="7" t="n">
        <v>46037</v>
      </c>
      <c r="C168" t="inlineStr">
        <is>
          <t>CR-202</t>
        </is>
      </c>
      <c r="D168" t="inlineStr">
        <is>
          <t>ISO 8</t>
        </is>
      </c>
      <c r="E168" t="inlineStr">
        <is>
          <t>Compressed air</t>
        </is>
      </c>
      <c r="F168" t="n">
        <v>0</v>
      </c>
      <c r="G168" t="inlineStr">
        <is>
          <t>Tech A</t>
        </is>
      </c>
      <c r="H168">
        <f>INDEX(Limits!$B$2:$B$5,MATCH(E168,Limits!$A$2:$A$5,0))</f>
        <v/>
      </c>
      <c r="I168">
        <f>INDEX(Limits!$C$2:$C$5,MATCH(E168,Limits!$A$2:$A$5,0))</f>
        <v/>
      </c>
      <c r="J168">
        <f>IF(F168&gt;=I168,"Action",IF(F168&gt;=H168,"Alert","Pass"))</f>
        <v/>
      </c>
      <c r="K168" s="4">
        <f>DATE(YEAR(B168),MONTH(B168),1)</f>
        <v/>
      </c>
    </row>
    <row r="169">
      <c r="A169" t="inlineStr">
        <is>
          <t>EM000168</t>
        </is>
      </c>
      <c r="B169" s="7" t="n">
        <v>46037</v>
      </c>
      <c r="C169" t="inlineStr">
        <is>
          <t>CR-202</t>
        </is>
      </c>
      <c r="D169" t="inlineStr">
        <is>
          <t>ISO 8</t>
        </is>
      </c>
      <c r="E169" t="inlineStr">
        <is>
          <t>Personnel glove</t>
        </is>
      </c>
      <c r="F169" t="n">
        <v>0</v>
      </c>
      <c r="G169" t="inlineStr">
        <is>
          <t>Tech C</t>
        </is>
      </c>
      <c r="H169">
        <f>INDEX(Limits!$B$2:$B$5,MATCH(E169,Limits!$A$2:$A$5,0))</f>
        <v/>
      </c>
      <c r="I169">
        <f>INDEX(Limits!$C$2:$C$5,MATCH(E169,Limits!$A$2:$A$5,0))</f>
        <v/>
      </c>
      <c r="J169">
        <f>IF(F169&gt;=I169,"Action",IF(F169&gt;=H169,"Alert","Pass"))</f>
        <v/>
      </c>
      <c r="K169" s="4">
        <f>DATE(YEAR(B169),MONTH(B169),1)</f>
        <v/>
      </c>
    </row>
    <row r="170">
      <c r="A170" t="inlineStr">
        <is>
          <t>EM000169</t>
        </is>
      </c>
      <c r="B170" s="7" t="n">
        <v>46037</v>
      </c>
      <c r="C170" t="inlineStr">
        <is>
          <t>Gowning</t>
        </is>
      </c>
      <c r="D170" t="inlineStr">
        <is>
          <t>ISO 8</t>
        </is>
      </c>
      <c r="E170" t="inlineStr">
        <is>
          <t>Active air</t>
        </is>
      </c>
      <c r="F170" t="n">
        <v>0</v>
      </c>
      <c r="G170" t="inlineStr">
        <is>
          <t>Tech D</t>
        </is>
      </c>
      <c r="H170">
        <f>INDEX(Limits!$B$2:$B$5,MATCH(E170,Limits!$A$2:$A$5,0))</f>
        <v/>
      </c>
      <c r="I170">
        <f>INDEX(Limits!$C$2:$C$5,MATCH(E170,Limits!$A$2:$A$5,0))</f>
        <v/>
      </c>
      <c r="J170">
        <f>IF(F170&gt;=I170,"Action",IF(F170&gt;=H170,"Alert","Pass"))</f>
        <v/>
      </c>
      <c r="K170" s="4">
        <f>DATE(YEAR(B170),MONTH(B170),1)</f>
        <v/>
      </c>
    </row>
    <row r="171">
      <c r="A171" t="inlineStr">
        <is>
          <t>EM000170</t>
        </is>
      </c>
      <c r="B171" s="7" t="n">
        <v>46037</v>
      </c>
      <c r="C171" t="inlineStr">
        <is>
          <t>Gowning</t>
        </is>
      </c>
      <c r="D171" t="inlineStr">
        <is>
          <t>ISO 8</t>
        </is>
      </c>
      <c r="E171" t="inlineStr">
        <is>
          <t>Surface contact</t>
        </is>
      </c>
      <c r="F171" t="n">
        <v>0</v>
      </c>
      <c r="G171" t="inlineStr">
        <is>
          <t>Tech A</t>
        </is>
      </c>
      <c r="H171">
        <f>INDEX(Limits!$B$2:$B$5,MATCH(E171,Limits!$A$2:$A$5,0))</f>
        <v/>
      </c>
      <c r="I171">
        <f>INDEX(Limits!$C$2:$C$5,MATCH(E171,Limits!$A$2:$A$5,0))</f>
        <v/>
      </c>
      <c r="J171">
        <f>IF(F171&gt;=I171,"Action",IF(F171&gt;=H171,"Alert","Pass"))</f>
        <v/>
      </c>
      <c r="K171" s="4">
        <f>DATE(YEAR(B171),MONTH(B171),1)</f>
        <v/>
      </c>
    </row>
    <row r="172">
      <c r="A172" t="inlineStr">
        <is>
          <t>EM000171</t>
        </is>
      </c>
      <c r="B172" s="7" t="n">
        <v>46037</v>
      </c>
      <c r="C172" t="inlineStr">
        <is>
          <t>Gowning</t>
        </is>
      </c>
      <c r="D172" t="inlineStr">
        <is>
          <t>ISO 8</t>
        </is>
      </c>
      <c r="E172" t="inlineStr">
        <is>
          <t>Personnel glove</t>
        </is>
      </c>
      <c r="F172" t="n">
        <v>0</v>
      </c>
      <c r="G172" t="inlineStr">
        <is>
          <t>Tech B</t>
        </is>
      </c>
      <c r="H172">
        <f>INDEX(Limits!$B$2:$B$5,MATCH(E172,Limits!$A$2:$A$5,0))</f>
        <v/>
      </c>
      <c r="I172">
        <f>INDEX(Limits!$C$2:$C$5,MATCH(E172,Limits!$A$2:$A$5,0))</f>
        <v/>
      </c>
      <c r="J172">
        <f>IF(F172&gt;=I172,"Action",IF(F172&gt;=H172,"Alert","Pass"))</f>
        <v/>
      </c>
      <c r="K172" s="4">
        <f>DATE(YEAR(B172),MONTH(B172),1)</f>
        <v/>
      </c>
    </row>
    <row r="173">
      <c r="A173" t="inlineStr">
        <is>
          <t>EM000172</t>
        </is>
      </c>
      <c r="B173" s="7" t="n">
        <v>46038</v>
      </c>
      <c r="C173" t="inlineStr">
        <is>
          <t>CR-101</t>
        </is>
      </c>
      <c r="D173" t="inlineStr">
        <is>
          <t>ISO 7</t>
        </is>
      </c>
      <c r="E173" t="inlineStr">
        <is>
          <t>Active air</t>
        </is>
      </c>
      <c r="F173" t="n">
        <v>0</v>
      </c>
      <c r="G173" t="inlineStr">
        <is>
          <t>Tech A</t>
        </is>
      </c>
      <c r="H173">
        <f>INDEX(Limits!$B$2:$B$5,MATCH(E173,Limits!$A$2:$A$5,0))</f>
        <v/>
      </c>
      <c r="I173">
        <f>INDEX(Limits!$C$2:$C$5,MATCH(E173,Limits!$A$2:$A$5,0))</f>
        <v/>
      </c>
      <c r="J173">
        <f>IF(F173&gt;=I173,"Action",IF(F173&gt;=H173,"Alert","Pass"))</f>
        <v/>
      </c>
      <c r="K173" s="4">
        <f>DATE(YEAR(B173),MONTH(B173),1)</f>
        <v/>
      </c>
    </row>
    <row r="174">
      <c r="A174" t="inlineStr">
        <is>
          <t>EM000173</t>
        </is>
      </c>
      <c r="B174" s="7" t="n">
        <v>46038</v>
      </c>
      <c r="C174" t="inlineStr">
        <is>
          <t>CR-101</t>
        </is>
      </c>
      <c r="D174" t="inlineStr">
        <is>
          <t>ISO 7</t>
        </is>
      </c>
      <c r="E174" t="inlineStr">
        <is>
          <t>Surface contact</t>
        </is>
      </c>
      <c r="F174" t="n">
        <v>0</v>
      </c>
      <c r="G174" t="inlineStr">
        <is>
          <t>Tech A</t>
        </is>
      </c>
      <c r="H174">
        <f>INDEX(Limits!$B$2:$B$5,MATCH(E174,Limits!$A$2:$A$5,0))</f>
        <v/>
      </c>
      <c r="I174">
        <f>INDEX(Limits!$C$2:$C$5,MATCH(E174,Limits!$A$2:$A$5,0))</f>
        <v/>
      </c>
      <c r="J174">
        <f>IF(F174&gt;=I174,"Action",IF(F174&gt;=H174,"Alert","Pass"))</f>
        <v/>
      </c>
      <c r="K174" s="4">
        <f>DATE(YEAR(B174),MONTH(B174),1)</f>
        <v/>
      </c>
    </row>
    <row r="175">
      <c r="A175" t="inlineStr">
        <is>
          <t>EM000174</t>
        </is>
      </c>
      <c r="B175" s="7" t="n">
        <v>46038</v>
      </c>
      <c r="C175" t="inlineStr">
        <is>
          <t>CR-101</t>
        </is>
      </c>
      <c r="D175" t="inlineStr">
        <is>
          <t>ISO 7</t>
        </is>
      </c>
      <c r="E175" t="inlineStr">
        <is>
          <t>Compressed air</t>
        </is>
      </c>
      <c r="F175" t="n">
        <v>0</v>
      </c>
      <c r="G175" t="inlineStr">
        <is>
          <t>Tech D</t>
        </is>
      </c>
      <c r="H175">
        <f>INDEX(Limits!$B$2:$B$5,MATCH(E175,Limits!$A$2:$A$5,0))</f>
        <v/>
      </c>
      <c r="I175">
        <f>INDEX(Limits!$C$2:$C$5,MATCH(E175,Limits!$A$2:$A$5,0))</f>
        <v/>
      </c>
      <c r="J175">
        <f>IF(F175&gt;=I175,"Action",IF(F175&gt;=H175,"Alert","Pass"))</f>
        <v/>
      </c>
      <c r="K175" s="4">
        <f>DATE(YEAR(B175),MONTH(B175),1)</f>
        <v/>
      </c>
    </row>
    <row r="176">
      <c r="A176" t="inlineStr">
        <is>
          <t>EM000175</t>
        </is>
      </c>
      <c r="B176" s="7" t="n">
        <v>46038</v>
      </c>
      <c r="C176" t="inlineStr">
        <is>
          <t>CR-101</t>
        </is>
      </c>
      <c r="D176" t="inlineStr">
        <is>
          <t>ISO 7</t>
        </is>
      </c>
      <c r="E176" t="inlineStr">
        <is>
          <t>Personnel glove</t>
        </is>
      </c>
      <c r="F176" t="n">
        <v>0</v>
      </c>
      <c r="G176" t="inlineStr">
        <is>
          <t>Tech B</t>
        </is>
      </c>
      <c r="H176">
        <f>INDEX(Limits!$B$2:$B$5,MATCH(E176,Limits!$A$2:$A$5,0))</f>
        <v/>
      </c>
      <c r="I176">
        <f>INDEX(Limits!$C$2:$C$5,MATCH(E176,Limits!$A$2:$A$5,0))</f>
        <v/>
      </c>
      <c r="J176">
        <f>IF(F176&gt;=I176,"Action",IF(F176&gt;=H176,"Alert","Pass"))</f>
        <v/>
      </c>
      <c r="K176" s="4">
        <f>DATE(YEAR(B176),MONTH(B176),1)</f>
        <v/>
      </c>
    </row>
    <row r="177">
      <c r="A177" t="inlineStr">
        <is>
          <t>EM000176</t>
        </is>
      </c>
      <c r="B177" s="7" t="n">
        <v>46038</v>
      </c>
      <c r="C177" t="inlineStr">
        <is>
          <t>CR-102</t>
        </is>
      </c>
      <c r="D177" t="inlineStr">
        <is>
          <t>ISO 7</t>
        </is>
      </c>
      <c r="E177" t="inlineStr">
        <is>
          <t>Active air</t>
        </is>
      </c>
      <c r="F177" t="n">
        <v>1</v>
      </c>
      <c r="G177" t="inlineStr">
        <is>
          <t>Tech B</t>
        </is>
      </c>
      <c r="H177">
        <f>INDEX(Limits!$B$2:$B$5,MATCH(E177,Limits!$A$2:$A$5,0))</f>
        <v/>
      </c>
      <c r="I177">
        <f>INDEX(Limits!$C$2:$C$5,MATCH(E177,Limits!$A$2:$A$5,0))</f>
        <v/>
      </c>
      <c r="J177">
        <f>IF(F177&gt;=I177,"Action",IF(F177&gt;=H177,"Alert","Pass"))</f>
        <v/>
      </c>
      <c r="K177" s="4">
        <f>DATE(YEAR(B177),MONTH(B177),1)</f>
        <v/>
      </c>
    </row>
    <row r="178">
      <c r="A178" t="inlineStr">
        <is>
          <t>EM000177</t>
        </is>
      </c>
      <c r="B178" s="7" t="n">
        <v>46038</v>
      </c>
      <c r="C178" t="inlineStr">
        <is>
          <t>CR-102</t>
        </is>
      </c>
      <c r="D178" t="inlineStr">
        <is>
          <t>ISO 7</t>
        </is>
      </c>
      <c r="E178" t="inlineStr">
        <is>
          <t>Surface contact</t>
        </is>
      </c>
      <c r="F178" t="n">
        <v>0</v>
      </c>
      <c r="G178" t="inlineStr">
        <is>
          <t>Tech B</t>
        </is>
      </c>
      <c r="H178">
        <f>INDEX(Limits!$B$2:$B$5,MATCH(E178,Limits!$A$2:$A$5,0))</f>
        <v/>
      </c>
      <c r="I178">
        <f>INDEX(Limits!$C$2:$C$5,MATCH(E178,Limits!$A$2:$A$5,0))</f>
        <v/>
      </c>
      <c r="J178">
        <f>IF(F178&gt;=I178,"Action",IF(F178&gt;=H178,"Alert","Pass"))</f>
        <v/>
      </c>
      <c r="K178" s="4">
        <f>DATE(YEAR(B178),MONTH(B178),1)</f>
        <v/>
      </c>
    </row>
    <row r="179">
      <c r="A179" t="inlineStr">
        <is>
          <t>EM000178</t>
        </is>
      </c>
      <c r="B179" s="7" t="n">
        <v>46038</v>
      </c>
      <c r="C179" t="inlineStr">
        <is>
          <t>CR-102</t>
        </is>
      </c>
      <c r="D179" t="inlineStr">
        <is>
          <t>ISO 7</t>
        </is>
      </c>
      <c r="E179" t="inlineStr">
        <is>
          <t>Compressed air</t>
        </is>
      </c>
      <c r="F179" t="n">
        <v>0</v>
      </c>
      <c r="G179" t="inlineStr">
        <is>
          <t>Tech C</t>
        </is>
      </c>
      <c r="H179">
        <f>INDEX(Limits!$B$2:$B$5,MATCH(E179,Limits!$A$2:$A$5,0))</f>
        <v/>
      </c>
      <c r="I179">
        <f>INDEX(Limits!$C$2:$C$5,MATCH(E179,Limits!$A$2:$A$5,0))</f>
        <v/>
      </c>
      <c r="J179">
        <f>IF(F179&gt;=I179,"Action",IF(F179&gt;=H179,"Alert","Pass"))</f>
        <v/>
      </c>
      <c r="K179" s="4">
        <f>DATE(YEAR(B179),MONTH(B179),1)</f>
        <v/>
      </c>
    </row>
    <row r="180">
      <c r="A180" t="inlineStr">
        <is>
          <t>EM000179</t>
        </is>
      </c>
      <c r="B180" s="7" t="n">
        <v>46038</v>
      </c>
      <c r="C180" t="inlineStr">
        <is>
          <t>CR-102</t>
        </is>
      </c>
      <c r="D180" t="inlineStr">
        <is>
          <t>ISO 7</t>
        </is>
      </c>
      <c r="E180" t="inlineStr">
        <is>
          <t>Personnel glove</t>
        </is>
      </c>
      <c r="F180" t="n">
        <v>0</v>
      </c>
      <c r="G180" t="inlineStr">
        <is>
          <t>Tech C</t>
        </is>
      </c>
      <c r="H180">
        <f>INDEX(Limits!$B$2:$B$5,MATCH(E180,Limits!$A$2:$A$5,0))</f>
        <v/>
      </c>
      <c r="I180">
        <f>INDEX(Limits!$C$2:$C$5,MATCH(E180,Limits!$A$2:$A$5,0))</f>
        <v/>
      </c>
      <c r="J180">
        <f>IF(F180&gt;=I180,"Action",IF(F180&gt;=H180,"Alert","Pass"))</f>
        <v/>
      </c>
      <c r="K180" s="4">
        <f>DATE(YEAR(B180),MONTH(B180),1)</f>
        <v/>
      </c>
    </row>
    <row r="181">
      <c r="A181" t="inlineStr">
        <is>
          <t>EM000180</t>
        </is>
      </c>
      <c r="B181" s="7" t="n">
        <v>46038</v>
      </c>
      <c r="C181" t="inlineStr">
        <is>
          <t>CR-201</t>
        </is>
      </c>
      <c r="D181" t="inlineStr">
        <is>
          <t>ISO 8</t>
        </is>
      </c>
      <c r="E181" t="inlineStr">
        <is>
          <t>Active air</t>
        </is>
      </c>
      <c r="F181" t="n">
        <v>0</v>
      </c>
      <c r="G181" t="inlineStr">
        <is>
          <t>Tech B</t>
        </is>
      </c>
      <c r="H181">
        <f>INDEX(Limits!$B$2:$B$5,MATCH(E181,Limits!$A$2:$A$5,0))</f>
        <v/>
      </c>
      <c r="I181">
        <f>INDEX(Limits!$C$2:$C$5,MATCH(E181,Limits!$A$2:$A$5,0))</f>
        <v/>
      </c>
      <c r="J181">
        <f>IF(F181&gt;=I181,"Action",IF(F181&gt;=H181,"Alert","Pass"))</f>
        <v/>
      </c>
      <c r="K181" s="4">
        <f>DATE(YEAR(B181),MONTH(B181),1)</f>
        <v/>
      </c>
    </row>
    <row r="182">
      <c r="A182" t="inlineStr">
        <is>
          <t>EM000181</t>
        </is>
      </c>
      <c r="B182" s="7" t="n">
        <v>46038</v>
      </c>
      <c r="C182" t="inlineStr">
        <is>
          <t>CR-201</t>
        </is>
      </c>
      <c r="D182" t="inlineStr">
        <is>
          <t>ISO 8</t>
        </is>
      </c>
      <c r="E182" t="inlineStr">
        <is>
          <t>Surface contact</t>
        </is>
      </c>
      <c r="F182" t="n">
        <v>0</v>
      </c>
      <c r="G182" t="inlineStr">
        <is>
          <t>Tech A</t>
        </is>
      </c>
      <c r="H182">
        <f>INDEX(Limits!$B$2:$B$5,MATCH(E182,Limits!$A$2:$A$5,0))</f>
        <v/>
      </c>
      <c r="I182">
        <f>INDEX(Limits!$C$2:$C$5,MATCH(E182,Limits!$A$2:$A$5,0))</f>
        <v/>
      </c>
      <c r="J182">
        <f>IF(F182&gt;=I182,"Action",IF(F182&gt;=H182,"Alert","Pass"))</f>
        <v/>
      </c>
      <c r="K182" s="4">
        <f>DATE(YEAR(B182),MONTH(B182),1)</f>
        <v/>
      </c>
    </row>
    <row r="183">
      <c r="A183" t="inlineStr">
        <is>
          <t>EM000182</t>
        </is>
      </c>
      <c r="B183" s="7" t="n">
        <v>46038</v>
      </c>
      <c r="C183" t="inlineStr">
        <is>
          <t>CR-201</t>
        </is>
      </c>
      <c r="D183" t="inlineStr">
        <is>
          <t>ISO 8</t>
        </is>
      </c>
      <c r="E183" t="inlineStr">
        <is>
          <t>Compressed air</t>
        </is>
      </c>
      <c r="F183" t="n">
        <v>0</v>
      </c>
      <c r="G183" t="inlineStr">
        <is>
          <t>Tech D</t>
        </is>
      </c>
      <c r="H183">
        <f>INDEX(Limits!$B$2:$B$5,MATCH(E183,Limits!$A$2:$A$5,0))</f>
        <v/>
      </c>
      <c r="I183">
        <f>INDEX(Limits!$C$2:$C$5,MATCH(E183,Limits!$A$2:$A$5,0))</f>
        <v/>
      </c>
      <c r="J183">
        <f>IF(F183&gt;=I183,"Action",IF(F183&gt;=H183,"Alert","Pass"))</f>
        <v/>
      </c>
      <c r="K183" s="4">
        <f>DATE(YEAR(B183),MONTH(B183),1)</f>
        <v/>
      </c>
    </row>
    <row r="184">
      <c r="A184" t="inlineStr">
        <is>
          <t>EM000183</t>
        </is>
      </c>
      <c r="B184" s="7" t="n">
        <v>46038</v>
      </c>
      <c r="C184" t="inlineStr">
        <is>
          <t>CR-201</t>
        </is>
      </c>
      <c r="D184" t="inlineStr">
        <is>
          <t>ISO 8</t>
        </is>
      </c>
      <c r="E184" t="inlineStr">
        <is>
          <t>Personnel glove</t>
        </is>
      </c>
      <c r="F184" t="n">
        <v>0</v>
      </c>
      <c r="G184" t="inlineStr">
        <is>
          <t>Tech B</t>
        </is>
      </c>
      <c r="H184">
        <f>INDEX(Limits!$B$2:$B$5,MATCH(E184,Limits!$A$2:$A$5,0))</f>
        <v/>
      </c>
      <c r="I184">
        <f>INDEX(Limits!$C$2:$C$5,MATCH(E184,Limits!$A$2:$A$5,0))</f>
        <v/>
      </c>
      <c r="J184">
        <f>IF(F184&gt;=I184,"Action",IF(F184&gt;=H184,"Alert","Pass"))</f>
        <v/>
      </c>
      <c r="K184" s="4">
        <f>DATE(YEAR(B184),MONTH(B184),1)</f>
        <v/>
      </c>
    </row>
    <row r="185">
      <c r="A185" t="inlineStr">
        <is>
          <t>EM000184</t>
        </is>
      </c>
      <c r="B185" s="7" t="n">
        <v>46038</v>
      </c>
      <c r="C185" t="inlineStr">
        <is>
          <t>CR-202</t>
        </is>
      </c>
      <c r="D185" t="inlineStr">
        <is>
          <t>ISO 8</t>
        </is>
      </c>
      <c r="E185" t="inlineStr">
        <is>
          <t>Active air</t>
        </is>
      </c>
      <c r="F185" t="n">
        <v>4</v>
      </c>
      <c r="G185" t="inlineStr">
        <is>
          <t>Tech B</t>
        </is>
      </c>
      <c r="H185">
        <f>INDEX(Limits!$B$2:$B$5,MATCH(E185,Limits!$A$2:$A$5,0))</f>
        <v/>
      </c>
      <c r="I185">
        <f>INDEX(Limits!$C$2:$C$5,MATCH(E185,Limits!$A$2:$A$5,0))</f>
        <v/>
      </c>
      <c r="J185">
        <f>IF(F185&gt;=I185,"Action",IF(F185&gt;=H185,"Alert","Pass"))</f>
        <v/>
      </c>
      <c r="K185" s="4">
        <f>DATE(YEAR(B185),MONTH(B185),1)</f>
        <v/>
      </c>
    </row>
    <row r="186">
      <c r="A186" t="inlineStr">
        <is>
          <t>EM000185</t>
        </is>
      </c>
      <c r="B186" s="7" t="n">
        <v>46038</v>
      </c>
      <c r="C186" t="inlineStr">
        <is>
          <t>CR-202</t>
        </is>
      </c>
      <c r="D186" t="inlineStr">
        <is>
          <t>ISO 8</t>
        </is>
      </c>
      <c r="E186" t="inlineStr">
        <is>
          <t>Surface contact</t>
        </is>
      </c>
      <c r="F186" t="n">
        <v>1</v>
      </c>
      <c r="G186" t="inlineStr">
        <is>
          <t>Tech D</t>
        </is>
      </c>
      <c r="H186">
        <f>INDEX(Limits!$B$2:$B$5,MATCH(E186,Limits!$A$2:$A$5,0))</f>
        <v/>
      </c>
      <c r="I186">
        <f>INDEX(Limits!$C$2:$C$5,MATCH(E186,Limits!$A$2:$A$5,0))</f>
        <v/>
      </c>
      <c r="J186">
        <f>IF(F186&gt;=I186,"Action",IF(F186&gt;=H186,"Alert","Pass"))</f>
        <v/>
      </c>
      <c r="K186" s="4">
        <f>DATE(YEAR(B186),MONTH(B186),1)</f>
        <v/>
      </c>
    </row>
    <row r="187">
      <c r="A187" t="inlineStr">
        <is>
          <t>EM000186</t>
        </is>
      </c>
      <c r="B187" s="7" t="n">
        <v>46038</v>
      </c>
      <c r="C187" t="inlineStr">
        <is>
          <t>CR-202</t>
        </is>
      </c>
      <c r="D187" t="inlineStr">
        <is>
          <t>ISO 8</t>
        </is>
      </c>
      <c r="E187" t="inlineStr">
        <is>
          <t>Compressed air</t>
        </is>
      </c>
      <c r="F187" t="n">
        <v>0</v>
      </c>
      <c r="G187" t="inlineStr">
        <is>
          <t>Tech B</t>
        </is>
      </c>
      <c r="H187">
        <f>INDEX(Limits!$B$2:$B$5,MATCH(E187,Limits!$A$2:$A$5,0))</f>
        <v/>
      </c>
      <c r="I187">
        <f>INDEX(Limits!$C$2:$C$5,MATCH(E187,Limits!$A$2:$A$5,0))</f>
        <v/>
      </c>
      <c r="J187">
        <f>IF(F187&gt;=I187,"Action",IF(F187&gt;=H187,"Alert","Pass"))</f>
        <v/>
      </c>
      <c r="K187" s="4">
        <f>DATE(YEAR(B187),MONTH(B187),1)</f>
        <v/>
      </c>
    </row>
    <row r="188">
      <c r="A188" t="inlineStr">
        <is>
          <t>EM000187</t>
        </is>
      </c>
      <c r="B188" s="7" t="n">
        <v>46038</v>
      </c>
      <c r="C188" t="inlineStr">
        <is>
          <t>CR-202</t>
        </is>
      </c>
      <c r="D188" t="inlineStr">
        <is>
          <t>ISO 8</t>
        </is>
      </c>
      <c r="E188" t="inlineStr">
        <is>
          <t>Personnel glove</t>
        </is>
      </c>
      <c r="F188" t="n">
        <v>0</v>
      </c>
      <c r="G188" t="inlineStr">
        <is>
          <t>Tech D</t>
        </is>
      </c>
      <c r="H188">
        <f>INDEX(Limits!$B$2:$B$5,MATCH(E188,Limits!$A$2:$A$5,0))</f>
        <v/>
      </c>
      <c r="I188">
        <f>INDEX(Limits!$C$2:$C$5,MATCH(E188,Limits!$A$2:$A$5,0))</f>
        <v/>
      </c>
      <c r="J188">
        <f>IF(F188&gt;=I188,"Action",IF(F188&gt;=H188,"Alert","Pass"))</f>
        <v/>
      </c>
      <c r="K188" s="4">
        <f>DATE(YEAR(B188),MONTH(B188),1)</f>
        <v/>
      </c>
    </row>
    <row r="189">
      <c r="A189" t="inlineStr">
        <is>
          <t>EM000188</t>
        </is>
      </c>
      <c r="B189" s="7" t="n">
        <v>46038</v>
      </c>
      <c r="C189" t="inlineStr">
        <is>
          <t>Gowning</t>
        </is>
      </c>
      <c r="D189" t="inlineStr">
        <is>
          <t>ISO 8</t>
        </is>
      </c>
      <c r="E189" t="inlineStr">
        <is>
          <t>Active air</t>
        </is>
      </c>
      <c r="F189" t="n">
        <v>1</v>
      </c>
      <c r="G189" t="inlineStr">
        <is>
          <t>Tech C</t>
        </is>
      </c>
      <c r="H189">
        <f>INDEX(Limits!$B$2:$B$5,MATCH(E189,Limits!$A$2:$A$5,0))</f>
        <v/>
      </c>
      <c r="I189">
        <f>INDEX(Limits!$C$2:$C$5,MATCH(E189,Limits!$A$2:$A$5,0))</f>
        <v/>
      </c>
      <c r="J189">
        <f>IF(F189&gt;=I189,"Action",IF(F189&gt;=H189,"Alert","Pass"))</f>
        <v/>
      </c>
      <c r="K189" s="4">
        <f>DATE(YEAR(B189),MONTH(B189),1)</f>
        <v/>
      </c>
    </row>
    <row r="190">
      <c r="A190" t="inlineStr">
        <is>
          <t>EM000189</t>
        </is>
      </c>
      <c r="B190" s="7" t="n">
        <v>46038</v>
      </c>
      <c r="C190" t="inlineStr">
        <is>
          <t>Gowning</t>
        </is>
      </c>
      <c r="D190" t="inlineStr">
        <is>
          <t>ISO 8</t>
        </is>
      </c>
      <c r="E190" t="inlineStr">
        <is>
          <t>Surface contact</t>
        </is>
      </c>
      <c r="F190" t="n">
        <v>0</v>
      </c>
      <c r="G190" t="inlineStr">
        <is>
          <t>Tech C</t>
        </is>
      </c>
      <c r="H190">
        <f>INDEX(Limits!$B$2:$B$5,MATCH(E190,Limits!$A$2:$A$5,0))</f>
        <v/>
      </c>
      <c r="I190">
        <f>INDEX(Limits!$C$2:$C$5,MATCH(E190,Limits!$A$2:$A$5,0))</f>
        <v/>
      </c>
      <c r="J190">
        <f>IF(F190&gt;=I190,"Action",IF(F190&gt;=H190,"Alert","Pass"))</f>
        <v/>
      </c>
      <c r="K190" s="4">
        <f>DATE(YEAR(B190),MONTH(B190),1)</f>
        <v/>
      </c>
    </row>
    <row r="191">
      <c r="A191" t="inlineStr">
        <is>
          <t>EM000190</t>
        </is>
      </c>
      <c r="B191" s="7" t="n">
        <v>46038</v>
      </c>
      <c r="C191" t="inlineStr">
        <is>
          <t>Gowning</t>
        </is>
      </c>
      <c r="D191" t="inlineStr">
        <is>
          <t>ISO 8</t>
        </is>
      </c>
      <c r="E191" t="inlineStr">
        <is>
          <t>Personnel glove</t>
        </is>
      </c>
      <c r="F191" t="n">
        <v>0</v>
      </c>
      <c r="G191" t="inlineStr">
        <is>
          <t>Tech A</t>
        </is>
      </c>
      <c r="H191">
        <f>INDEX(Limits!$B$2:$B$5,MATCH(E191,Limits!$A$2:$A$5,0))</f>
        <v/>
      </c>
      <c r="I191">
        <f>INDEX(Limits!$C$2:$C$5,MATCH(E191,Limits!$A$2:$A$5,0))</f>
        <v/>
      </c>
      <c r="J191">
        <f>IF(F191&gt;=I191,"Action",IF(F191&gt;=H191,"Alert","Pass"))</f>
        <v/>
      </c>
      <c r="K191" s="4">
        <f>DATE(YEAR(B191),MONTH(B191),1)</f>
        <v/>
      </c>
    </row>
    <row r="192">
      <c r="A192" t="inlineStr">
        <is>
          <t>EM000191</t>
        </is>
      </c>
      <c r="B192" s="7" t="n">
        <v>46041</v>
      </c>
      <c r="C192" t="inlineStr">
        <is>
          <t>CR-101</t>
        </is>
      </c>
      <c r="D192" t="inlineStr">
        <is>
          <t>ISO 7</t>
        </is>
      </c>
      <c r="E192" t="inlineStr">
        <is>
          <t>Active air</t>
        </is>
      </c>
      <c r="F192" t="n">
        <v>2</v>
      </c>
      <c r="G192" t="inlineStr">
        <is>
          <t>Tech C</t>
        </is>
      </c>
      <c r="H192">
        <f>INDEX(Limits!$B$2:$B$5,MATCH(E192,Limits!$A$2:$A$5,0))</f>
        <v/>
      </c>
      <c r="I192">
        <f>INDEX(Limits!$C$2:$C$5,MATCH(E192,Limits!$A$2:$A$5,0))</f>
        <v/>
      </c>
      <c r="J192">
        <f>IF(F192&gt;=I192,"Action",IF(F192&gt;=H192,"Alert","Pass"))</f>
        <v/>
      </c>
      <c r="K192" s="4">
        <f>DATE(YEAR(B192),MONTH(B192),1)</f>
        <v/>
      </c>
    </row>
    <row r="193">
      <c r="A193" t="inlineStr">
        <is>
          <t>EM000192</t>
        </is>
      </c>
      <c r="B193" s="7" t="n">
        <v>46041</v>
      </c>
      <c r="C193" t="inlineStr">
        <is>
          <t>CR-101</t>
        </is>
      </c>
      <c r="D193" t="inlineStr">
        <is>
          <t>ISO 7</t>
        </is>
      </c>
      <c r="E193" t="inlineStr">
        <is>
          <t>Surface contact</t>
        </is>
      </c>
      <c r="F193" t="n">
        <v>0</v>
      </c>
      <c r="G193" t="inlineStr">
        <is>
          <t>Tech D</t>
        </is>
      </c>
      <c r="H193">
        <f>INDEX(Limits!$B$2:$B$5,MATCH(E193,Limits!$A$2:$A$5,0))</f>
        <v/>
      </c>
      <c r="I193">
        <f>INDEX(Limits!$C$2:$C$5,MATCH(E193,Limits!$A$2:$A$5,0))</f>
        <v/>
      </c>
      <c r="J193">
        <f>IF(F193&gt;=I193,"Action",IF(F193&gt;=H193,"Alert","Pass"))</f>
        <v/>
      </c>
      <c r="K193" s="4">
        <f>DATE(YEAR(B193),MONTH(B193),1)</f>
        <v/>
      </c>
    </row>
    <row r="194">
      <c r="A194" t="inlineStr">
        <is>
          <t>EM000193</t>
        </is>
      </c>
      <c r="B194" s="7" t="n">
        <v>46041</v>
      </c>
      <c r="C194" t="inlineStr">
        <is>
          <t>CR-101</t>
        </is>
      </c>
      <c r="D194" t="inlineStr">
        <is>
          <t>ISO 7</t>
        </is>
      </c>
      <c r="E194" t="inlineStr">
        <is>
          <t>Compressed air</t>
        </is>
      </c>
      <c r="F194" t="n">
        <v>0</v>
      </c>
      <c r="G194" t="inlineStr">
        <is>
          <t>Tech D</t>
        </is>
      </c>
      <c r="H194">
        <f>INDEX(Limits!$B$2:$B$5,MATCH(E194,Limits!$A$2:$A$5,0))</f>
        <v/>
      </c>
      <c r="I194">
        <f>INDEX(Limits!$C$2:$C$5,MATCH(E194,Limits!$A$2:$A$5,0))</f>
        <v/>
      </c>
      <c r="J194">
        <f>IF(F194&gt;=I194,"Action",IF(F194&gt;=H194,"Alert","Pass"))</f>
        <v/>
      </c>
      <c r="K194" s="4">
        <f>DATE(YEAR(B194),MONTH(B194),1)</f>
        <v/>
      </c>
    </row>
    <row r="195">
      <c r="A195" t="inlineStr">
        <is>
          <t>EM000194</t>
        </is>
      </c>
      <c r="B195" s="7" t="n">
        <v>46041</v>
      </c>
      <c r="C195" t="inlineStr">
        <is>
          <t>CR-101</t>
        </is>
      </c>
      <c r="D195" t="inlineStr">
        <is>
          <t>ISO 7</t>
        </is>
      </c>
      <c r="E195" t="inlineStr">
        <is>
          <t>Personnel glove</t>
        </is>
      </c>
      <c r="F195" t="n">
        <v>0</v>
      </c>
      <c r="G195" t="inlineStr">
        <is>
          <t>Tech B</t>
        </is>
      </c>
      <c r="H195">
        <f>INDEX(Limits!$B$2:$B$5,MATCH(E195,Limits!$A$2:$A$5,0))</f>
        <v/>
      </c>
      <c r="I195">
        <f>INDEX(Limits!$C$2:$C$5,MATCH(E195,Limits!$A$2:$A$5,0))</f>
        <v/>
      </c>
      <c r="J195">
        <f>IF(F195&gt;=I195,"Action",IF(F195&gt;=H195,"Alert","Pass"))</f>
        <v/>
      </c>
      <c r="K195" s="4">
        <f>DATE(YEAR(B195),MONTH(B195),1)</f>
        <v/>
      </c>
    </row>
    <row r="196">
      <c r="A196" t="inlineStr">
        <is>
          <t>EM000195</t>
        </is>
      </c>
      <c r="B196" s="7" t="n">
        <v>46041</v>
      </c>
      <c r="C196" t="inlineStr">
        <is>
          <t>CR-102</t>
        </is>
      </c>
      <c r="D196" t="inlineStr">
        <is>
          <t>ISO 7</t>
        </is>
      </c>
      <c r="E196" t="inlineStr">
        <is>
          <t>Active air</t>
        </is>
      </c>
      <c r="F196" t="n">
        <v>0</v>
      </c>
      <c r="G196" t="inlineStr">
        <is>
          <t>Tech B</t>
        </is>
      </c>
      <c r="H196">
        <f>INDEX(Limits!$B$2:$B$5,MATCH(E196,Limits!$A$2:$A$5,0))</f>
        <v/>
      </c>
      <c r="I196">
        <f>INDEX(Limits!$C$2:$C$5,MATCH(E196,Limits!$A$2:$A$5,0))</f>
        <v/>
      </c>
      <c r="J196">
        <f>IF(F196&gt;=I196,"Action",IF(F196&gt;=H196,"Alert","Pass"))</f>
        <v/>
      </c>
      <c r="K196" s="4">
        <f>DATE(YEAR(B196),MONTH(B196),1)</f>
        <v/>
      </c>
    </row>
    <row r="197">
      <c r="A197" t="inlineStr">
        <is>
          <t>EM000196</t>
        </is>
      </c>
      <c r="B197" s="7" t="n">
        <v>46041</v>
      </c>
      <c r="C197" t="inlineStr">
        <is>
          <t>CR-102</t>
        </is>
      </c>
      <c r="D197" t="inlineStr">
        <is>
          <t>ISO 7</t>
        </is>
      </c>
      <c r="E197" t="inlineStr">
        <is>
          <t>Surface contact</t>
        </is>
      </c>
      <c r="F197" t="n">
        <v>0</v>
      </c>
      <c r="G197" t="inlineStr">
        <is>
          <t>Tech A</t>
        </is>
      </c>
      <c r="H197">
        <f>INDEX(Limits!$B$2:$B$5,MATCH(E197,Limits!$A$2:$A$5,0))</f>
        <v/>
      </c>
      <c r="I197">
        <f>INDEX(Limits!$C$2:$C$5,MATCH(E197,Limits!$A$2:$A$5,0))</f>
        <v/>
      </c>
      <c r="J197">
        <f>IF(F197&gt;=I197,"Action",IF(F197&gt;=H197,"Alert","Pass"))</f>
        <v/>
      </c>
      <c r="K197" s="4">
        <f>DATE(YEAR(B197),MONTH(B197),1)</f>
        <v/>
      </c>
    </row>
    <row r="198">
      <c r="A198" t="inlineStr">
        <is>
          <t>EM000197</t>
        </is>
      </c>
      <c r="B198" s="7" t="n">
        <v>46041</v>
      </c>
      <c r="C198" t="inlineStr">
        <is>
          <t>CR-102</t>
        </is>
      </c>
      <c r="D198" t="inlineStr">
        <is>
          <t>ISO 7</t>
        </is>
      </c>
      <c r="E198" t="inlineStr">
        <is>
          <t>Compressed air</t>
        </is>
      </c>
      <c r="F198" t="n">
        <v>0</v>
      </c>
      <c r="G198" t="inlineStr">
        <is>
          <t>Tech D</t>
        </is>
      </c>
      <c r="H198">
        <f>INDEX(Limits!$B$2:$B$5,MATCH(E198,Limits!$A$2:$A$5,0))</f>
        <v/>
      </c>
      <c r="I198">
        <f>INDEX(Limits!$C$2:$C$5,MATCH(E198,Limits!$A$2:$A$5,0))</f>
        <v/>
      </c>
      <c r="J198">
        <f>IF(F198&gt;=I198,"Action",IF(F198&gt;=H198,"Alert","Pass"))</f>
        <v/>
      </c>
      <c r="K198" s="4">
        <f>DATE(YEAR(B198),MONTH(B198),1)</f>
        <v/>
      </c>
    </row>
    <row r="199">
      <c r="A199" t="inlineStr">
        <is>
          <t>EM000198</t>
        </is>
      </c>
      <c r="B199" s="7" t="n">
        <v>46041</v>
      </c>
      <c r="C199" t="inlineStr">
        <is>
          <t>CR-102</t>
        </is>
      </c>
      <c r="D199" t="inlineStr">
        <is>
          <t>ISO 7</t>
        </is>
      </c>
      <c r="E199" t="inlineStr">
        <is>
          <t>Personnel glove</t>
        </is>
      </c>
      <c r="F199" t="n">
        <v>0</v>
      </c>
      <c r="G199" t="inlineStr">
        <is>
          <t>Tech A</t>
        </is>
      </c>
      <c r="H199">
        <f>INDEX(Limits!$B$2:$B$5,MATCH(E199,Limits!$A$2:$A$5,0))</f>
        <v/>
      </c>
      <c r="I199">
        <f>INDEX(Limits!$C$2:$C$5,MATCH(E199,Limits!$A$2:$A$5,0))</f>
        <v/>
      </c>
      <c r="J199">
        <f>IF(F199&gt;=I199,"Action",IF(F199&gt;=H199,"Alert","Pass"))</f>
        <v/>
      </c>
      <c r="K199" s="4">
        <f>DATE(YEAR(B199),MONTH(B199),1)</f>
        <v/>
      </c>
    </row>
    <row r="200">
      <c r="A200" t="inlineStr">
        <is>
          <t>EM000199</t>
        </is>
      </c>
      <c r="B200" s="7" t="n">
        <v>46041</v>
      </c>
      <c r="C200" t="inlineStr">
        <is>
          <t>CR-201</t>
        </is>
      </c>
      <c r="D200" t="inlineStr">
        <is>
          <t>ISO 8</t>
        </is>
      </c>
      <c r="E200" t="inlineStr">
        <is>
          <t>Active air</t>
        </is>
      </c>
      <c r="F200" t="n">
        <v>0</v>
      </c>
      <c r="G200" t="inlineStr">
        <is>
          <t>Tech D</t>
        </is>
      </c>
      <c r="H200">
        <f>INDEX(Limits!$B$2:$B$5,MATCH(E200,Limits!$A$2:$A$5,0))</f>
        <v/>
      </c>
      <c r="I200">
        <f>INDEX(Limits!$C$2:$C$5,MATCH(E200,Limits!$A$2:$A$5,0))</f>
        <v/>
      </c>
      <c r="J200">
        <f>IF(F200&gt;=I200,"Action",IF(F200&gt;=H200,"Alert","Pass"))</f>
        <v/>
      </c>
      <c r="K200" s="4">
        <f>DATE(YEAR(B200),MONTH(B200),1)</f>
        <v/>
      </c>
    </row>
    <row r="201">
      <c r="A201" t="inlineStr">
        <is>
          <t>EM000200</t>
        </is>
      </c>
      <c r="B201" s="7" t="n">
        <v>46041</v>
      </c>
      <c r="C201" t="inlineStr">
        <is>
          <t>CR-201</t>
        </is>
      </c>
      <c r="D201" t="inlineStr">
        <is>
          <t>ISO 8</t>
        </is>
      </c>
      <c r="E201" t="inlineStr">
        <is>
          <t>Surface contact</t>
        </is>
      </c>
      <c r="F201" t="n">
        <v>0</v>
      </c>
      <c r="G201" t="inlineStr">
        <is>
          <t>Tech A</t>
        </is>
      </c>
      <c r="H201">
        <f>INDEX(Limits!$B$2:$B$5,MATCH(E201,Limits!$A$2:$A$5,0))</f>
        <v/>
      </c>
      <c r="I201">
        <f>INDEX(Limits!$C$2:$C$5,MATCH(E201,Limits!$A$2:$A$5,0))</f>
        <v/>
      </c>
      <c r="J201">
        <f>IF(F201&gt;=I201,"Action",IF(F201&gt;=H201,"Alert","Pass"))</f>
        <v/>
      </c>
      <c r="K201" s="4">
        <f>DATE(YEAR(B201),MONTH(B201),1)</f>
        <v/>
      </c>
    </row>
    <row r="202">
      <c r="A202" t="inlineStr">
        <is>
          <t>EM000201</t>
        </is>
      </c>
      <c r="B202" s="7" t="n">
        <v>46041</v>
      </c>
      <c r="C202" t="inlineStr">
        <is>
          <t>CR-201</t>
        </is>
      </c>
      <c r="D202" t="inlineStr">
        <is>
          <t>ISO 8</t>
        </is>
      </c>
      <c r="E202" t="inlineStr">
        <is>
          <t>Compressed air</t>
        </is>
      </c>
      <c r="F202" t="n">
        <v>0</v>
      </c>
      <c r="G202" t="inlineStr">
        <is>
          <t>Tech D</t>
        </is>
      </c>
      <c r="H202">
        <f>INDEX(Limits!$B$2:$B$5,MATCH(E202,Limits!$A$2:$A$5,0))</f>
        <v/>
      </c>
      <c r="I202">
        <f>INDEX(Limits!$C$2:$C$5,MATCH(E202,Limits!$A$2:$A$5,0))</f>
        <v/>
      </c>
      <c r="J202">
        <f>IF(F202&gt;=I202,"Action",IF(F202&gt;=H202,"Alert","Pass"))</f>
        <v/>
      </c>
      <c r="K202" s="4">
        <f>DATE(YEAR(B202),MONTH(B202),1)</f>
        <v/>
      </c>
    </row>
    <row r="203">
      <c r="A203" t="inlineStr">
        <is>
          <t>EM000202</t>
        </is>
      </c>
      <c r="B203" s="7" t="n">
        <v>46041</v>
      </c>
      <c r="C203" t="inlineStr">
        <is>
          <t>CR-201</t>
        </is>
      </c>
      <c r="D203" t="inlineStr">
        <is>
          <t>ISO 8</t>
        </is>
      </c>
      <c r="E203" t="inlineStr">
        <is>
          <t>Personnel glove</t>
        </is>
      </c>
      <c r="F203" t="n">
        <v>0</v>
      </c>
      <c r="G203" t="inlineStr">
        <is>
          <t>Tech C</t>
        </is>
      </c>
      <c r="H203">
        <f>INDEX(Limits!$B$2:$B$5,MATCH(E203,Limits!$A$2:$A$5,0))</f>
        <v/>
      </c>
      <c r="I203">
        <f>INDEX(Limits!$C$2:$C$5,MATCH(E203,Limits!$A$2:$A$5,0))</f>
        <v/>
      </c>
      <c r="J203">
        <f>IF(F203&gt;=I203,"Action",IF(F203&gt;=H203,"Alert","Pass"))</f>
        <v/>
      </c>
      <c r="K203" s="4">
        <f>DATE(YEAR(B203),MONTH(B203),1)</f>
        <v/>
      </c>
    </row>
    <row r="204">
      <c r="A204" t="inlineStr">
        <is>
          <t>EM000203</t>
        </is>
      </c>
      <c r="B204" s="7" t="n">
        <v>46041</v>
      </c>
      <c r="C204" t="inlineStr">
        <is>
          <t>CR-202</t>
        </is>
      </c>
      <c r="D204" t="inlineStr">
        <is>
          <t>ISO 8</t>
        </is>
      </c>
      <c r="E204" t="inlineStr">
        <is>
          <t>Active air</t>
        </is>
      </c>
      <c r="F204" t="n">
        <v>0</v>
      </c>
      <c r="G204" t="inlineStr">
        <is>
          <t>Tech D</t>
        </is>
      </c>
      <c r="H204">
        <f>INDEX(Limits!$B$2:$B$5,MATCH(E204,Limits!$A$2:$A$5,0))</f>
        <v/>
      </c>
      <c r="I204">
        <f>INDEX(Limits!$C$2:$C$5,MATCH(E204,Limits!$A$2:$A$5,0))</f>
        <v/>
      </c>
      <c r="J204">
        <f>IF(F204&gt;=I204,"Action",IF(F204&gt;=H204,"Alert","Pass"))</f>
        <v/>
      </c>
      <c r="K204" s="4">
        <f>DATE(YEAR(B204),MONTH(B204),1)</f>
        <v/>
      </c>
    </row>
    <row r="205">
      <c r="A205" t="inlineStr">
        <is>
          <t>EM000204</t>
        </is>
      </c>
      <c r="B205" s="7" t="n">
        <v>46041</v>
      </c>
      <c r="C205" t="inlineStr">
        <is>
          <t>CR-202</t>
        </is>
      </c>
      <c r="D205" t="inlineStr">
        <is>
          <t>ISO 8</t>
        </is>
      </c>
      <c r="E205" t="inlineStr">
        <is>
          <t>Surface contact</t>
        </is>
      </c>
      <c r="F205" t="n">
        <v>2</v>
      </c>
      <c r="G205" t="inlineStr">
        <is>
          <t>Tech D</t>
        </is>
      </c>
      <c r="H205">
        <f>INDEX(Limits!$B$2:$B$5,MATCH(E205,Limits!$A$2:$A$5,0))</f>
        <v/>
      </c>
      <c r="I205">
        <f>INDEX(Limits!$C$2:$C$5,MATCH(E205,Limits!$A$2:$A$5,0))</f>
        <v/>
      </c>
      <c r="J205">
        <f>IF(F205&gt;=I205,"Action",IF(F205&gt;=H205,"Alert","Pass"))</f>
        <v/>
      </c>
      <c r="K205" s="4">
        <f>DATE(YEAR(B205),MONTH(B205),1)</f>
        <v/>
      </c>
    </row>
    <row r="206">
      <c r="A206" t="inlineStr">
        <is>
          <t>EM000205</t>
        </is>
      </c>
      <c r="B206" s="7" t="n">
        <v>46041</v>
      </c>
      <c r="C206" t="inlineStr">
        <is>
          <t>CR-202</t>
        </is>
      </c>
      <c r="D206" t="inlineStr">
        <is>
          <t>ISO 8</t>
        </is>
      </c>
      <c r="E206" t="inlineStr">
        <is>
          <t>Compressed air</t>
        </is>
      </c>
      <c r="F206" t="n">
        <v>0</v>
      </c>
      <c r="G206" t="inlineStr">
        <is>
          <t>Tech D</t>
        </is>
      </c>
      <c r="H206">
        <f>INDEX(Limits!$B$2:$B$5,MATCH(E206,Limits!$A$2:$A$5,0))</f>
        <v/>
      </c>
      <c r="I206">
        <f>INDEX(Limits!$C$2:$C$5,MATCH(E206,Limits!$A$2:$A$5,0))</f>
        <v/>
      </c>
      <c r="J206">
        <f>IF(F206&gt;=I206,"Action",IF(F206&gt;=H206,"Alert","Pass"))</f>
        <v/>
      </c>
      <c r="K206" s="4">
        <f>DATE(YEAR(B206),MONTH(B206),1)</f>
        <v/>
      </c>
    </row>
    <row r="207">
      <c r="A207" t="inlineStr">
        <is>
          <t>EM000206</t>
        </is>
      </c>
      <c r="B207" s="7" t="n">
        <v>46041</v>
      </c>
      <c r="C207" t="inlineStr">
        <is>
          <t>CR-202</t>
        </is>
      </c>
      <c r="D207" t="inlineStr">
        <is>
          <t>ISO 8</t>
        </is>
      </c>
      <c r="E207" t="inlineStr">
        <is>
          <t>Personnel glove</t>
        </is>
      </c>
      <c r="F207" t="n">
        <v>0</v>
      </c>
      <c r="G207" t="inlineStr">
        <is>
          <t>Tech C</t>
        </is>
      </c>
      <c r="H207">
        <f>INDEX(Limits!$B$2:$B$5,MATCH(E207,Limits!$A$2:$A$5,0))</f>
        <v/>
      </c>
      <c r="I207">
        <f>INDEX(Limits!$C$2:$C$5,MATCH(E207,Limits!$A$2:$A$5,0))</f>
        <v/>
      </c>
      <c r="J207">
        <f>IF(F207&gt;=I207,"Action",IF(F207&gt;=H207,"Alert","Pass"))</f>
        <v/>
      </c>
      <c r="K207" s="4">
        <f>DATE(YEAR(B207),MONTH(B207),1)</f>
        <v/>
      </c>
    </row>
    <row r="208">
      <c r="A208" t="inlineStr">
        <is>
          <t>EM000207</t>
        </is>
      </c>
      <c r="B208" s="7" t="n">
        <v>46041</v>
      </c>
      <c r="C208" t="inlineStr">
        <is>
          <t>Gowning</t>
        </is>
      </c>
      <c r="D208" t="inlineStr">
        <is>
          <t>ISO 8</t>
        </is>
      </c>
      <c r="E208" t="inlineStr">
        <is>
          <t>Active air</t>
        </is>
      </c>
      <c r="F208" t="n">
        <v>2</v>
      </c>
      <c r="G208" t="inlineStr">
        <is>
          <t>Tech A</t>
        </is>
      </c>
      <c r="H208">
        <f>INDEX(Limits!$B$2:$B$5,MATCH(E208,Limits!$A$2:$A$5,0))</f>
        <v/>
      </c>
      <c r="I208">
        <f>INDEX(Limits!$C$2:$C$5,MATCH(E208,Limits!$A$2:$A$5,0))</f>
        <v/>
      </c>
      <c r="J208">
        <f>IF(F208&gt;=I208,"Action",IF(F208&gt;=H208,"Alert","Pass"))</f>
        <v/>
      </c>
      <c r="K208" s="4">
        <f>DATE(YEAR(B208),MONTH(B208),1)</f>
        <v/>
      </c>
    </row>
    <row r="209">
      <c r="A209" t="inlineStr">
        <is>
          <t>EM000208</t>
        </is>
      </c>
      <c r="B209" s="7" t="n">
        <v>46041</v>
      </c>
      <c r="C209" t="inlineStr">
        <is>
          <t>Gowning</t>
        </is>
      </c>
      <c r="D209" t="inlineStr">
        <is>
          <t>ISO 8</t>
        </is>
      </c>
      <c r="E209" t="inlineStr">
        <is>
          <t>Surface contact</t>
        </is>
      </c>
      <c r="F209" t="n">
        <v>0</v>
      </c>
      <c r="G209" t="inlineStr">
        <is>
          <t>Tech A</t>
        </is>
      </c>
      <c r="H209">
        <f>INDEX(Limits!$B$2:$B$5,MATCH(E209,Limits!$A$2:$A$5,0))</f>
        <v/>
      </c>
      <c r="I209">
        <f>INDEX(Limits!$C$2:$C$5,MATCH(E209,Limits!$A$2:$A$5,0))</f>
        <v/>
      </c>
      <c r="J209">
        <f>IF(F209&gt;=I209,"Action",IF(F209&gt;=H209,"Alert","Pass"))</f>
        <v/>
      </c>
      <c r="K209" s="4">
        <f>DATE(YEAR(B209),MONTH(B209),1)</f>
        <v/>
      </c>
    </row>
    <row r="210">
      <c r="A210" t="inlineStr">
        <is>
          <t>EM000209</t>
        </is>
      </c>
      <c r="B210" s="7" t="n">
        <v>46041</v>
      </c>
      <c r="C210" t="inlineStr">
        <is>
          <t>Gowning</t>
        </is>
      </c>
      <c r="D210" t="inlineStr">
        <is>
          <t>ISO 8</t>
        </is>
      </c>
      <c r="E210" t="inlineStr">
        <is>
          <t>Personnel glove</t>
        </is>
      </c>
      <c r="F210" t="n">
        <v>0</v>
      </c>
      <c r="G210" t="inlineStr">
        <is>
          <t>Tech C</t>
        </is>
      </c>
      <c r="H210">
        <f>INDEX(Limits!$B$2:$B$5,MATCH(E210,Limits!$A$2:$A$5,0))</f>
        <v/>
      </c>
      <c r="I210">
        <f>INDEX(Limits!$C$2:$C$5,MATCH(E210,Limits!$A$2:$A$5,0))</f>
        <v/>
      </c>
      <c r="J210">
        <f>IF(F210&gt;=I210,"Action",IF(F210&gt;=H210,"Alert","Pass"))</f>
        <v/>
      </c>
      <c r="K210" s="4">
        <f>DATE(YEAR(B210),MONTH(B210),1)</f>
        <v/>
      </c>
    </row>
    <row r="211">
      <c r="A211" t="inlineStr">
        <is>
          <t>EM000210</t>
        </is>
      </c>
      <c r="B211" s="7" t="n">
        <v>46042</v>
      </c>
      <c r="C211" t="inlineStr">
        <is>
          <t>CR-101</t>
        </is>
      </c>
      <c r="D211" t="inlineStr">
        <is>
          <t>ISO 7</t>
        </is>
      </c>
      <c r="E211" t="inlineStr">
        <is>
          <t>Active air</t>
        </is>
      </c>
      <c r="F211" t="n">
        <v>1</v>
      </c>
      <c r="G211" t="inlineStr">
        <is>
          <t>Tech B</t>
        </is>
      </c>
      <c r="H211">
        <f>INDEX(Limits!$B$2:$B$5,MATCH(E211,Limits!$A$2:$A$5,0))</f>
        <v/>
      </c>
      <c r="I211">
        <f>INDEX(Limits!$C$2:$C$5,MATCH(E211,Limits!$A$2:$A$5,0))</f>
        <v/>
      </c>
      <c r="J211">
        <f>IF(F211&gt;=I211,"Action",IF(F211&gt;=H211,"Alert","Pass"))</f>
        <v/>
      </c>
      <c r="K211" s="4">
        <f>DATE(YEAR(B211),MONTH(B211),1)</f>
        <v/>
      </c>
    </row>
    <row r="212">
      <c r="A212" t="inlineStr">
        <is>
          <t>EM000211</t>
        </is>
      </c>
      <c r="B212" s="7" t="n">
        <v>46042</v>
      </c>
      <c r="C212" t="inlineStr">
        <is>
          <t>CR-101</t>
        </is>
      </c>
      <c r="D212" t="inlineStr">
        <is>
          <t>ISO 7</t>
        </is>
      </c>
      <c r="E212" t="inlineStr">
        <is>
          <t>Surface contact</t>
        </is>
      </c>
      <c r="F212" t="n">
        <v>0</v>
      </c>
      <c r="G212" t="inlineStr">
        <is>
          <t>Tech D</t>
        </is>
      </c>
      <c r="H212">
        <f>INDEX(Limits!$B$2:$B$5,MATCH(E212,Limits!$A$2:$A$5,0))</f>
        <v/>
      </c>
      <c r="I212">
        <f>INDEX(Limits!$C$2:$C$5,MATCH(E212,Limits!$A$2:$A$5,0))</f>
        <v/>
      </c>
      <c r="J212">
        <f>IF(F212&gt;=I212,"Action",IF(F212&gt;=H212,"Alert","Pass"))</f>
        <v/>
      </c>
      <c r="K212" s="4">
        <f>DATE(YEAR(B212),MONTH(B212),1)</f>
        <v/>
      </c>
    </row>
    <row r="213">
      <c r="A213" t="inlineStr">
        <is>
          <t>EM000212</t>
        </is>
      </c>
      <c r="B213" s="7" t="n">
        <v>46042</v>
      </c>
      <c r="C213" t="inlineStr">
        <is>
          <t>CR-101</t>
        </is>
      </c>
      <c r="D213" t="inlineStr">
        <is>
          <t>ISO 7</t>
        </is>
      </c>
      <c r="E213" t="inlineStr">
        <is>
          <t>Compressed air</t>
        </is>
      </c>
      <c r="F213" t="n">
        <v>0</v>
      </c>
      <c r="G213" t="inlineStr">
        <is>
          <t>Tech A</t>
        </is>
      </c>
      <c r="H213">
        <f>INDEX(Limits!$B$2:$B$5,MATCH(E213,Limits!$A$2:$A$5,0))</f>
        <v/>
      </c>
      <c r="I213">
        <f>INDEX(Limits!$C$2:$C$5,MATCH(E213,Limits!$A$2:$A$5,0))</f>
        <v/>
      </c>
      <c r="J213">
        <f>IF(F213&gt;=I213,"Action",IF(F213&gt;=H213,"Alert","Pass"))</f>
        <v/>
      </c>
      <c r="K213" s="4">
        <f>DATE(YEAR(B213),MONTH(B213),1)</f>
        <v/>
      </c>
    </row>
    <row r="214">
      <c r="A214" t="inlineStr">
        <is>
          <t>EM000213</t>
        </is>
      </c>
      <c r="B214" s="7" t="n">
        <v>46042</v>
      </c>
      <c r="C214" t="inlineStr">
        <is>
          <t>CR-101</t>
        </is>
      </c>
      <c r="D214" t="inlineStr">
        <is>
          <t>ISO 7</t>
        </is>
      </c>
      <c r="E214" t="inlineStr">
        <is>
          <t>Personnel glove</t>
        </is>
      </c>
      <c r="F214" t="n">
        <v>0</v>
      </c>
      <c r="G214" t="inlineStr">
        <is>
          <t>Tech D</t>
        </is>
      </c>
      <c r="H214">
        <f>INDEX(Limits!$B$2:$B$5,MATCH(E214,Limits!$A$2:$A$5,0))</f>
        <v/>
      </c>
      <c r="I214">
        <f>INDEX(Limits!$C$2:$C$5,MATCH(E214,Limits!$A$2:$A$5,0))</f>
        <v/>
      </c>
      <c r="J214">
        <f>IF(F214&gt;=I214,"Action",IF(F214&gt;=H214,"Alert","Pass"))</f>
        <v/>
      </c>
      <c r="K214" s="4">
        <f>DATE(YEAR(B214),MONTH(B214),1)</f>
        <v/>
      </c>
    </row>
    <row r="215">
      <c r="A215" t="inlineStr">
        <is>
          <t>EM000214</t>
        </is>
      </c>
      <c r="B215" s="7" t="n">
        <v>46042</v>
      </c>
      <c r="C215" t="inlineStr">
        <is>
          <t>CR-102</t>
        </is>
      </c>
      <c r="D215" t="inlineStr">
        <is>
          <t>ISO 7</t>
        </is>
      </c>
      <c r="E215" t="inlineStr">
        <is>
          <t>Active air</t>
        </is>
      </c>
      <c r="F215" t="n">
        <v>1</v>
      </c>
      <c r="G215" t="inlineStr">
        <is>
          <t>Tech A</t>
        </is>
      </c>
      <c r="H215">
        <f>INDEX(Limits!$B$2:$B$5,MATCH(E215,Limits!$A$2:$A$5,0))</f>
        <v/>
      </c>
      <c r="I215">
        <f>INDEX(Limits!$C$2:$C$5,MATCH(E215,Limits!$A$2:$A$5,0))</f>
        <v/>
      </c>
      <c r="J215">
        <f>IF(F215&gt;=I215,"Action",IF(F215&gt;=H215,"Alert","Pass"))</f>
        <v/>
      </c>
      <c r="K215" s="4">
        <f>DATE(YEAR(B215),MONTH(B215),1)</f>
        <v/>
      </c>
    </row>
    <row r="216">
      <c r="A216" t="inlineStr">
        <is>
          <t>EM000215</t>
        </is>
      </c>
      <c r="B216" s="7" t="n">
        <v>46042</v>
      </c>
      <c r="C216" t="inlineStr">
        <is>
          <t>CR-102</t>
        </is>
      </c>
      <c r="D216" t="inlineStr">
        <is>
          <t>ISO 7</t>
        </is>
      </c>
      <c r="E216" t="inlineStr">
        <is>
          <t>Surface contact</t>
        </is>
      </c>
      <c r="F216" t="n">
        <v>0</v>
      </c>
      <c r="G216" t="inlineStr">
        <is>
          <t>Tech D</t>
        </is>
      </c>
      <c r="H216">
        <f>INDEX(Limits!$B$2:$B$5,MATCH(E216,Limits!$A$2:$A$5,0))</f>
        <v/>
      </c>
      <c r="I216">
        <f>INDEX(Limits!$C$2:$C$5,MATCH(E216,Limits!$A$2:$A$5,0))</f>
        <v/>
      </c>
      <c r="J216">
        <f>IF(F216&gt;=I216,"Action",IF(F216&gt;=H216,"Alert","Pass"))</f>
        <v/>
      </c>
      <c r="K216" s="4">
        <f>DATE(YEAR(B216),MONTH(B216),1)</f>
        <v/>
      </c>
    </row>
    <row r="217">
      <c r="A217" t="inlineStr">
        <is>
          <t>EM000216</t>
        </is>
      </c>
      <c r="B217" s="7" t="n">
        <v>46042</v>
      </c>
      <c r="C217" t="inlineStr">
        <is>
          <t>CR-102</t>
        </is>
      </c>
      <c r="D217" t="inlineStr">
        <is>
          <t>ISO 7</t>
        </is>
      </c>
      <c r="E217" t="inlineStr">
        <is>
          <t>Compressed air</t>
        </is>
      </c>
      <c r="F217" t="n">
        <v>0</v>
      </c>
      <c r="G217" t="inlineStr">
        <is>
          <t>Tech B</t>
        </is>
      </c>
      <c r="H217">
        <f>INDEX(Limits!$B$2:$B$5,MATCH(E217,Limits!$A$2:$A$5,0))</f>
        <v/>
      </c>
      <c r="I217">
        <f>INDEX(Limits!$C$2:$C$5,MATCH(E217,Limits!$A$2:$A$5,0))</f>
        <v/>
      </c>
      <c r="J217">
        <f>IF(F217&gt;=I217,"Action",IF(F217&gt;=H217,"Alert","Pass"))</f>
        <v/>
      </c>
      <c r="K217" s="4">
        <f>DATE(YEAR(B217),MONTH(B217),1)</f>
        <v/>
      </c>
    </row>
    <row r="218">
      <c r="A218" t="inlineStr">
        <is>
          <t>EM000217</t>
        </is>
      </c>
      <c r="B218" s="7" t="n">
        <v>46042</v>
      </c>
      <c r="C218" t="inlineStr">
        <is>
          <t>CR-102</t>
        </is>
      </c>
      <c r="D218" t="inlineStr">
        <is>
          <t>ISO 7</t>
        </is>
      </c>
      <c r="E218" t="inlineStr">
        <is>
          <t>Personnel glove</t>
        </is>
      </c>
      <c r="F218" t="n">
        <v>0</v>
      </c>
      <c r="G218" t="inlineStr">
        <is>
          <t>Tech B</t>
        </is>
      </c>
      <c r="H218">
        <f>INDEX(Limits!$B$2:$B$5,MATCH(E218,Limits!$A$2:$A$5,0))</f>
        <v/>
      </c>
      <c r="I218">
        <f>INDEX(Limits!$C$2:$C$5,MATCH(E218,Limits!$A$2:$A$5,0))</f>
        <v/>
      </c>
      <c r="J218">
        <f>IF(F218&gt;=I218,"Action",IF(F218&gt;=H218,"Alert","Pass"))</f>
        <v/>
      </c>
      <c r="K218" s="4">
        <f>DATE(YEAR(B218),MONTH(B218),1)</f>
        <v/>
      </c>
    </row>
    <row r="219">
      <c r="A219" t="inlineStr">
        <is>
          <t>EM000218</t>
        </is>
      </c>
      <c r="B219" s="7" t="n">
        <v>46042</v>
      </c>
      <c r="C219" t="inlineStr">
        <is>
          <t>CR-201</t>
        </is>
      </c>
      <c r="D219" t="inlineStr">
        <is>
          <t>ISO 8</t>
        </is>
      </c>
      <c r="E219" t="inlineStr">
        <is>
          <t>Active air</t>
        </is>
      </c>
      <c r="F219" t="n">
        <v>1</v>
      </c>
      <c r="G219" t="inlineStr">
        <is>
          <t>Tech B</t>
        </is>
      </c>
      <c r="H219">
        <f>INDEX(Limits!$B$2:$B$5,MATCH(E219,Limits!$A$2:$A$5,0))</f>
        <v/>
      </c>
      <c r="I219">
        <f>INDEX(Limits!$C$2:$C$5,MATCH(E219,Limits!$A$2:$A$5,0))</f>
        <v/>
      </c>
      <c r="J219">
        <f>IF(F219&gt;=I219,"Action",IF(F219&gt;=H219,"Alert","Pass"))</f>
        <v/>
      </c>
      <c r="K219" s="4">
        <f>DATE(YEAR(B219),MONTH(B219),1)</f>
        <v/>
      </c>
    </row>
    <row r="220">
      <c r="A220" t="inlineStr">
        <is>
          <t>EM000219</t>
        </is>
      </c>
      <c r="B220" s="7" t="n">
        <v>46042</v>
      </c>
      <c r="C220" t="inlineStr">
        <is>
          <t>CR-201</t>
        </is>
      </c>
      <c r="D220" t="inlineStr">
        <is>
          <t>ISO 8</t>
        </is>
      </c>
      <c r="E220" t="inlineStr">
        <is>
          <t>Surface contact</t>
        </is>
      </c>
      <c r="F220" t="n">
        <v>0</v>
      </c>
      <c r="G220" t="inlineStr">
        <is>
          <t>Tech A</t>
        </is>
      </c>
      <c r="H220">
        <f>INDEX(Limits!$B$2:$B$5,MATCH(E220,Limits!$A$2:$A$5,0))</f>
        <v/>
      </c>
      <c r="I220">
        <f>INDEX(Limits!$C$2:$C$5,MATCH(E220,Limits!$A$2:$A$5,0))</f>
        <v/>
      </c>
      <c r="J220">
        <f>IF(F220&gt;=I220,"Action",IF(F220&gt;=H220,"Alert","Pass"))</f>
        <v/>
      </c>
      <c r="K220" s="4">
        <f>DATE(YEAR(B220),MONTH(B220),1)</f>
        <v/>
      </c>
    </row>
    <row r="221">
      <c r="A221" t="inlineStr">
        <is>
          <t>EM000220</t>
        </is>
      </c>
      <c r="B221" s="7" t="n">
        <v>46042</v>
      </c>
      <c r="C221" t="inlineStr">
        <is>
          <t>CR-201</t>
        </is>
      </c>
      <c r="D221" t="inlineStr">
        <is>
          <t>ISO 8</t>
        </is>
      </c>
      <c r="E221" t="inlineStr">
        <is>
          <t>Compressed air</t>
        </is>
      </c>
      <c r="F221" t="n">
        <v>0</v>
      </c>
      <c r="G221" t="inlineStr">
        <is>
          <t>Tech A</t>
        </is>
      </c>
      <c r="H221">
        <f>INDEX(Limits!$B$2:$B$5,MATCH(E221,Limits!$A$2:$A$5,0))</f>
        <v/>
      </c>
      <c r="I221">
        <f>INDEX(Limits!$C$2:$C$5,MATCH(E221,Limits!$A$2:$A$5,0))</f>
        <v/>
      </c>
      <c r="J221">
        <f>IF(F221&gt;=I221,"Action",IF(F221&gt;=H221,"Alert","Pass"))</f>
        <v/>
      </c>
      <c r="K221" s="4">
        <f>DATE(YEAR(B221),MONTH(B221),1)</f>
        <v/>
      </c>
    </row>
    <row r="222">
      <c r="A222" t="inlineStr">
        <is>
          <t>EM000221</t>
        </is>
      </c>
      <c r="B222" s="7" t="n">
        <v>46042</v>
      </c>
      <c r="C222" t="inlineStr">
        <is>
          <t>CR-201</t>
        </is>
      </c>
      <c r="D222" t="inlineStr">
        <is>
          <t>ISO 8</t>
        </is>
      </c>
      <c r="E222" t="inlineStr">
        <is>
          <t>Personnel glove</t>
        </is>
      </c>
      <c r="F222" t="n">
        <v>0</v>
      </c>
      <c r="G222" t="inlineStr">
        <is>
          <t>Tech A</t>
        </is>
      </c>
      <c r="H222">
        <f>INDEX(Limits!$B$2:$B$5,MATCH(E222,Limits!$A$2:$A$5,0))</f>
        <v/>
      </c>
      <c r="I222">
        <f>INDEX(Limits!$C$2:$C$5,MATCH(E222,Limits!$A$2:$A$5,0))</f>
        <v/>
      </c>
      <c r="J222">
        <f>IF(F222&gt;=I222,"Action",IF(F222&gt;=H222,"Alert","Pass"))</f>
        <v/>
      </c>
      <c r="K222" s="4">
        <f>DATE(YEAR(B222),MONTH(B222),1)</f>
        <v/>
      </c>
    </row>
    <row r="223">
      <c r="A223" t="inlineStr">
        <is>
          <t>EM000222</t>
        </is>
      </c>
      <c r="B223" s="7" t="n">
        <v>46042</v>
      </c>
      <c r="C223" t="inlineStr">
        <is>
          <t>CR-202</t>
        </is>
      </c>
      <c r="D223" t="inlineStr">
        <is>
          <t>ISO 8</t>
        </is>
      </c>
      <c r="E223" t="inlineStr">
        <is>
          <t>Active air</t>
        </is>
      </c>
      <c r="F223" t="n">
        <v>2</v>
      </c>
      <c r="G223" t="inlineStr">
        <is>
          <t>Tech D</t>
        </is>
      </c>
      <c r="H223">
        <f>INDEX(Limits!$B$2:$B$5,MATCH(E223,Limits!$A$2:$A$5,0))</f>
        <v/>
      </c>
      <c r="I223">
        <f>INDEX(Limits!$C$2:$C$5,MATCH(E223,Limits!$A$2:$A$5,0))</f>
        <v/>
      </c>
      <c r="J223">
        <f>IF(F223&gt;=I223,"Action",IF(F223&gt;=H223,"Alert","Pass"))</f>
        <v/>
      </c>
      <c r="K223" s="4">
        <f>DATE(YEAR(B223),MONTH(B223),1)</f>
        <v/>
      </c>
    </row>
    <row r="224">
      <c r="A224" t="inlineStr">
        <is>
          <t>EM000223</t>
        </is>
      </c>
      <c r="B224" s="7" t="n">
        <v>46042</v>
      </c>
      <c r="C224" t="inlineStr">
        <is>
          <t>CR-202</t>
        </is>
      </c>
      <c r="D224" t="inlineStr">
        <is>
          <t>ISO 8</t>
        </is>
      </c>
      <c r="E224" t="inlineStr">
        <is>
          <t>Surface contact</t>
        </is>
      </c>
      <c r="F224" t="n">
        <v>1</v>
      </c>
      <c r="G224" t="inlineStr">
        <is>
          <t>Tech B</t>
        </is>
      </c>
      <c r="H224">
        <f>INDEX(Limits!$B$2:$B$5,MATCH(E224,Limits!$A$2:$A$5,0))</f>
        <v/>
      </c>
      <c r="I224">
        <f>INDEX(Limits!$C$2:$C$5,MATCH(E224,Limits!$A$2:$A$5,0))</f>
        <v/>
      </c>
      <c r="J224">
        <f>IF(F224&gt;=I224,"Action",IF(F224&gt;=H224,"Alert","Pass"))</f>
        <v/>
      </c>
      <c r="K224" s="4">
        <f>DATE(YEAR(B224),MONTH(B224),1)</f>
        <v/>
      </c>
    </row>
    <row r="225">
      <c r="A225" t="inlineStr">
        <is>
          <t>EM000224</t>
        </is>
      </c>
      <c r="B225" s="7" t="n">
        <v>46042</v>
      </c>
      <c r="C225" t="inlineStr">
        <is>
          <t>CR-202</t>
        </is>
      </c>
      <c r="D225" t="inlineStr">
        <is>
          <t>ISO 8</t>
        </is>
      </c>
      <c r="E225" t="inlineStr">
        <is>
          <t>Compressed air</t>
        </is>
      </c>
      <c r="F225" t="n">
        <v>0</v>
      </c>
      <c r="G225" t="inlineStr">
        <is>
          <t>Tech B</t>
        </is>
      </c>
      <c r="H225">
        <f>INDEX(Limits!$B$2:$B$5,MATCH(E225,Limits!$A$2:$A$5,0))</f>
        <v/>
      </c>
      <c r="I225">
        <f>INDEX(Limits!$C$2:$C$5,MATCH(E225,Limits!$A$2:$A$5,0))</f>
        <v/>
      </c>
      <c r="J225">
        <f>IF(F225&gt;=I225,"Action",IF(F225&gt;=H225,"Alert","Pass"))</f>
        <v/>
      </c>
      <c r="K225" s="4">
        <f>DATE(YEAR(B225),MONTH(B225),1)</f>
        <v/>
      </c>
    </row>
    <row r="226">
      <c r="A226" t="inlineStr">
        <is>
          <t>EM000225</t>
        </is>
      </c>
      <c r="B226" s="7" t="n">
        <v>46042</v>
      </c>
      <c r="C226" t="inlineStr">
        <is>
          <t>CR-202</t>
        </is>
      </c>
      <c r="D226" t="inlineStr">
        <is>
          <t>ISO 8</t>
        </is>
      </c>
      <c r="E226" t="inlineStr">
        <is>
          <t>Personnel glove</t>
        </is>
      </c>
      <c r="F226" t="n">
        <v>1</v>
      </c>
      <c r="G226" t="inlineStr">
        <is>
          <t>Tech A</t>
        </is>
      </c>
      <c r="H226">
        <f>INDEX(Limits!$B$2:$B$5,MATCH(E226,Limits!$A$2:$A$5,0))</f>
        <v/>
      </c>
      <c r="I226">
        <f>INDEX(Limits!$C$2:$C$5,MATCH(E226,Limits!$A$2:$A$5,0))</f>
        <v/>
      </c>
      <c r="J226">
        <f>IF(F226&gt;=I226,"Action",IF(F226&gt;=H226,"Alert","Pass"))</f>
        <v/>
      </c>
      <c r="K226" s="4">
        <f>DATE(YEAR(B226),MONTH(B226),1)</f>
        <v/>
      </c>
    </row>
    <row r="227">
      <c r="A227" t="inlineStr">
        <is>
          <t>EM000226</t>
        </is>
      </c>
      <c r="B227" s="7" t="n">
        <v>46042</v>
      </c>
      <c r="C227" t="inlineStr">
        <is>
          <t>Gowning</t>
        </is>
      </c>
      <c r="D227" t="inlineStr">
        <is>
          <t>ISO 8</t>
        </is>
      </c>
      <c r="E227" t="inlineStr">
        <is>
          <t>Active air</t>
        </is>
      </c>
      <c r="F227" t="n">
        <v>1</v>
      </c>
      <c r="G227" t="inlineStr">
        <is>
          <t>Tech B</t>
        </is>
      </c>
      <c r="H227">
        <f>INDEX(Limits!$B$2:$B$5,MATCH(E227,Limits!$A$2:$A$5,0))</f>
        <v/>
      </c>
      <c r="I227">
        <f>INDEX(Limits!$C$2:$C$5,MATCH(E227,Limits!$A$2:$A$5,0))</f>
        <v/>
      </c>
      <c r="J227">
        <f>IF(F227&gt;=I227,"Action",IF(F227&gt;=H227,"Alert","Pass"))</f>
        <v/>
      </c>
      <c r="K227" s="4">
        <f>DATE(YEAR(B227),MONTH(B227),1)</f>
        <v/>
      </c>
    </row>
    <row r="228">
      <c r="A228" t="inlineStr">
        <is>
          <t>EM000227</t>
        </is>
      </c>
      <c r="B228" s="7" t="n">
        <v>46042</v>
      </c>
      <c r="C228" t="inlineStr">
        <is>
          <t>Gowning</t>
        </is>
      </c>
      <c r="D228" t="inlineStr">
        <is>
          <t>ISO 8</t>
        </is>
      </c>
      <c r="E228" t="inlineStr">
        <is>
          <t>Surface contact</t>
        </is>
      </c>
      <c r="F228" t="n">
        <v>1</v>
      </c>
      <c r="G228" t="inlineStr">
        <is>
          <t>Tech B</t>
        </is>
      </c>
      <c r="H228">
        <f>INDEX(Limits!$B$2:$B$5,MATCH(E228,Limits!$A$2:$A$5,0))</f>
        <v/>
      </c>
      <c r="I228">
        <f>INDEX(Limits!$C$2:$C$5,MATCH(E228,Limits!$A$2:$A$5,0))</f>
        <v/>
      </c>
      <c r="J228">
        <f>IF(F228&gt;=I228,"Action",IF(F228&gt;=H228,"Alert","Pass"))</f>
        <v/>
      </c>
      <c r="K228" s="4">
        <f>DATE(YEAR(B228),MONTH(B228),1)</f>
        <v/>
      </c>
    </row>
    <row r="229">
      <c r="A229" t="inlineStr">
        <is>
          <t>EM000228</t>
        </is>
      </c>
      <c r="B229" s="7" t="n">
        <v>46042</v>
      </c>
      <c r="C229" t="inlineStr">
        <is>
          <t>Gowning</t>
        </is>
      </c>
      <c r="D229" t="inlineStr">
        <is>
          <t>ISO 8</t>
        </is>
      </c>
      <c r="E229" t="inlineStr">
        <is>
          <t>Personnel glove</t>
        </is>
      </c>
      <c r="F229" t="n">
        <v>0</v>
      </c>
      <c r="G229" t="inlineStr">
        <is>
          <t>Tech A</t>
        </is>
      </c>
      <c r="H229">
        <f>INDEX(Limits!$B$2:$B$5,MATCH(E229,Limits!$A$2:$A$5,0))</f>
        <v/>
      </c>
      <c r="I229">
        <f>INDEX(Limits!$C$2:$C$5,MATCH(E229,Limits!$A$2:$A$5,0))</f>
        <v/>
      </c>
      <c r="J229">
        <f>IF(F229&gt;=I229,"Action",IF(F229&gt;=H229,"Alert","Pass"))</f>
        <v/>
      </c>
      <c r="K229" s="4">
        <f>DATE(YEAR(B229),MONTH(B229),1)</f>
        <v/>
      </c>
    </row>
    <row r="230">
      <c r="A230" t="inlineStr">
        <is>
          <t>EM000229</t>
        </is>
      </c>
      <c r="B230" s="7" t="n">
        <v>46043</v>
      </c>
      <c r="C230" t="inlineStr">
        <is>
          <t>CR-101</t>
        </is>
      </c>
      <c r="D230" t="inlineStr">
        <is>
          <t>ISO 7</t>
        </is>
      </c>
      <c r="E230" t="inlineStr">
        <is>
          <t>Active air</t>
        </is>
      </c>
      <c r="F230" t="n">
        <v>0</v>
      </c>
      <c r="G230" t="inlineStr">
        <is>
          <t>Tech C</t>
        </is>
      </c>
      <c r="H230">
        <f>INDEX(Limits!$B$2:$B$5,MATCH(E230,Limits!$A$2:$A$5,0))</f>
        <v/>
      </c>
      <c r="I230">
        <f>INDEX(Limits!$C$2:$C$5,MATCH(E230,Limits!$A$2:$A$5,0))</f>
        <v/>
      </c>
      <c r="J230">
        <f>IF(F230&gt;=I230,"Action",IF(F230&gt;=H230,"Alert","Pass"))</f>
        <v/>
      </c>
      <c r="K230" s="4">
        <f>DATE(YEAR(B230),MONTH(B230),1)</f>
        <v/>
      </c>
    </row>
    <row r="231">
      <c r="A231" t="inlineStr">
        <is>
          <t>EM000230</t>
        </is>
      </c>
      <c r="B231" s="7" t="n">
        <v>46043</v>
      </c>
      <c r="C231" t="inlineStr">
        <is>
          <t>CR-101</t>
        </is>
      </c>
      <c r="D231" t="inlineStr">
        <is>
          <t>ISO 7</t>
        </is>
      </c>
      <c r="E231" t="inlineStr">
        <is>
          <t>Surface contact</t>
        </is>
      </c>
      <c r="F231" t="n">
        <v>0</v>
      </c>
      <c r="G231" t="inlineStr">
        <is>
          <t>Tech C</t>
        </is>
      </c>
      <c r="H231">
        <f>INDEX(Limits!$B$2:$B$5,MATCH(E231,Limits!$A$2:$A$5,0))</f>
        <v/>
      </c>
      <c r="I231">
        <f>INDEX(Limits!$C$2:$C$5,MATCH(E231,Limits!$A$2:$A$5,0))</f>
        <v/>
      </c>
      <c r="J231">
        <f>IF(F231&gt;=I231,"Action",IF(F231&gt;=H231,"Alert","Pass"))</f>
        <v/>
      </c>
      <c r="K231" s="4">
        <f>DATE(YEAR(B231),MONTH(B231),1)</f>
        <v/>
      </c>
    </row>
    <row r="232">
      <c r="A232" t="inlineStr">
        <is>
          <t>EM000231</t>
        </is>
      </c>
      <c r="B232" s="7" t="n">
        <v>46043</v>
      </c>
      <c r="C232" t="inlineStr">
        <is>
          <t>CR-101</t>
        </is>
      </c>
      <c r="D232" t="inlineStr">
        <is>
          <t>ISO 7</t>
        </is>
      </c>
      <c r="E232" t="inlineStr">
        <is>
          <t>Compressed air</t>
        </is>
      </c>
      <c r="F232" t="n">
        <v>0</v>
      </c>
      <c r="G232" t="inlineStr">
        <is>
          <t>Tech D</t>
        </is>
      </c>
      <c r="H232">
        <f>INDEX(Limits!$B$2:$B$5,MATCH(E232,Limits!$A$2:$A$5,0))</f>
        <v/>
      </c>
      <c r="I232">
        <f>INDEX(Limits!$C$2:$C$5,MATCH(E232,Limits!$A$2:$A$5,0))</f>
        <v/>
      </c>
      <c r="J232">
        <f>IF(F232&gt;=I232,"Action",IF(F232&gt;=H232,"Alert","Pass"))</f>
        <v/>
      </c>
      <c r="K232" s="4">
        <f>DATE(YEAR(B232),MONTH(B232),1)</f>
        <v/>
      </c>
    </row>
    <row r="233">
      <c r="A233" t="inlineStr">
        <is>
          <t>EM000232</t>
        </is>
      </c>
      <c r="B233" s="7" t="n">
        <v>46043</v>
      </c>
      <c r="C233" t="inlineStr">
        <is>
          <t>CR-101</t>
        </is>
      </c>
      <c r="D233" t="inlineStr">
        <is>
          <t>ISO 7</t>
        </is>
      </c>
      <c r="E233" t="inlineStr">
        <is>
          <t>Personnel glove</t>
        </is>
      </c>
      <c r="F233" t="n">
        <v>0</v>
      </c>
      <c r="G233" t="inlineStr">
        <is>
          <t>Tech D</t>
        </is>
      </c>
      <c r="H233">
        <f>INDEX(Limits!$B$2:$B$5,MATCH(E233,Limits!$A$2:$A$5,0))</f>
        <v/>
      </c>
      <c r="I233">
        <f>INDEX(Limits!$C$2:$C$5,MATCH(E233,Limits!$A$2:$A$5,0))</f>
        <v/>
      </c>
      <c r="J233">
        <f>IF(F233&gt;=I233,"Action",IF(F233&gt;=H233,"Alert","Pass"))</f>
        <v/>
      </c>
      <c r="K233" s="4">
        <f>DATE(YEAR(B233),MONTH(B233),1)</f>
        <v/>
      </c>
    </row>
    <row r="234">
      <c r="A234" t="inlineStr">
        <is>
          <t>EM000233</t>
        </is>
      </c>
      <c r="B234" s="7" t="n">
        <v>46043</v>
      </c>
      <c r="C234" t="inlineStr">
        <is>
          <t>CR-102</t>
        </is>
      </c>
      <c r="D234" t="inlineStr">
        <is>
          <t>ISO 7</t>
        </is>
      </c>
      <c r="E234" t="inlineStr">
        <is>
          <t>Active air</t>
        </is>
      </c>
      <c r="F234" t="n">
        <v>0</v>
      </c>
      <c r="G234" t="inlineStr">
        <is>
          <t>Tech B</t>
        </is>
      </c>
      <c r="H234">
        <f>INDEX(Limits!$B$2:$B$5,MATCH(E234,Limits!$A$2:$A$5,0))</f>
        <v/>
      </c>
      <c r="I234">
        <f>INDEX(Limits!$C$2:$C$5,MATCH(E234,Limits!$A$2:$A$5,0))</f>
        <v/>
      </c>
      <c r="J234">
        <f>IF(F234&gt;=I234,"Action",IF(F234&gt;=H234,"Alert","Pass"))</f>
        <v/>
      </c>
      <c r="K234" s="4">
        <f>DATE(YEAR(B234),MONTH(B234),1)</f>
        <v/>
      </c>
    </row>
    <row r="235">
      <c r="A235" t="inlineStr">
        <is>
          <t>EM000234</t>
        </is>
      </c>
      <c r="B235" s="7" t="n">
        <v>46043</v>
      </c>
      <c r="C235" t="inlineStr">
        <is>
          <t>CR-102</t>
        </is>
      </c>
      <c r="D235" t="inlineStr">
        <is>
          <t>ISO 7</t>
        </is>
      </c>
      <c r="E235" t="inlineStr">
        <is>
          <t>Surface contact</t>
        </is>
      </c>
      <c r="F235" t="n">
        <v>0</v>
      </c>
      <c r="G235" t="inlineStr">
        <is>
          <t>Tech B</t>
        </is>
      </c>
      <c r="H235">
        <f>INDEX(Limits!$B$2:$B$5,MATCH(E235,Limits!$A$2:$A$5,0))</f>
        <v/>
      </c>
      <c r="I235">
        <f>INDEX(Limits!$C$2:$C$5,MATCH(E235,Limits!$A$2:$A$5,0))</f>
        <v/>
      </c>
      <c r="J235">
        <f>IF(F235&gt;=I235,"Action",IF(F235&gt;=H235,"Alert","Pass"))</f>
        <v/>
      </c>
      <c r="K235" s="4">
        <f>DATE(YEAR(B235),MONTH(B235),1)</f>
        <v/>
      </c>
    </row>
    <row r="236">
      <c r="A236" t="inlineStr">
        <is>
          <t>EM000235</t>
        </is>
      </c>
      <c r="B236" s="7" t="n">
        <v>46043</v>
      </c>
      <c r="C236" t="inlineStr">
        <is>
          <t>CR-102</t>
        </is>
      </c>
      <c r="D236" t="inlineStr">
        <is>
          <t>ISO 7</t>
        </is>
      </c>
      <c r="E236" t="inlineStr">
        <is>
          <t>Compressed air</t>
        </is>
      </c>
      <c r="F236" t="n">
        <v>0</v>
      </c>
      <c r="G236" t="inlineStr">
        <is>
          <t>Tech D</t>
        </is>
      </c>
      <c r="H236">
        <f>INDEX(Limits!$B$2:$B$5,MATCH(E236,Limits!$A$2:$A$5,0))</f>
        <v/>
      </c>
      <c r="I236">
        <f>INDEX(Limits!$C$2:$C$5,MATCH(E236,Limits!$A$2:$A$5,0))</f>
        <v/>
      </c>
      <c r="J236">
        <f>IF(F236&gt;=I236,"Action",IF(F236&gt;=H236,"Alert","Pass"))</f>
        <v/>
      </c>
      <c r="K236" s="4">
        <f>DATE(YEAR(B236),MONTH(B236),1)</f>
        <v/>
      </c>
    </row>
    <row r="237">
      <c r="A237" t="inlineStr">
        <is>
          <t>EM000236</t>
        </is>
      </c>
      <c r="B237" s="7" t="n">
        <v>46043</v>
      </c>
      <c r="C237" t="inlineStr">
        <is>
          <t>CR-102</t>
        </is>
      </c>
      <c r="D237" t="inlineStr">
        <is>
          <t>ISO 7</t>
        </is>
      </c>
      <c r="E237" t="inlineStr">
        <is>
          <t>Personnel glove</t>
        </is>
      </c>
      <c r="F237" t="n">
        <v>0</v>
      </c>
      <c r="G237" t="inlineStr">
        <is>
          <t>Tech B</t>
        </is>
      </c>
      <c r="H237">
        <f>INDEX(Limits!$B$2:$B$5,MATCH(E237,Limits!$A$2:$A$5,0))</f>
        <v/>
      </c>
      <c r="I237">
        <f>INDEX(Limits!$C$2:$C$5,MATCH(E237,Limits!$A$2:$A$5,0))</f>
        <v/>
      </c>
      <c r="J237">
        <f>IF(F237&gt;=I237,"Action",IF(F237&gt;=H237,"Alert","Pass"))</f>
        <v/>
      </c>
      <c r="K237" s="4">
        <f>DATE(YEAR(B237),MONTH(B237),1)</f>
        <v/>
      </c>
    </row>
    <row r="238">
      <c r="A238" t="inlineStr">
        <is>
          <t>EM000237</t>
        </is>
      </c>
      <c r="B238" s="7" t="n">
        <v>46043</v>
      </c>
      <c r="C238" t="inlineStr">
        <is>
          <t>CR-201</t>
        </is>
      </c>
      <c r="D238" t="inlineStr">
        <is>
          <t>ISO 8</t>
        </is>
      </c>
      <c r="E238" t="inlineStr">
        <is>
          <t>Active air</t>
        </is>
      </c>
      <c r="F238" t="n">
        <v>1</v>
      </c>
      <c r="G238" t="inlineStr">
        <is>
          <t>Tech A</t>
        </is>
      </c>
      <c r="H238">
        <f>INDEX(Limits!$B$2:$B$5,MATCH(E238,Limits!$A$2:$A$5,0))</f>
        <v/>
      </c>
      <c r="I238">
        <f>INDEX(Limits!$C$2:$C$5,MATCH(E238,Limits!$A$2:$A$5,0))</f>
        <v/>
      </c>
      <c r="J238">
        <f>IF(F238&gt;=I238,"Action",IF(F238&gt;=H238,"Alert","Pass"))</f>
        <v/>
      </c>
      <c r="K238" s="4">
        <f>DATE(YEAR(B238),MONTH(B238),1)</f>
        <v/>
      </c>
    </row>
    <row r="239">
      <c r="A239" t="inlineStr">
        <is>
          <t>EM000238</t>
        </is>
      </c>
      <c r="B239" s="7" t="n">
        <v>46043</v>
      </c>
      <c r="C239" t="inlineStr">
        <is>
          <t>CR-201</t>
        </is>
      </c>
      <c r="D239" t="inlineStr">
        <is>
          <t>ISO 8</t>
        </is>
      </c>
      <c r="E239" t="inlineStr">
        <is>
          <t>Surface contact</t>
        </is>
      </c>
      <c r="F239" t="n">
        <v>0</v>
      </c>
      <c r="G239" t="inlineStr">
        <is>
          <t>Tech D</t>
        </is>
      </c>
      <c r="H239">
        <f>INDEX(Limits!$B$2:$B$5,MATCH(E239,Limits!$A$2:$A$5,0))</f>
        <v/>
      </c>
      <c r="I239">
        <f>INDEX(Limits!$C$2:$C$5,MATCH(E239,Limits!$A$2:$A$5,0))</f>
        <v/>
      </c>
      <c r="J239">
        <f>IF(F239&gt;=I239,"Action",IF(F239&gt;=H239,"Alert","Pass"))</f>
        <v/>
      </c>
      <c r="K239" s="4">
        <f>DATE(YEAR(B239),MONTH(B239),1)</f>
        <v/>
      </c>
    </row>
    <row r="240">
      <c r="A240" t="inlineStr">
        <is>
          <t>EM000239</t>
        </is>
      </c>
      <c r="B240" s="7" t="n">
        <v>46043</v>
      </c>
      <c r="C240" t="inlineStr">
        <is>
          <t>CR-201</t>
        </is>
      </c>
      <c r="D240" t="inlineStr">
        <is>
          <t>ISO 8</t>
        </is>
      </c>
      <c r="E240" t="inlineStr">
        <is>
          <t>Compressed air</t>
        </is>
      </c>
      <c r="F240" t="n">
        <v>0</v>
      </c>
      <c r="G240" t="inlineStr">
        <is>
          <t>Tech B</t>
        </is>
      </c>
      <c r="H240">
        <f>INDEX(Limits!$B$2:$B$5,MATCH(E240,Limits!$A$2:$A$5,0))</f>
        <v/>
      </c>
      <c r="I240">
        <f>INDEX(Limits!$C$2:$C$5,MATCH(E240,Limits!$A$2:$A$5,0))</f>
        <v/>
      </c>
      <c r="J240">
        <f>IF(F240&gt;=I240,"Action",IF(F240&gt;=H240,"Alert","Pass"))</f>
        <v/>
      </c>
      <c r="K240" s="4">
        <f>DATE(YEAR(B240),MONTH(B240),1)</f>
        <v/>
      </c>
    </row>
    <row r="241">
      <c r="A241" t="inlineStr">
        <is>
          <t>EM000240</t>
        </is>
      </c>
      <c r="B241" s="7" t="n">
        <v>46043</v>
      </c>
      <c r="C241" t="inlineStr">
        <is>
          <t>CR-201</t>
        </is>
      </c>
      <c r="D241" t="inlineStr">
        <is>
          <t>ISO 8</t>
        </is>
      </c>
      <c r="E241" t="inlineStr">
        <is>
          <t>Personnel glove</t>
        </is>
      </c>
      <c r="F241" t="n">
        <v>0</v>
      </c>
      <c r="G241" t="inlineStr">
        <is>
          <t>Tech C</t>
        </is>
      </c>
      <c r="H241">
        <f>INDEX(Limits!$B$2:$B$5,MATCH(E241,Limits!$A$2:$A$5,0))</f>
        <v/>
      </c>
      <c r="I241">
        <f>INDEX(Limits!$C$2:$C$5,MATCH(E241,Limits!$A$2:$A$5,0))</f>
        <v/>
      </c>
      <c r="J241">
        <f>IF(F241&gt;=I241,"Action",IF(F241&gt;=H241,"Alert","Pass"))</f>
        <v/>
      </c>
      <c r="K241" s="4">
        <f>DATE(YEAR(B241),MONTH(B241),1)</f>
        <v/>
      </c>
    </row>
    <row r="242">
      <c r="A242" t="inlineStr">
        <is>
          <t>EM000241</t>
        </is>
      </c>
      <c r="B242" s="7" t="n">
        <v>46043</v>
      </c>
      <c r="C242" t="inlineStr">
        <is>
          <t>CR-202</t>
        </is>
      </c>
      <c r="D242" t="inlineStr">
        <is>
          <t>ISO 8</t>
        </is>
      </c>
      <c r="E242" t="inlineStr">
        <is>
          <t>Active air</t>
        </is>
      </c>
      <c r="F242" t="n">
        <v>2</v>
      </c>
      <c r="G242" t="inlineStr">
        <is>
          <t>Tech C</t>
        </is>
      </c>
      <c r="H242">
        <f>INDEX(Limits!$B$2:$B$5,MATCH(E242,Limits!$A$2:$A$5,0))</f>
        <v/>
      </c>
      <c r="I242">
        <f>INDEX(Limits!$C$2:$C$5,MATCH(E242,Limits!$A$2:$A$5,0))</f>
        <v/>
      </c>
      <c r="J242">
        <f>IF(F242&gt;=I242,"Action",IF(F242&gt;=H242,"Alert","Pass"))</f>
        <v/>
      </c>
      <c r="K242" s="4">
        <f>DATE(YEAR(B242),MONTH(B242),1)</f>
        <v/>
      </c>
    </row>
    <row r="243">
      <c r="A243" t="inlineStr">
        <is>
          <t>EM000242</t>
        </is>
      </c>
      <c r="B243" s="7" t="n">
        <v>46043</v>
      </c>
      <c r="C243" t="inlineStr">
        <is>
          <t>CR-202</t>
        </is>
      </c>
      <c r="D243" t="inlineStr">
        <is>
          <t>ISO 8</t>
        </is>
      </c>
      <c r="E243" t="inlineStr">
        <is>
          <t>Surface contact</t>
        </is>
      </c>
      <c r="F243" t="n">
        <v>1</v>
      </c>
      <c r="G243" t="inlineStr">
        <is>
          <t>Tech A</t>
        </is>
      </c>
      <c r="H243">
        <f>INDEX(Limits!$B$2:$B$5,MATCH(E243,Limits!$A$2:$A$5,0))</f>
        <v/>
      </c>
      <c r="I243">
        <f>INDEX(Limits!$C$2:$C$5,MATCH(E243,Limits!$A$2:$A$5,0))</f>
        <v/>
      </c>
      <c r="J243">
        <f>IF(F243&gt;=I243,"Action",IF(F243&gt;=H243,"Alert","Pass"))</f>
        <v/>
      </c>
      <c r="K243" s="4">
        <f>DATE(YEAR(B243),MONTH(B243),1)</f>
        <v/>
      </c>
    </row>
    <row r="244">
      <c r="A244" t="inlineStr">
        <is>
          <t>EM000243</t>
        </is>
      </c>
      <c r="B244" s="7" t="n">
        <v>46043</v>
      </c>
      <c r="C244" t="inlineStr">
        <is>
          <t>CR-202</t>
        </is>
      </c>
      <c r="D244" t="inlineStr">
        <is>
          <t>ISO 8</t>
        </is>
      </c>
      <c r="E244" t="inlineStr">
        <is>
          <t>Compressed air</t>
        </is>
      </c>
      <c r="F244" t="n">
        <v>0</v>
      </c>
      <c r="G244" t="inlineStr">
        <is>
          <t>Tech D</t>
        </is>
      </c>
      <c r="H244">
        <f>INDEX(Limits!$B$2:$B$5,MATCH(E244,Limits!$A$2:$A$5,0))</f>
        <v/>
      </c>
      <c r="I244">
        <f>INDEX(Limits!$C$2:$C$5,MATCH(E244,Limits!$A$2:$A$5,0))</f>
        <v/>
      </c>
      <c r="J244">
        <f>IF(F244&gt;=I244,"Action",IF(F244&gt;=H244,"Alert","Pass"))</f>
        <v/>
      </c>
      <c r="K244" s="4">
        <f>DATE(YEAR(B244),MONTH(B244),1)</f>
        <v/>
      </c>
    </row>
    <row r="245">
      <c r="A245" t="inlineStr">
        <is>
          <t>EM000244</t>
        </is>
      </c>
      <c r="B245" s="7" t="n">
        <v>46043</v>
      </c>
      <c r="C245" t="inlineStr">
        <is>
          <t>CR-202</t>
        </is>
      </c>
      <c r="D245" t="inlineStr">
        <is>
          <t>ISO 8</t>
        </is>
      </c>
      <c r="E245" t="inlineStr">
        <is>
          <t>Personnel glove</t>
        </is>
      </c>
      <c r="F245" t="n">
        <v>0</v>
      </c>
      <c r="G245" t="inlineStr">
        <is>
          <t>Tech C</t>
        </is>
      </c>
      <c r="H245">
        <f>INDEX(Limits!$B$2:$B$5,MATCH(E245,Limits!$A$2:$A$5,0))</f>
        <v/>
      </c>
      <c r="I245">
        <f>INDEX(Limits!$C$2:$C$5,MATCH(E245,Limits!$A$2:$A$5,0))</f>
        <v/>
      </c>
      <c r="J245">
        <f>IF(F245&gt;=I245,"Action",IF(F245&gt;=H245,"Alert","Pass"))</f>
        <v/>
      </c>
      <c r="K245" s="4">
        <f>DATE(YEAR(B245),MONTH(B245),1)</f>
        <v/>
      </c>
    </row>
    <row r="246">
      <c r="A246" t="inlineStr">
        <is>
          <t>EM000245</t>
        </is>
      </c>
      <c r="B246" s="7" t="n">
        <v>46043</v>
      </c>
      <c r="C246" t="inlineStr">
        <is>
          <t>Gowning</t>
        </is>
      </c>
      <c r="D246" t="inlineStr">
        <is>
          <t>ISO 8</t>
        </is>
      </c>
      <c r="E246" t="inlineStr">
        <is>
          <t>Active air</t>
        </is>
      </c>
      <c r="F246" t="n">
        <v>4</v>
      </c>
      <c r="G246" t="inlineStr">
        <is>
          <t>Tech C</t>
        </is>
      </c>
      <c r="H246">
        <f>INDEX(Limits!$B$2:$B$5,MATCH(E246,Limits!$A$2:$A$5,0))</f>
        <v/>
      </c>
      <c r="I246">
        <f>INDEX(Limits!$C$2:$C$5,MATCH(E246,Limits!$A$2:$A$5,0))</f>
        <v/>
      </c>
      <c r="J246">
        <f>IF(F246&gt;=I246,"Action",IF(F246&gt;=H246,"Alert","Pass"))</f>
        <v/>
      </c>
      <c r="K246" s="4">
        <f>DATE(YEAR(B246),MONTH(B246),1)</f>
        <v/>
      </c>
    </row>
    <row r="247">
      <c r="A247" t="inlineStr">
        <is>
          <t>EM000246</t>
        </is>
      </c>
      <c r="B247" s="7" t="n">
        <v>46043</v>
      </c>
      <c r="C247" t="inlineStr">
        <is>
          <t>Gowning</t>
        </is>
      </c>
      <c r="D247" t="inlineStr">
        <is>
          <t>ISO 8</t>
        </is>
      </c>
      <c r="E247" t="inlineStr">
        <is>
          <t>Surface contact</t>
        </is>
      </c>
      <c r="F247" t="n">
        <v>0</v>
      </c>
      <c r="G247" t="inlineStr">
        <is>
          <t>Tech D</t>
        </is>
      </c>
      <c r="H247">
        <f>INDEX(Limits!$B$2:$B$5,MATCH(E247,Limits!$A$2:$A$5,0))</f>
        <v/>
      </c>
      <c r="I247">
        <f>INDEX(Limits!$C$2:$C$5,MATCH(E247,Limits!$A$2:$A$5,0))</f>
        <v/>
      </c>
      <c r="J247">
        <f>IF(F247&gt;=I247,"Action",IF(F247&gt;=H247,"Alert","Pass"))</f>
        <v/>
      </c>
      <c r="K247" s="4">
        <f>DATE(YEAR(B247),MONTH(B247),1)</f>
        <v/>
      </c>
    </row>
    <row r="248">
      <c r="A248" t="inlineStr">
        <is>
          <t>EM000247</t>
        </is>
      </c>
      <c r="B248" s="7" t="n">
        <v>46043</v>
      </c>
      <c r="C248" t="inlineStr">
        <is>
          <t>Gowning</t>
        </is>
      </c>
      <c r="D248" t="inlineStr">
        <is>
          <t>ISO 8</t>
        </is>
      </c>
      <c r="E248" t="inlineStr">
        <is>
          <t>Personnel glove</t>
        </is>
      </c>
      <c r="F248" t="n">
        <v>0</v>
      </c>
      <c r="G248" t="inlineStr">
        <is>
          <t>Tech A</t>
        </is>
      </c>
      <c r="H248">
        <f>INDEX(Limits!$B$2:$B$5,MATCH(E248,Limits!$A$2:$A$5,0))</f>
        <v/>
      </c>
      <c r="I248">
        <f>INDEX(Limits!$C$2:$C$5,MATCH(E248,Limits!$A$2:$A$5,0))</f>
        <v/>
      </c>
      <c r="J248">
        <f>IF(F248&gt;=I248,"Action",IF(F248&gt;=H248,"Alert","Pass"))</f>
        <v/>
      </c>
      <c r="K248" s="4">
        <f>DATE(YEAR(B248),MONTH(B248),1)</f>
        <v/>
      </c>
    </row>
    <row r="249">
      <c r="A249" t="inlineStr">
        <is>
          <t>EM000248</t>
        </is>
      </c>
      <c r="B249" s="7" t="n">
        <v>46044</v>
      </c>
      <c r="C249" t="inlineStr">
        <is>
          <t>CR-101</t>
        </is>
      </c>
      <c r="D249" t="inlineStr">
        <is>
          <t>ISO 7</t>
        </is>
      </c>
      <c r="E249" t="inlineStr">
        <is>
          <t>Active air</t>
        </is>
      </c>
      <c r="F249" t="n">
        <v>0</v>
      </c>
      <c r="G249" t="inlineStr">
        <is>
          <t>Tech B</t>
        </is>
      </c>
      <c r="H249">
        <f>INDEX(Limits!$B$2:$B$5,MATCH(E249,Limits!$A$2:$A$5,0))</f>
        <v/>
      </c>
      <c r="I249">
        <f>INDEX(Limits!$C$2:$C$5,MATCH(E249,Limits!$A$2:$A$5,0))</f>
        <v/>
      </c>
      <c r="J249">
        <f>IF(F249&gt;=I249,"Action",IF(F249&gt;=H249,"Alert","Pass"))</f>
        <v/>
      </c>
      <c r="K249" s="4">
        <f>DATE(YEAR(B249),MONTH(B249),1)</f>
        <v/>
      </c>
    </row>
    <row r="250">
      <c r="A250" t="inlineStr">
        <is>
          <t>EM000249</t>
        </is>
      </c>
      <c r="B250" s="7" t="n">
        <v>46044</v>
      </c>
      <c r="C250" t="inlineStr">
        <is>
          <t>CR-101</t>
        </is>
      </c>
      <c r="D250" t="inlineStr">
        <is>
          <t>ISO 7</t>
        </is>
      </c>
      <c r="E250" t="inlineStr">
        <is>
          <t>Surface contact</t>
        </is>
      </c>
      <c r="F250" t="n">
        <v>0</v>
      </c>
      <c r="G250" t="inlineStr">
        <is>
          <t>Tech B</t>
        </is>
      </c>
      <c r="H250">
        <f>INDEX(Limits!$B$2:$B$5,MATCH(E250,Limits!$A$2:$A$5,0))</f>
        <v/>
      </c>
      <c r="I250">
        <f>INDEX(Limits!$C$2:$C$5,MATCH(E250,Limits!$A$2:$A$5,0))</f>
        <v/>
      </c>
      <c r="J250">
        <f>IF(F250&gt;=I250,"Action",IF(F250&gt;=H250,"Alert","Pass"))</f>
        <v/>
      </c>
      <c r="K250" s="4">
        <f>DATE(YEAR(B250),MONTH(B250),1)</f>
        <v/>
      </c>
    </row>
    <row r="251">
      <c r="A251" t="inlineStr">
        <is>
          <t>EM000250</t>
        </is>
      </c>
      <c r="B251" s="7" t="n">
        <v>46044</v>
      </c>
      <c r="C251" t="inlineStr">
        <is>
          <t>CR-101</t>
        </is>
      </c>
      <c r="D251" t="inlineStr">
        <is>
          <t>ISO 7</t>
        </is>
      </c>
      <c r="E251" t="inlineStr">
        <is>
          <t>Compressed air</t>
        </is>
      </c>
      <c r="F251" t="n">
        <v>0</v>
      </c>
      <c r="G251" t="inlineStr">
        <is>
          <t>Tech C</t>
        </is>
      </c>
      <c r="H251">
        <f>INDEX(Limits!$B$2:$B$5,MATCH(E251,Limits!$A$2:$A$5,0))</f>
        <v/>
      </c>
      <c r="I251">
        <f>INDEX(Limits!$C$2:$C$5,MATCH(E251,Limits!$A$2:$A$5,0))</f>
        <v/>
      </c>
      <c r="J251">
        <f>IF(F251&gt;=I251,"Action",IF(F251&gt;=H251,"Alert","Pass"))</f>
        <v/>
      </c>
      <c r="K251" s="4">
        <f>DATE(YEAR(B251),MONTH(B251),1)</f>
        <v/>
      </c>
    </row>
    <row r="252">
      <c r="A252" t="inlineStr">
        <is>
          <t>EM000251</t>
        </is>
      </c>
      <c r="B252" s="7" t="n">
        <v>46044</v>
      </c>
      <c r="C252" t="inlineStr">
        <is>
          <t>CR-101</t>
        </is>
      </c>
      <c r="D252" t="inlineStr">
        <is>
          <t>ISO 7</t>
        </is>
      </c>
      <c r="E252" t="inlineStr">
        <is>
          <t>Personnel glove</t>
        </is>
      </c>
      <c r="F252" t="n">
        <v>0</v>
      </c>
      <c r="G252" t="inlineStr">
        <is>
          <t>Tech A</t>
        </is>
      </c>
      <c r="H252">
        <f>INDEX(Limits!$B$2:$B$5,MATCH(E252,Limits!$A$2:$A$5,0))</f>
        <v/>
      </c>
      <c r="I252">
        <f>INDEX(Limits!$C$2:$C$5,MATCH(E252,Limits!$A$2:$A$5,0))</f>
        <v/>
      </c>
      <c r="J252">
        <f>IF(F252&gt;=I252,"Action",IF(F252&gt;=H252,"Alert","Pass"))</f>
        <v/>
      </c>
      <c r="K252" s="4">
        <f>DATE(YEAR(B252),MONTH(B252),1)</f>
        <v/>
      </c>
    </row>
    <row r="253">
      <c r="A253" t="inlineStr">
        <is>
          <t>EM000252</t>
        </is>
      </c>
      <c r="B253" s="7" t="n">
        <v>46044</v>
      </c>
      <c r="C253" t="inlineStr">
        <is>
          <t>CR-102</t>
        </is>
      </c>
      <c r="D253" t="inlineStr">
        <is>
          <t>ISO 7</t>
        </is>
      </c>
      <c r="E253" t="inlineStr">
        <is>
          <t>Active air</t>
        </is>
      </c>
      <c r="F253" t="n">
        <v>1</v>
      </c>
      <c r="G253" t="inlineStr">
        <is>
          <t>Tech C</t>
        </is>
      </c>
      <c r="H253">
        <f>INDEX(Limits!$B$2:$B$5,MATCH(E253,Limits!$A$2:$A$5,0))</f>
        <v/>
      </c>
      <c r="I253">
        <f>INDEX(Limits!$C$2:$C$5,MATCH(E253,Limits!$A$2:$A$5,0))</f>
        <v/>
      </c>
      <c r="J253">
        <f>IF(F253&gt;=I253,"Action",IF(F253&gt;=H253,"Alert","Pass"))</f>
        <v/>
      </c>
      <c r="K253" s="4">
        <f>DATE(YEAR(B253),MONTH(B253),1)</f>
        <v/>
      </c>
    </row>
    <row r="254">
      <c r="A254" t="inlineStr">
        <is>
          <t>EM000253</t>
        </is>
      </c>
      <c r="B254" s="7" t="n">
        <v>46044</v>
      </c>
      <c r="C254" t="inlineStr">
        <is>
          <t>CR-102</t>
        </is>
      </c>
      <c r="D254" t="inlineStr">
        <is>
          <t>ISO 7</t>
        </is>
      </c>
      <c r="E254" t="inlineStr">
        <is>
          <t>Surface contact</t>
        </is>
      </c>
      <c r="F254" t="n">
        <v>0</v>
      </c>
      <c r="G254" t="inlineStr">
        <is>
          <t>Tech D</t>
        </is>
      </c>
      <c r="H254">
        <f>INDEX(Limits!$B$2:$B$5,MATCH(E254,Limits!$A$2:$A$5,0))</f>
        <v/>
      </c>
      <c r="I254">
        <f>INDEX(Limits!$C$2:$C$5,MATCH(E254,Limits!$A$2:$A$5,0))</f>
        <v/>
      </c>
      <c r="J254">
        <f>IF(F254&gt;=I254,"Action",IF(F254&gt;=H254,"Alert","Pass"))</f>
        <v/>
      </c>
      <c r="K254" s="4">
        <f>DATE(YEAR(B254),MONTH(B254),1)</f>
        <v/>
      </c>
    </row>
    <row r="255">
      <c r="A255" t="inlineStr">
        <is>
          <t>EM000254</t>
        </is>
      </c>
      <c r="B255" s="7" t="n">
        <v>46044</v>
      </c>
      <c r="C255" t="inlineStr">
        <is>
          <t>CR-102</t>
        </is>
      </c>
      <c r="D255" t="inlineStr">
        <is>
          <t>ISO 7</t>
        </is>
      </c>
      <c r="E255" t="inlineStr">
        <is>
          <t>Compressed air</t>
        </is>
      </c>
      <c r="F255" t="n">
        <v>0</v>
      </c>
      <c r="G255" t="inlineStr">
        <is>
          <t>Tech C</t>
        </is>
      </c>
      <c r="H255">
        <f>INDEX(Limits!$B$2:$B$5,MATCH(E255,Limits!$A$2:$A$5,0))</f>
        <v/>
      </c>
      <c r="I255">
        <f>INDEX(Limits!$C$2:$C$5,MATCH(E255,Limits!$A$2:$A$5,0))</f>
        <v/>
      </c>
      <c r="J255">
        <f>IF(F255&gt;=I255,"Action",IF(F255&gt;=H255,"Alert","Pass"))</f>
        <v/>
      </c>
      <c r="K255" s="4">
        <f>DATE(YEAR(B255),MONTH(B255),1)</f>
        <v/>
      </c>
    </row>
    <row r="256">
      <c r="A256" t="inlineStr">
        <is>
          <t>EM000255</t>
        </is>
      </c>
      <c r="B256" s="7" t="n">
        <v>46044</v>
      </c>
      <c r="C256" t="inlineStr">
        <is>
          <t>CR-102</t>
        </is>
      </c>
      <c r="D256" t="inlineStr">
        <is>
          <t>ISO 7</t>
        </is>
      </c>
      <c r="E256" t="inlineStr">
        <is>
          <t>Personnel glove</t>
        </is>
      </c>
      <c r="F256" t="n">
        <v>0</v>
      </c>
      <c r="G256" t="inlineStr">
        <is>
          <t>Tech D</t>
        </is>
      </c>
      <c r="H256">
        <f>INDEX(Limits!$B$2:$B$5,MATCH(E256,Limits!$A$2:$A$5,0))</f>
        <v/>
      </c>
      <c r="I256">
        <f>INDEX(Limits!$C$2:$C$5,MATCH(E256,Limits!$A$2:$A$5,0))</f>
        <v/>
      </c>
      <c r="J256">
        <f>IF(F256&gt;=I256,"Action",IF(F256&gt;=H256,"Alert","Pass"))</f>
        <v/>
      </c>
      <c r="K256" s="4">
        <f>DATE(YEAR(B256),MONTH(B256),1)</f>
        <v/>
      </c>
    </row>
    <row r="257">
      <c r="A257" t="inlineStr">
        <is>
          <t>EM000256</t>
        </is>
      </c>
      <c r="B257" s="7" t="n">
        <v>46044</v>
      </c>
      <c r="C257" t="inlineStr">
        <is>
          <t>CR-201</t>
        </is>
      </c>
      <c r="D257" t="inlineStr">
        <is>
          <t>ISO 8</t>
        </is>
      </c>
      <c r="E257" t="inlineStr">
        <is>
          <t>Active air</t>
        </is>
      </c>
      <c r="F257" t="n">
        <v>1</v>
      </c>
      <c r="G257" t="inlineStr">
        <is>
          <t>Tech C</t>
        </is>
      </c>
      <c r="H257">
        <f>INDEX(Limits!$B$2:$B$5,MATCH(E257,Limits!$A$2:$A$5,0))</f>
        <v/>
      </c>
      <c r="I257">
        <f>INDEX(Limits!$C$2:$C$5,MATCH(E257,Limits!$A$2:$A$5,0))</f>
        <v/>
      </c>
      <c r="J257">
        <f>IF(F257&gt;=I257,"Action",IF(F257&gt;=H257,"Alert","Pass"))</f>
        <v/>
      </c>
      <c r="K257" s="4">
        <f>DATE(YEAR(B257),MONTH(B257),1)</f>
        <v/>
      </c>
    </row>
    <row r="258">
      <c r="A258" t="inlineStr">
        <is>
          <t>EM000257</t>
        </is>
      </c>
      <c r="B258" s="7" t="n">
        <v>46044</v>
      </c>
      <c r="C258" t="inlineStr">
        <is>
          <t>CR-201</t>
        </is>
      </c>
      <c r="D258" t="inlineStr">
        <is>
          <t>ISO 8</t>
        </is>
      </c>
      <c r="E258" t="inlineStr">
        <is>
          <t>Surface contact</t>
        </is>
      </c>
      <c r="F258" t="n">
        <v>0</v>
      </c>
      <c r="G258" t="inlineStr">
        <is>
          <t>Tech D</t>
        </is>
      </c>
      <c r="H258">
        <f>INDEX(Limits!$B$2:$B$5,MATCH(E258,Limits!$A$2:$A$5,0))</f>
        <v/>
      </c>
      <c r="I258">
        <f>INDEX(Limits!$C$2:$C$5,MATCH(E258,Limits!$A$2:$A$5,0))</f>
        <v/>
      </c>
      <c r="J258">
        <f>IF(F258&gt;=I258,"Action",IF(F258&gt;=H258,"Alert","Pass"))</f>
        <v/>
      </c>
      <c r="K258" s="4">
        <f>DATE(YEAR(B258),MONTH(B258),1)</f>
        <v/>
      </c>
    </row>
    <row r="259">
      <c r="A259" t="inlineStr">
        <is>
          <t>EM000258</t>
        </is>
      </c>
      <c r="B259" s="7" t="n">
        <v>46044</v>
      </c>
      <c r="C259" t="inlineStr">
        <is>
          <t>CR-201</t>
        </is>
      </c>
      <c r="D259" t="inlineStr">
        <is>
          <t>ISO 8</t>
        </is>
      </c>
      <c r="E259" t="inlineStr">
        <is>
          <t>Compressed air</t>
        </is>
      </c>
      <c r="F259" t="n">
        <v>0</v>
      </c>
      <c r="G259" t="inlineStr">
        <is>
          <t>Tech D</t>
        </is>
      </c>
      <c r="H259">
        <f>INDEX(Limits!$B$2:$B$5,MATCH(E259,Limits!$A$2:$A$5,0))</f>
        <v/>
      </c>
      <c r="I259">
        <f>INDEX(Limits!$C$2:$C$5,MATCH(E259,Limits!$A$2:$A$5,0))</f>
        <v/>
      </c>
      <c r="J259">
        <f>IF(F259&gt;=I259,"Action",IF(F259&gt;=H259,"Alert","Pass"))</f>
        <v/>
      </c>
      <c r="K259" s="4">
        <f>DATE(YEAR(B259),MONTH(B259),1)</f>
        <v/>
      </c>
    </row>
    <row r="260">
      <c r="A260" t="inlineStr">
        <is>
          <t>EM000259</t>
        </is>
      </c>
      <c r="B260" s="7" t="n">
        <v>46044</v>
      </c>
      <c r="C260" t="inlineStr">
        <is>
          <t>CR-201</t>
        </is>
      </c>
      <c r="D260" t="inlineStr">
        <is>
          <t>ISO 8</t>
        </is>
      </c>
      <c r="E260" t="inlineStr">
        <is>
          <t>Personnel glove</t>
        </is>
      </c>
      <c r="F260" t="n">
        <v>0</v>
      </c>
      <c r="G260" t="inlineStr">
        <is>
          <t>Tech C</t>
        </is>
      </c>
      <c r="H260">
        <f>INDEX(Limits!$B$2:$B$5,MATCH(E260,Limits!$A$2:$A$5,0))</f>
        <v/>
      </c>
      <c r="I260">
        <f>INDEX(Limits!$C$2:$C$5,MATCH(E260,Limits!$A$2:$A$5,0))</f>
        <v/>
      </c>
      <c r="J260">
        <f>IF(F260&gt;=I260,"Action",IF(F260&gt;=H260,"Alert","Pass"))</f>
        <v/>
      </c>
      <c r="K260" s="4">
        <f>DATE(YEAR(B260),MONTH(B260),1)</f>
        <v/>
      </c>
    </row>
    <row r="261">
      <c r="A261" t="inlineStr">
        <is>
          <t>EM000260</t>
        </is>
      </c>
      <c r="B261" s="7" t="n">
        <v>46044</v>
      </c>
      <c r="C261" t="inlineStr">
        <is>
          <t>CR-202</t>
        </is>
      </c>
      <c r="D261" t="inlineStr">
        <is>
          <t>ISO 8</t>
        </is>
      </c>
      <c r="E261" t="inlineStr">
        <is>
          <t>Active air</t>
        </is>
      </c>
      <c r="F261" t="n">
        <v>3</v>
      </c>
      <c r="G261" t="inlineStr">
        <is>
          <t>Tech A</t>
        </is>
      </c>
      <c r="H261">
        <f>INDEX(Limits!$B$2:$B$5,MATCH(E261,Limits!$A$2:$A$5,0))</f>
        <v/>
      </c>
      <c r="I261">
        <f>INDEX(Limits!$C$2:$C$5,MATCH(E261,Limits!$A$2:$A$5,0))</f>
        <v/>
      </c>
      <c r="J261">
        <f>IF(F261&gt;=I261,"Action",IF(F261&gt;=H261,"Alert","Pass"))</f>
        <v/>
      </c>
      <c r="K261" s="4">
        <f>DATE(YEAR(B261),MONTH(B261),1)</f>
        <v/>
      </c>
    </row>
    <row r="262">
      <c r="A262" t="inlineStr">
        <is>
          <t>EM000261</t>
        </is>
      </c>
      <c r="B262" s="7" t="n">
        <v>46044</v>
      </c>
      <c r="C262" t="inlineStr">
        <is>
          <t>CR-202</t>
        </is>
      </c>
      <c r="D262" t="inlineStr">
        <is>
          <t>ISO 8</t>
        </is>
      </c>
      <c r="E262" t="inlineStr">
        <is>
          <t>Surface contact</t>
        </is>
      </c>
      <c r="F262" t="n">
        <v>1</v>
      </c>
      <c r="G262" t="inlineStr">
        <is>
          <t>Tech A</t>
        </is>
      </c>
      <c r="H262">
        <f>INDEX(Limits!$B$2:$B$5,MATCH(E262,Limits!$A$2:$A$5,0))</f>
        <v/>
      </c>
      <c r="I262">
        <f>INDEX(Limits!$C$2:$C$5,MATCH(E262,Limits!$A$2:$A$5,0))</f>
        <v/>
      </c>
      <c r="J262">
        <f>IF(F262&gt;=I262,"Action",IF(F262&gt;=H262,"Alert","Pass"))</f>
        <v/>
      </c>
      <c r="K262" s="4">
        <f>DATE(YEAR(B262),MONTH(B262),1)</f>
        <v/>
      </c>
    </row>
    <row r="263">
      <c r="A263" t="inlineStr">
        <is>
          <t>EM000262</t>
        </is>
      </c>
      <c r="B263" s="7" t="n">
        <v>46044</v>
      </c>
      <c r="C263" t="inlineStr">
        <is>
          <t>CR-202</t>
        </is>
      </c>
      <c r="D263" t="inlineStr">
        <is>
          <t>ISO 8</t>
        </is>
      </c>
      <c r="E263" t="inlineStr">
        <is>
          <t>Compressed air</t>
        </is>
      </c>
      <c r="F263" t="n">
        <v>0</v>
      </c>
      <c r="G263" t="inlineStr">
        <is>
          <t>Tech D</t>
        </is>
      </c>
      <c r="H263">
        <f>INDEX(Limits!$B$2:$B$5,MATCH(E263,Limits!$A$2:$A$5,0))</f>
        <v/>
      </c>
      <c r="I263">
        <f>INDEX(Limits!$C$2:$C$5,MATCH(E263,Limits!$A$2:$A$5,0))</f>
        <v/>
      </c>
      <c r="J263">
        <f>IF(F263&gt;=I263,"Action",IF(F263&gt;=H263,"Alert","Pass"))</f>
        <v/>
      </c>
      <c r="K263" s="4">
        <f>DATE(YEAR(B263),MONTH(B263),1)</f>
        <v/>
      </c>
    </row>
    <row r="264">
      <c r="A264" t="inlineStr">
        <is>
          <t>EM000263</t>
        </is>
      </c>
      <c r="B264" s="7" t="n">
        <v>46044</v>
      </c>
      <c r="C264" t="inlineStr">
        <is>
          <t>CR-202</t>
        </is>
      </c>
      <c r="D264" t="inlineStr">
        <is>
          <t>ISO 8</t>
        </is>
      </c>
      <c r="E264" t="inlineStr">
        <is>
          <t>Personnel glove</t>
        </is>
      </c>
      <c r="F264" t="n">
        <v>0</v>
      </c>
      <c r="G264" t="inlineStr">
        <is>
          <t>Tech B</t>
        </is>
      </c>
      <c r="H264">
        <f>INDEX(Limits!$B$2:$B$5,MATCH(E264,Limits!$A$2:$A$5,0))</f>
        <v/>
      </c>
      <c r="I264">
        <f>INDEX(Limits!$C$2:$C$5,MATCH(E264,Limits!$A$2:$A$5,0))</f>
        <v/>
      </c>
      <c r="J264">
        <f>IF(F264&gt;=I264,"Action",IF(F264&gt;=H264,"Alert","Pass"))</f>
        <v/>
      </c>
      <c r="K264" s="4">
        <f>DATE(YEAR(B264),MONTH(B264),1)</f>
        <v/>
      </c>
    </row>
    <row r="265">
      <c r="A265" t="inlineStr">
        <is>
          <t>EM000264</t>
        </is>
      </c>
      <c r="B265" s="7" t="n">
        <v>46044</v>
      </c>
      <c r="C265" t="inlineStr">
        <is>
          <t>Gowning</t>
        </is>
      </c>
      <c r="D265" t="inlineStr">
        <is>
          <t>ISO 8</t>
        </is>
      </c>
      <c r="E265" t="inlineStr">
        <is>
          <t>Active air</t>
        </is>
      </c>
      <c r="F265" t="n">
        <v>1</v>
      </c>
      <c r="G265" t="inlineStr">
        <is>
          <t>Tech D</t>
        </is>
      </c>
      <c r="H265">
        <f>INDEX(Limits!$B$2:$B$5,MATCH(E265,Limits!$A$2:$A$5,0))</f>
        <v/>
      </c>
      <c r="I265">
        <f>INDEX(Limits!$C$2:$C$5,MATCH(E265,Limits!$A$2:$A$5,0))</f>
        <v/>
      </c>
      <c r="J265">
        <f>IF(F265&gt;=I265,"Action",IF(F265&gt;=H265,"Alert","Pass"))</f>
        <v/>
      </c>
      <c r="K265" s="4">
        <f>DATE(YEAR(B265),MONTH(B265),1)</f>
        <v/>
      </c>
    </row>
    <row r="266">
      <c r="A266" t="inlineStr">
        <is>
          <t>EM000265</t>
        </is>
      </c>
      <c r="B266" s="7" t="n">
        <v>46044</v>
      </c>
      <c r="C266" t="inlineStr">
        <is>
          <t>Gowning</t>
        </is>
      </c>
      <c r="D266" t="inlineStr">
        <is>
          <t>ISO 8</t>
        </is>
      </c>
      <c r="E266" t="inlineStr">
        <is>
          <t>Surface contact</t>
        </is>
      </c>
      <c r="F266" t="n">
        <v>2</v>
      </c>
      <c r="G266" t="inlineStr">
        <is>
          <t>Tech D</t>
        </is>
      </c>
      <c r="H266">
        <f>INDEX(Limits!$B$2:$B$5,MATCH(E266,Limits!$A$2:$A$5,0))</f>
        <v/>
      </c>
      <c r="I266">
        <f>INDEX(Limits!$C$2:$C$5,MATCH(E266,Limits!$A$2:$A$5,0))</f>
        <v/>
      </c>
      <c r="J266">
        <f>IF(F266&gt;=I266,"Action",IF(F266&gt;=H266,"Alert","Pass"))</f>
        <v/>
      </c>
      <c r="K266" s="4">
        <f>DATE(YEAR(B266),MONTH(B266),1)</f>
        <v/>
      </c>
    </row>
    <row r="267">
      <c r="A267" t="inlineStr">
        <is>
          <t>EM000266</t>
        </is>
      </c>
      <c r="B267" s="7" t="n">
        <v>46044</v>
      </c>
      <c r="C267" t="inlineStr">
        <is>
          <t>Gowning</t>
        </is>
      </c>
      <c r="D267" t="inlineStr">
        <is>
          <t>ISO 8</t>
        </is>
      </c>
      <c r="E267" t="inlineStr">
        <is>
          <t>Personnel glove</t>
        </is>
      </c>
      <c r="F267" t="n">
        <v>0</v>
      </c>
      <c r="G267" t="inlineStr">
        <is>
          <t>Tech B</t>
        </is>
      </c>
      <c r="H267">
        <f>INDEX(Limits!$B$2:$B$5,MATCH(E267,Limits!$A$2:$A$5,0))</f>
        <v/>
      </c>
      <c r="I267">
        <f>INDEX(Limits!$C$2:$C$5,MATCH(E267,Limits!$A$2:$A$5,0))</f>
        <v/>
      </c>
      <c r="J267">
        <f>IF(F267&gt;=I267,"Action",IF(F267&gt;=H267,"Alert","Pass"))</f>
        <v/>
      </c>
      <c r="K267" s="4">
        <f>DATE(YEAR(B267),MONTH(B267),1)</f>
        <v/>
      </c>
    </row>
    <row r="268">
      <c r="A268" t="inlineStr">
        <is>
          <t>EM000267</t>
        </is>
      </c>
      <c r="B268" s="7" t="n">
        <v>46045</v>
      </c>
      <c r="C268" t="inlineStr">
        <is>
          <t>CR-101</t>
        </is>
      </c>
      <c r="D268" t="inlineStr">
        <is>
          <t>ISO 7</t>
        </is>
      </c>
      <c r="E268" t="inlineStr">
        <is>
          <t>Active air</t>
        </is>
      </c>
      <c r="F268" t="n">
        <v>2</v>
      </c>
      <c r="G268" t="inlineStr">
        <is>
          <t>Tech B</t>
        </is>
      </c>
      <c r="H268">
        <f>INDEX(Limits!$B$2:$B$5,MATCH(E268,Limits!$A$2:$A$5,0))</f>
        <v/>
      </c>
      <c r="I268">
        <f>INDEX(Limits!$C$2:$C$5,MATCH(E268,Limits!$A$2:$A$5,0))</f>
        <v/>
      </c>
      <c r="J268">
        <f>IF(F268&gt;=I268,"Action",IF(F268&gt;=H268,"Alert","Pass"))</f>
        <v/>
      </c>
      <c r="K268" s="4">
        <f>DATE(YEAR(B268),MONTH(B268),1)</f>
        <v/>
      </c>
    </row>
    <row r="269">
      <c r="A269" t="inlineStr">
        <is>
          <t>EM000268</t>
        </is>
      </c>
      <c r="B269" s="7" t="n">
        <v>46045</v>
      </c>
      <c r="C269" t="inlineStr">
        <is>
          <t>CR-101</t>
        </is>
      </c>
      <c r="D269" t="inlineStr">
        <is>
          <t>ISO 7</t>
        </is>
      </c>
      <c r="E269" t="inlineStr">
        <is>
          <t>Surface contact</t>
        </is>
      </c>
      <c r="F269" t="n">
        <v>0</v>
      </c>
      <c r="G269" t="inlineStr">
        <is>
          <t>Tech A</t>
        </is>
      </c>
      <c r="H269">
        <f>INDEX(Limits!$B$2:$B$5,MATCH(E269,Limits!$A$2:$A$5,0))</f>
        <v/>
      </c>
      <c r="I269">
        <f>INDEX(Limits!$C$2:$C$5,MATCH(E269,Limits!$A$2:$A$5,0))</f>
        <v/>
      </c>
      <c r="J269">
        <f>IF(F269&gt;=I269,"Action",IF(F269&gt;=H269,"Alert","Pass"))</f>
        <v/>
      </c>
      <c r="K269" s="4">
        <f>DATE(YEAR(B269),MONTH(B269),1)</f>
        <v/>
      </c>
    </row>
    <row r="270">
      <c r="A270" t="inlineStr">
        <is>
          <t>EM000269</t>
        </is>
      </c>
      <c r="B270" s="7" t="n">
        <v>46045</v>
      </c>
      <c r="C270" t="inlineStr">
        <is>
          <t>CR-101</t>
        </is>
      </c>
      <c r="D270" t="inlineStr">
        <is>
          <t>ISO 7</t>
        </is>
      </c>
      <c r="E270" t="inlineStr">
        <is>
          <t>Compressed air</t>
        </is>
      </c>
      <c r="F270" t="n">
        <v>0</v>
      </c>
      <c r="G270" t="inlineStr">
        <is>
          <t>Tech C</t>
        </is>
      </c>
      <c r="H270">
        <f>INDEX(Limits!$B$2:$B$5,MATCH(E270,Limits!$A$2:$A$5,0))</f>
        <v/>
      </c>
      <c r="I270">
        <f>INDEX(Limits!$C$2:$C$5,MATCH(E270,Limits!$A$2:$A$5,0))</f>
        <v/>
      </c>
      <c r="J270">
        <f>IF(F270&gt;=I270,"Action",IF(F270&gt;=H270,"Alert","Pass"))</f>
        <v/>
      </c>
      <c r="K270" s="4">
        <f>DATE(YEAR(B270),MONTH(B270),1)</f>
        <v/>
      </c>
    </row>
    <row r="271">
      <c r="A271" t="inlineStr">
        <is>
          <t>EM000270</t>
        </is>
      </c>
      <c r="B271" s="7" t="n">
        <v>46045</v>
      </c>
      <c r="C271" t="inlineStr">
        <is>
          <t>CR-101</t>
        </is>
      </c>
      <c r="D271" t="inlineStr">
        <is>
          <t>ISO 7</t>
        </is>
      </c>
      <c r="E271" t="inlineStr">
        <is>
          <t>Personnel glove</t>
        </is>
      </c>
      <c r="F271" t="n">
        <v>0</v>
      </c>
      <c r="G271" t="inlineStr">
        <is>
          <t>Tech B</t>
        </is>
      </c>
      <c r="H271">
        <f>INDEX(Limits!$B$2:$B$5,MATCH(E271,Limits!$A$2:$A$5,0))</f>
        <v/>
      </c>
      <c r="I271">
        <f>INDEX(Limits!$C$2:$C$5,MATCH(E271,Limits!$A$2:$A$5,0))</f>
        <v/>
      </c>
      <c r="J271">
        <f>IF(F271&gt;=I271,"Action",IF(F271&gt;=H271,"Alert","Pass"))</f>
        <v/>
      </c>
      <c r="K271" s="4">
        <f>DATE(YEAR(B271),MONTH(B271),1)</f>
        <v/>
      </c>
    </row>
    <row r="272">
      <c r="A272" t="inlineStr">
        <is>
          <t>EM000271</t>
        </is>
      </c>
      <c r="B272" s="7" t="n">
        <v>46045</v>
      </c>
      <c r="C272" t="inlineStr">
        <is>
          <t>CR-102</t>
        </is>
      </c>
      <c r="D272" t="inlineStr">
        <is>
          <t>ISO 7</t>
        </is>
      </c>
      <c r="E272" t="inlineStr">
        <is>
          <t>Active air</t>
        </is>
      </c>
      <c r="F272" t="n">
        <v>0</v>
      </c>
      <c r="G272" t="inlineStr">
        <is>
          <t>Tech C</t>
        </is>
      </c>
      <c r="H272">
        <f>INDEX(Limits!$B$2:$B$5,MATCH(E272,Limits!$A$2:$A$5,0))</f>
        <v/>
      </c>
      <c r="I272">
        <f>INDEX(Limits!$C$2:$C$5,MATCH(E272,Limits!$A$2:$A$5,0))</f>
        <v/>
      </c>
      <c r="J272">
        <f>IF(F272&gt;=I272,"Action",IF(F272&gt;=H272,"Alert","Pass"))</f>
        <v/>
      </c>
      <c r="K272" s="4">
        <f>DATE(YEAR(B272),MONTH(B272),1)</f>
        <v/>
      </c>
    </row>
    <row r="273">
      <c r="A273" t="inlineStr">
        <is>
          <t>EM000272</t>
        </is>
      </c>
      <c r="B273" s="7" t="n">
        <v>46045</v>
      </c>
      <c r="C273" t="inlineStr">
        <is>
          <t>CR-102</t>
        </is>
      </c>
      <c r="D273" t="inlineStr">
        <is>
          <t>ISO 7</t>
        </is>
      </c>
      <c r="E273" t="inlineStr">
        <is>
          <t>Surface contact</t>
        </is>
      </c>
      <c r="F273" t="n">
        <v>2</v>
      </c>
      <c r="G273" t="inlineStr">
        <is>
          <t>Tech C</t>
        </is>
      </c>
      <c r="H273">
        <f>INDEX(Limits!$B$2:$B$5,MATCH(E273,Limits!$A$2:$A$5,0))</f>
        <v/>
      </c>
      <c r="I273">
        <f>INDEX(Limits!$C$2:$C$5,MATCH(E273,Limits!$A$2:$A$5,0))</f>
        <v/>
      </c>
      <c r="J273">
        <f>IF(F273&gt;=I273,"Action",IF(F273&gt;=H273,"Alert","Pass"))</f>
        <v/>
      </c>
      <c r="K273" s="4">
        <f>DATE(YEAR(B273),MONTH(B273),1)</f>
        <v/>
      </c>
    </row>
    <row r="274">
      <c r="A274" t="inlineStr">
        <is>
          <t>EM000273</t>
        </is>
      </c>
      <c r="B274" s="7" t="n">
        <v>46045</v>
      </c>
      <c r="C274" t="inlineStr">
        <is>
          <t>CR-102</t>
        </is>
      </c>
      <c r="D274" t="inlineStr">
        <is>
          <t>ISO 7</t>
        </is>
      </c>
      <c r="E274" t="inlineStr">
        <is>
          <t>Compressed air</t>
        </is>
      </c>
      <c r="F274" t="n">
        <v>0</v>
      </c>
      <c r="G274" t="inlineStr">
        <is>
          <t>Tech C</t>
        </is>
      </c>
      <c r="H274">
        <f>INDEX(Limits!$B$2:$B$5,MATCH(E274,Limits!$A$2:$A$5,0))</f>
        <v/>
      </c>
      <c r="I274">
        <f>INDEX(Limits!$C$2:$C$5,MATCH(E274,Limits!$A$2:$A$5,0))</f>
        <v/>
      </c>
      <c r="J274">
        <f>IF(F274&gt;=I274,"Action",IF(F274&gt;=H274,"Alert","Pass"))</f>
        <v/>
      </c>
      <c r="K274" s="4">
        <f>DATE(YEAR(B274),MONTH(B274),1)</f>
        <v/>
      </c>
    </row>
    <row r="275">
      <c r="A275" t="inlineStr">
        <is>
          <t>EM000274</t>
        </is>
      </c>
      <c r="B275" s="7" t="n">
        <v>46045</v>
      </c>
      <c r="C275" t="inlineStr">
        <is>
          <t>CR-102</t>
        </is>
      </c>
      <c r="D275" t="inlineStr">
        <is>
          <t>ISO 7</t>
        </is>
      </c>
      <c r="E275" t="inlineStr">
        <is>
          <t>Personnel glove</t>
        </is>
      </c>
      <c r="F275" t="n">
        <v>0</v>
      </c>
      <c r="G275" t="inlineStr">
        <is>
          <t>Tech A</t>
        </is>
      </c>
      <c r="H275">
        <f>INDEX(Limits!$B$2:$B$5,MATCH(E275,Limits!$A$2:$A$5,0))</f>
        <v/>
      </c>
      <c r="I275">
        <f>INDEX(Limits!$C$2:$C$5,MATCH(E275,Limits!$A$2:$A$5,0))</f>
        <v/>
      </c>
      <c r="J275">
        <f>IF(F275&gt;=I275,"Action",IF(F275&gt;=H275,"Alert","Pass"))</f>
        <v/>
      </c>
      <c r="K275" s="4">
        <f>DATE(YEAR(B275),MONTH(B275),1)</f>
        <v/>
      </c>
    </row>
    <row r="276">
      <c r="A276" t="inlineStr">
        <is>
          <t>EM000275</t>
        </is>
      </c>
      <c r="B276" s="7" t="n">
        <v>46045</v>
      </c>
      <c r="C276" t="inlineStr">
        <is>
          <t>CR-201</t>
        </is>
      </c>
      <c r="D276" t="inlineStr">
        <is>
          <t>ISO 8</t>
        </is>
      </c>
      <c r="E276" t="inlineStr">
        <is>
          <t>Active air</t>
        </is>
      </c>
      <c r="F276" t="n">
        <v>4</v>
      </c>
      <c r="G276" t="inlineStr">
        <is>
          <t>Tech C</t>
        </is>
      </c>
      <c r="H276">
        <f>INDEX(Limits!$B$2:$B$5,MATCH(E276,Limits!$A$2:$A$5,0))</f>
        <v/>
      </c>
      <c r="I276">
        <f>INDEX(Limits!$C$2:$C$5,MATCH(E276,Limits!$A$2:$A$5,0))</f>
        <v/>
      </c>
      <c r="J276">
        <f>IF(F276&gt;=I276,"Action",IF(F276&gt;=H276,"Alert","Pass"))</f>
        <v/>
      </c>
      <c r="K276" s="4">
        <f>DATE(YEAR(B276),MONTH(B276),1)</f>
        <v/>
      </c>
    </row>
    <row r="277">
      <c r="A277" t="inlineStr">
        <is>
          <t>EM000276</t>
        </is>
      </c>
      <c r="B277" s="7" t="n">
        <v>46045</v>
      </c>
      <c r="C277" t="inlineStr">
        <is>
          <t>CR-201</t>
        </is>
      </c>
      <c r="D277" t="inlineStr">
        <is>
          <t>ISO 8</t>
        </is>
      </c>
      <c r="E277" t="inlineStr">
        <is>
          <t>Surface contact</t>
        </is>
      </c>
      <c r="F277" t="n">
        <v>0</v>
      </c>
      <c r="G277" t="inlineStr">
        <is>
          <t>Tech B</t>
        </is>
      </c>
      <c r="H277">
        <f>INDEX(Limits!$B$2:$B$5,MATCH(E277,Limits!$A$2:$A$5,0))</f>
        <v/>
      </c>
      <c r="I277">
        <f>INDEX(Limits!$C$2:$C$5,MATCH(E277,Limits!$A$2:$A$5,0))</f>
        <v/>
      </c>
      <c r="J277">
        <f>IF(F277&gt;=I277,"Action",IF(F277&gt;=H277,"Alert","Pass"))</f>
        <v/>
      </c>
      <c r="K277" s="4">
        <f>DATE(YEAR(B277),MONTH(B277),1)</f>
        <v/>
      </c>
    </row>
    <row r="278">
      <c r="A278" t="inlineStr">
        <is>
          <t>EM000277</t>
        </is>
      </c>
      <c r="B278" s="7" t="n">
        <v>46045</v>
      </c>
      <c r="C278" t="inlineStr">
        <is>
          <t>CR-201</t>
        </is>
      </c>
      <c r="D278" t="inlineStr">
        <is>
          <t>ISO 8</t>
        </is>
      </c>
      <c r="E278" t="inlineStr">
        <is>
          <t>Compressed air</t>
        </is>
      </c>
      <c r="F278" t="n">
        <v>0</v>
      </c>
      <c r="G278" t="inlineStr">
        <is>
          <t>Tech A</t>
        </is>
      </c>
      <c r="H278">
        <f>INDEX(Limits!$B$2:$B$5,MATCH(E278,Limits!$A$2:$A$5,0))</f>
        <v/>
      </c>
      <c r="I278">
        <f>INDEX(Limits!$C$2:$C$5,MATCH(E278,Limits!$A$2:$A$5,0))</f>
        <v/>
      </c>
      <c r="J278">
        <f>IF(F278&gt;=I278,"Action",IF(F278&gt;=H278,"Alert","Pass"))</f>
        <v/>
      </c>
      <c r="K278" s="4">
        <f>DATE(YEAR(B278),MONTH(B278),1)</f>
        <v/>
      </c>
    </row>
    <row r="279">
      <c r="A279" t="inlineStr">
        <is>
          <t>EM000278</t>
        </is>
      </c>
      <c r="B279" s="7" t="n">
        <v>46045</v>
      </c>
      <c r="C279" t="inlineStr">
        <is>
          <t>CR-201</t>
        </is>
      </c>
      <c r="D279" t="inlineStr">
        <is>
          <t>ISO 8</t>
        </is>
      </c>
      <c r="E279" t="inlineStr">
        <is>
          <t>Personnel glove</t>
        </is>
      </c>
      <c r="F279" t="n">
        <v>0</v>
      </c>
      <c r="G279" t="inlineStr">
        <is>
          <t>Tech A</t>
        </is>
      </c>
      <c r="H279">
        <f>INDEX(Limits!$B$2:$B$5,MATCH(E279,Limits!$A$2:$A$5,0))</f>
        <v/>
      </c>
      <c r="I279">
        <f>INDEX(Limits!$C$2:$C$5,MATCH(E279,Limits!$A$2:$A$5,0))</f>
        <v/>
      </c>
      <c r="J279">
        <f>IF(F279&gt;=I279,"Action",IF(F279&gt;=H279,"Alert","Pass"))</f>
        <v/>
      </c>
      <c r="K279" s="4">
        <f>DATE(YEAR(B279),MONTH(B279),1)</f>
        <v/>
      </c>
    </row>
    <row r="280">
      <c r="A280" t="inlineStr">
        <is>
          <t>EM000279</t>
        </is>
      </c>
      <c r="B280" s="7" t="n">
        <v>46045</v>
      </c>
      <c r="C280" t="inlineStr">
        <is>
          <t>CR-202</t>
        </is>
      </c>
      <c r="D280" t="inlineStr">
        <is>
          <t>ISO 8</t>
        </is>
      </c>
      <c r="E280" t="inlineStr">
        <is>
          <t>Active air</t>
        </is>
      </c>
      <c r="F280" t="n">
        <v>5</v>
      </c>
      <c r="G280" t="inlineStr">
        <is>
          <t>Tech B</t>
        </is>
      </c>
      <c r="H280">
        <f>INDEX(Limits!$B$2:$B$5,MATCH(E280,Limits!$A$2:$A$5,0))</f>
        <v/>
      </c>
      <c r="I280">
        <f>INDEX(Limits!$C$2:$C$5,MATCH(E280,Limits!$A$2:$A$5,0))</f>
        <v/>
      </c>
      <c r="J280">
        <f>IF(F280&gt;=I280,"Action",IF(F280&gt;=H280,"Alert","Pass"))</f>
        <v/>
      </c>
      <c r="K280" s="4">
        <f>DATE(YEAR(B280),MONTH(B280),1)</f>
        <v/>
      </c>
    </row>
    <row r="281">
      <c r="A281" t="inlineStr">
        <is>
          <t>EM000280</t>
        </is>
      </c>
      <c r="B281" s="7" t="n">
        <v>46045</v>
      </c>
      <c r="C281" t="inlineStr">
        <is>
          <t>CR-202</t>
        </is>
      </c>
      <c r="D281" t="inlineStr">
        <is>
          <t>ISO 8</t>
        </is>
      </c>
      <c r="E281" t="inlineStr">
        <is>
          <t>Surface contact</t>
        </is>
      </c>
      <c r="F281" t="n">
        <v>2</v>
      </c>
      <c r="G281" t="inlineStr">
        <is>
          <t>Tech D</t>
        </is>
      </c>
      <c r="H281">
        <f>INDEX(Limits!$B$2:$B$5,MATCH(E281,Limits!$A$2:$A$5,0))</f>
        <v/>
      </c>
      <c r="I281">
        <f>INDEX(Limits!$C$2:$C$5,MATCH(E281,Limits!$A$2:$A$5,0))</f>
        <v/>
      </c>
      <c r="J281">
        <f>IF(F281&gt;=I281,"Action",IF(F281&gt;=H281,"Alert","Pass"))</f>
        <v/>
      </c>
      <c r="K281" s="4">
        <f>DATE(YEAR(B281),MONTH(B281),1)</f>
        <v/>
      </c>
    </row>
    <row r="282">
      <c r="A282" t="inlineStr">
        <is>
          <t>EM000281</t>
        </is>
      </c>
      <c r="B282" s="7" t="n">
        <v>46045</v>
      </c>
      <c r="C282" t="inlineStr">
        <is>
          <t>CR-202</t>
        </is>
      </c>
      <c r="D282" t="inlineStr">
        <is>
          <t>ISO 8</t>
        </is>
      </c>
      <c r="E282" t="inlineStr">
        <is>
          <t>Compressed air</t>
        </is>
      </c>
      <c r="F282" t="n">
        <v>0</v>
      </c>
      <c r="G282" t="inlineStr">
        <is>
          <t>Tech D</t>
        </is>
      </c>
      <c r="H282">
        <f>INDEX(Limits!$B$2:$B$5,MATCH(E282,Limits!$A$2:$A$5,0))</f>
        <v/>
      </c>
      <c r="I282">
        <f>INDEX(Limits!$C$2:$C$5,MATCH(E282,Limits!$A$2:$A$5,0))</f>
        <v/>
      </c>
      <c r="J282">
        <f>IF(F282&gt;=I282,"Action",IF(F282&gt;=H282,"Alert","Pass"))</f>
        <v/>
      </c>
      <c r="K282" s="4">
        <f>DATE(YEAR(B282),MONTH(B282),1)</f>
        <v/>
      </c>
    </row>
    <row r="283">
      <c r="A283" t="inlineStr">
        <is>
          <t>EM000282</t>
        </is>
      </c>
      <c r="B283" s="7" t="n">
        <v>46045</v>
      </c>
      <c r="C283" t="inlineStr">
        <is>
          <t>CR-202</t>
        </is>
      </c>
      <c r="D283" t="inlineStr">
        <is>
          <t>ISO 8</t>
        </is>
      </c>
      <c r="E283" t="inlineStr">
        <is>
          <t>Personnel glove</t>
        </is>
      </c>
      <c r="F283" t="n">
        <v>0</v>
      </c>
      <c r="G283" t="inlineStr">
        <is>
          <t>Tech B</t>
        </is>
      </c>
      <c r="H283">
        <f>INDEX(Limits!$B$2:$B$5,MATCH(E283,Limits!$A$2:$A$5,0))</f>
        <v/>
      </c>
      <c r="I283">
        <f>INDEX(Limits!$C$2:$C$5,MATCH(E283,Limits!$A$2:$A$5,0))</f>
        <v/>
      </c>
      <c r="J283">
        <f>IF(F283&gt;=I283,"Action",IF(F283&gt;=H283,"Alert","Pass"))</f>
        <v/>
      </c>
      <c r="K283" s="4">
        <f>DATE(YEAR(B283),MONTH(B283),1)</f>
        <v/>
      </c>
    </row>
    <row r="284">
      <c r="A284" t="inlineStr">
        <is>
          <t>EM000283</t>
        </is>
      </c>
      <c r="B284" s="7" t="n">
        <v>46045</v>
      </c>
      <c r="C284" t="inlineStr">
        <is>
          <t>Gowning</t>
        </is>
      </c>
      <c r="D284" t="inlineStr">
        <is>
          <t>ISO 8</t>
        </is>
      </c>
      <c r="E284" t="inlineStr">
        <is>
          <t>Active air</t>
        </is>
      </c>
      <c r="F284" t="n">
        <v>3</v>
      </c>
      <c r="G284" t="inlineStr">
        <is>
          <t>Tech C</t>
        </is>
      </c>
      <c r="H284">
        <f>INDEX(Limits!$B$2:$B$5,MATCH(E284,Limits!$A$2:$A$5,0))</f>
        <v/>
      </c>
      <c r="I284">
        <f>INDEX(Limits!$C$2:$C$5,MATCH(E284,Limits!$A$2:$A$5,0))</f>
        <v/>
      </c>
      <c r="J284">
        <f>IF(F284&gt;=I284,"Action",IF(F284&gt;=H284,"Alert","Pass"))</f>
        <v/>
      </c>
      <c r="K284" s="4">
        <f>DATE(YEAR(B284),MONTH(B284),1)</f>
        <v/>
      </c>
    </row>
    <row r="285">
      <c r="A285" t="inlineStr">
        <is>
          <t>EM000284</t>
        </is>
      </c>
      <c r="B285" s="7" t="n">
        <v>46045</v>
      </c>
      <c r="C285" t="inlineStr">
        <is>
          <t>Gowning</t>
        </is>
      </c>
      <c r="D285" t="inlineStr">
        <is>
          <t>ISO 8</t>
        </is>
      </c>
      <c r="E285" t="inlineStr">
        <is>
          <t>Surface contact</t>
        </is>
      </c>
      <c r="F285" t="n">
        <v>0</v>
      </c>
      <c r="G285" t="inlineStr">
        <is>
          <t>Tech A</t>
        </is>
      </c>
      <c r="H285">
        <f>INDEX(Limits!$B$2:$B$5,MATCH(E285,Limits!$A$2:$A$5,0))</f>
        <v/>
      </c>
      <c r="I285">
        <f>INDEX(Limits!$C$2:$C$5,MATCH(E285,Limits!$A$2:$A$5,0))</f>
        <v/>
      </c>
      <c r="J285">
        <f>IF(F285&gt;=I285,"Action",IF(F285&gt;=H285,"Alert","Pass"))</f>
        <v/>
      </c>
      <c r="K285" s="4">
        <f>DATE(YEAR(B285),MONTH(B285),1)</f>
        <v/>
      </c>
    </row>
    <row r="286">
      <c r="A286" t="inlineStr">
        <is>
          <t>EM000285</t>
        </is>
      </c>
      <c r="B286" s="7" t="n">
        <v>46045</v>
      </c>
      <c r="C286" t="inlineStr">
        <is>
          <t>Gowning</t>
        </is>
      </c>
      <c r="D286" t="inlineStr">
        <is>
          <t>ISO 8</t>
        </is>
      </c>
      <c r="E286" t="inlineStr">
        <is>
          <t>Personnel glove</t>
        </is>
      </c>
      <c r="F286" t="n">
        <v>0</v>
      </c>
      <c r="G286" t="inlineStr">
        <is>
          <t>Tech C</t>
        </is>
      </c>
      <c r="H286">
        <f>INDEX(Limits!$B$2:$B$5,MATCH(E286,Limits!$A$2:$A$5,0))</f>
        <v/>
      </c>
      <c r="I286">
        <f>INDEX(Limits!$C$2:$C$5,MATCH(E286,Limits!$A$2:$A$5,0))</f>
        <v/>
      </c>
      <c r="J286">
        <f>IF(F286&gt;=I286,"Action",IF(F286&gt;=H286,"Alert","Pass"))</f>
        <v/>
      </c>
      <c r="K286" s="4">
        <f>DATE(YEAR(B286),MONTH(B286),1)</f>
        <v/>
      </c>
    </row>
    <row r="287">
      <c r="A287" t="inlineStr">
        <is>
          <t>EM000286</t>
        </is>
      </c>
      <c r="B287" s="7" t="n">
        <v>46048</v>
      </c>
      <c r="C287" t="inlineStr">
        <is>
          <t>CR-101</t>
        </is>
      </c>
      <c r="D287" t="inlineStr">
        <is>
          <t>ISO 7</t>
        </is>
      </c>
      <c r="E287" t="inlineStr">
        <is>
          <t>Active air</t>
        </is>
      </c>
      <c r="F287" t="n">
        <v>0</v>
      </c>
      <c r="G287" t="inlineStr">
        <is>
          <t>Tech A</t>
        </is>
      </c>
      <c r="H287">
        <f>INDEX(Limits!$B$2:$B$5,MATCH(E287,Limits!$A$2:$A$5,0))</f>
        <v/>
      </c>
      <c r="I287">
        <f>INDEX(Limits!$C$2:$C$5,MATCH(E287,Limits!$A$2:$A$5,0))</f>
        <v/>
      </c>
      <c r="J287">
        <f>IF(F287&gt;=I287,"Action",IF(F287&gt;=H287,"Alert","Pass"))</f>
        <v/>
      </c>
      <c r="K287" s="4">
        <f>DATE(YEAR(B287),MONTH(B287),1)</f>
        <v/>
      </c>
    </row>
    <row r="288">
      <c r="A288" t="inlineStr">
        <is>
          <t>EM000287</t>
        </is>
      </c>
      <c r="B288" s="7" t="n">
        <v>46048</v>
      </c>
      <c r="C288" t="inlineStr">
        <is>
          <t>CR-101</t>
        </is>
      </c>
      <c r="D288" t="inlineStr">
        <is>
          <t>ISO 7</t>
        </is>
      </c>
      <c r="E288" t="inlineStr">
        <is>
          <t>Surface contact</t>
        </is>
      </c>
      <c r="F288" t="n">
        <v>1</v>
      </c>
      <c r="G288" t="inlineStr">
        <is>
          <t>Tech D</t>
        </is>
      </c>
      <c r="H288">
        <f>INDEX(Limits!$B$2:$B$5,MATCH(E288,Limits!$A$2:$A$5,0))</f>
        <v/>
      </c>
      <c r="I288">
        <f>INDEX(Limits!$C$2:$C$5,MATCH(E288,Limits!$A$2:$A$5,0))</f>
        <v/>
      </c>
      <c r="J288">
        <f>IF(F288&gt;=I288,"Action",IF(F288&gt;=H288,"Alert","Pass"))</f>
        <v/>
      </c>
      <c r="K288" s="4">
        <f>DATE(YEAR(B288),MONTH(B288),1)</f>
        <v/>
      </c>
    </row>
    <row r="289">
      <c r="A289" t="inlineStr">
        <is>
          <t>EM000288</t>
        </is>
      </c>
      <c r="B289" s="7" t="n">
        <v>46048</v>
      </c>
      <c r="C289" t="inlineStr">
        <is>
          <t>CR-101</t>
        </is>
      </c>
      <c r="D289" t="inlineStr">
        <is>
          <t>ISO 7</t>
        </is>
      </c>
      <c r="E289" t="inlineStr">
        <is>
          <t>Compressed air</t>
        </is>
      </c>
      <c r="F289" t="n">
        <v>0</v>
      </c>
      <c r="G289" t="inlineStr">
        <is>
          <t>Tech B</t>
        </is>
      </c>
      <c r="H289">
        <f>INDEX(Limits!$B$2:$B$5,MATCH(E289,Limits!$A$2:$A$5,0))</f>
        <v/>
      </c>
      <c r="I289">
        <f>INDEX(Limits!$C$2:$C$5,MATCH(E289,Limits!$A$2:$A$5,0))</f>
        <v/>
      </c>
      <c r="J289">
        <f>IF(F289&gt;=I289,"Action",IF(F289&gt;=H289,"Alert","Pass"))</f>
        <v/>
      </c>
      <c r="K289" s="4">
        <f>DATE(YEAR(B289),MONTH(B289),1)</f>
        <v/>
      </c>
    </row>
    <row r="290">
      <c r="A290" t="inlineStr">
        <is>
          <t>EM000289</t>
        </is>
      </c>
      <c r="B290" s="7" t="n">
        <v>46048</v>
      </c>
      <c r="C290" t="inlineStr">
        <is>
          <t>CR-101</t>
        </is>
      </c>
      <c r="D290" t="inlineStr">
        <is>
          <t>ISO 7</t>
        </is>
      </c>
      <c r="E290" t="inlineStr">
        <is>
          <t>Personnel glove</t>
        </is>
      </c>
      <c r="F290" t="n">
        <v>0</v>
      </c>
      <c r="G290" t="inlineStr">
        <is>
          <t>Tech B</t>
        </is>
      </c>
      <c r="H290">
        <f>INDEX(Limits!$B$2:$B$5,MATCH(E290,Limits!$A$2:$A$5,0))</f>
        <v/>
      </c>
      <c r="I290">
        <f>INDEX(Limits!$C$2:$C$5,MATCH(E290,Limits!$A$2:$A$5,0))</f>
        <v/>
      </c>
      <c r="J290">
        <f>IF(F290&gt;=I290,"Action",IF(F290&gt;=H290,"Alert","Pass"))</f>
        <v/>
      </c>
      <c r="K290" s="4">
        <f>DATE(YEAR(B290),MONTH(B290),1)</f>
        <v/>
      </c>
    </row>
    <row r="291">
      <c r="A291" t="inlineStr">
        <is>
          <t>EM000290</t>
        </is>
      </c>
      <c r="B291" s="7" t="n">
        <v>46048</v>
      </c>
      <c r="C291" t="inlineStr">
        <is>
          <t>CR-102</t>
        </is>
      </c>
      <c r="D291" t="inlineStr">
        <is>
          <t>ISO 7</t>
        </is>
      </c>
      <c r="E291" t="inlineStr">
        <is>
          <t>Active air</t>
        </is>
      </c>
      <c r="F291" t="n">
        <v>1</v>
      </c>
      <c r="G291" t="inlineStr">
        <is>
          <t>Tech B</t>
        </is>
      </c>
      <c r="H291">
        <f>INDEX(Limits!$B$2:$B$5,MATCH(E291,Limits!$A$2:$A$5,0))</f>
        <v/>
      </c>
      <c r="I291">
        <f>INDEX(Limits!$C$2:$C$5,MATCH(E291,Limits!$A$2:$A$5,0))</f>
        <v/>
      </c>
      <c r="J291">
        <f>IF(F291&gt;=I291,"Action",IF(F291&gt;=H291,"Alert","Pass"))</f>
        <v/>
      </c>
      <c r="K291" s="4">
        <f>DATE(YEAR(B291),MONTH(B291),1)</f>
        <v/>
      </c>
    </row>
    <row r="292">
      <c r="A292" t="inlineStr">
        <is>
          <t>EM000291</t>
        </is>
      </c>
      <c r="B292" s="7" t="n">
        <v>46048</v>
      </c>
      <c r="C292" t="inlineStr">
        <is>
          <t>CR-102</t>
        </is>
      </c>
      <c r="D292" t="inlineStr">
        <is>
          <t>ISO 7</t>
        </is>
      </c>
      <c r="E292" t="inlineStr">
        <is>
          <t>Surface contact</t>
        </is>
      </c>
      <c r="F292" t="n">
        <v>1</v>
      </c>
      <c r="G292" t="inlineStr">
        <is>
          <t>Tech A</t>
        </is>
      </c>
      <c r="H292">
        <f>INDEX(Limits!$B$2:$B$5,MATCH(E292,Limits!$A$2:$A$5,0))</f>
        <v/>
      </c>
      <c r="I292">
        <f>INDEX(Limits!$C$2:$C$5,MATCH(E292,Limits!$A$2:$A$5,0))</f>
        <v/>
      </c>
      <c r="J292">
        <f>IF(F292&gt;=I292,"Action",IF(F292&gt;=H292,"Alert","Pass"))</f>
        <v/>
      </c>
      <c r="K292" s="4">
        <f>DATE(YEAR(B292),MONTH(B292),1)</f>
        <v/>
      </c>
    </row>
    <row r="293">
      <c r="A293" t="inlineStr">
        <is>
          <t>EM000292</t>
        </is>
      </c>
      <c r="B293" s="7" t="n">
        <v>46048</v>
      </c>
      <c r="C293" t="inlineStr">
        <is>
          <t>CR-102</t>
        </is>
      </c>
      <c r="D293" t="inlineStr">
        <is>
          <t>ISO 7</t>
        </is>
      </c>
      <c r="E293" t="inlineStr">
        <is>
          <t>Compressed air</t>
        </is>
      </c>
      <c r="F293" t="n">
        <v>1</v>
      </c>
      <c r="G293" t="inlineStr">
        <is>
          <t>Tech D</t>
        </is>
      </c>
      <c r="H293">
        <f>INDEX(Limits!$B$2:$B$5,MATCH(E293,Limits!$A$2:$A$5,0))</f>
        <v/>
      </c>
      <c r="I293">
        <f>INDEX(Limits!$C$2:$C$5,MATCH(E293,Limits!$A$2:$A$5,0))</f>
        <v/>
      </c>
      <c r="J293">
        <f>IF(F293&gt;=I293,"Action",IF(F293&gt;=H293,"Alert","Pass"))</f>
        <v/>
      </c>
      <c r="K293" s="4">
        <f>DATE(YEAR(B293),MONTH(B293),1)</f>
        <v/>
      </c>
    </row>
    <row r="294">
      <c r="A294" t="inlineStr">
        <is>
          <t>EM000293</t>
        </is>
      </c>
      <c r="B294" s="7" t="n">
        <v>46048</v>
      </c>
      <c r="C294" t="inlineStr">
        <is>
          <t>CR-102</t>
        </is>
      </c>
      <c r="D294" t="inlineStr">
        <is>
          <t>ISO 7</t>
        </is>
      </c>
      <c r="E294" t="inlineStr">
        <is>
          <t>Personnel glove</t>
        </is>
      </c>
      <c r="F294" t="n">
        <v>0</v>
      </c>
      <c r="G294" t="inlineStr">
        <is>
          <t>Tech B</t>
        </is>
      </c>
      <c r="H294">
        <f>INDEX(Limits!$B$2:$B$5,MATCH(E294,Limits!$A$2:$A$5,0))</f>
        <v/>
      </c>
      <c r="I294">
        <f>INDEX(Limits!$C$2:$C$5,MATCH(E294,Limits!$A$2:$A$5,0))</f>
        <v/>
      </c>
      <c r="J294">
        <f>IF(F294&gt;=I294,"Action",IF(F294&gt;=H294,"Alert","Pass"))</f>
        <v/>
      </c>
      <c r="K294" s="4">
        <f>DATE(YEAR(B294),MONTH(B294),1)</f>
        <v/>
      </c>
    </row>
    <row r="295">
      <c r="A295" t="inlineStr">
        <is>
          <t>EM000294</t>
        </is>
      </c>
      <c r="B295" s="7" t="n">
        <v>46048</v>
      </c>
      <c r="C295" t="inlineStr">
        <is>
          <t>CR-201</t>
        </is>
      </c>
      <c r="D295" t="inlineStr">
        <is>
          <t>ISO 8</t>
        </is>
      </c>
      <c r="E295" t="inlineStr">
        <is>
          <t>Active air</t>
        </is>
      </c>
      <c r="F295" t="n">
        <v>1</v>
      </c>
      <c r="G295" t="inlineStr">
        <is>
          <t>Tech D</t>
        </is>
      </c>
      <c r="H295">
        <f>INDEX(Limits!$B$2:$B$5,MATCH(E295,Limits!$A$2:$A$5,0))</f>
        <v/>
      </c>
      <c r="I295">
        <f>INDEX(Limits!$C$2:$C$5,MATCH(E295,Limits!$A$2:$A$5,0))</f>
        <v/>
      </c>
      <c r="J295">
        <f>IF(F295&gt;=I295,"Action",IF(F295&gt;=H295,"Alert","Pass"))</f>
        <v/>
      </c>
      <c r="K295" s="4">
        <f>DATE(YEAR(B295),MONTH(B295),1)</f>
        <v/>
      </c>
    </row>
    <row r="296">
      <c r="A296" t="inlineStr">
        <is>
          <t>EM000295</t>
        </is>
      </c>
      <c r="B296" s="7" t="n">
        <v>46048</v>
      </c>
      <c r="C296" t="inlineStr">
        <is>
          <t>CR-201</t>
        </is>
      </c>
      <c r="D296" t="inlineStr">
        <is>
          <t>ISO 8</t>
        </is>
      </c>
      <c r="E296" t="inlineStr">
        <is>
          <t>Surface contact</t>
        </is>
      </c>
      <c r="F296" t="n">
        <v>0</v>
      </c>
      <c r="G296" t="inlineStr">
        <is>
          <t>Tech C</t>
        </is>
      </c>
      <c r="H296">
        <f>INDEX(Limits!$B$2:$B$5,MATCH(E296,Limits!$A$2:$A$5,0))</f>
        <v/>
      </c>
      <c r="I296">
        <f>INDEX(Limits!$C$2:$C$5,MATCH(E296,Limits!$A$2:$A$5,0))</f>
        <v/>
      </c>
      <c r="J296">
        <f>IF(F296&gt;=I296,"Action",IF(F296&gt;=H296,"Alert","Pass"))</f>
        <v/>
      </c>
      <c r="K296" s="4">
        <f>DATE(YEAR(B296),MONTH(B296),1)</f>
        <v/>
      </c>
    </row>
    <row r="297">
      <c r="A297" t="inlineStr">
        <is>
          <t>EM000296</t>
        </is>
      </c>
      <c r="B297" s="7" t="n">
        <v>46048</v>
      </c>
      <c r="C297" t="inlineStr">
        <is>
          <t>CR-201</t>
        </is>
      </c>
      <c r="D297" t="inlineStr">
        <is>
          <t>ISO 8</t>
        </is>
      </c>
      <c r="E297" t="inlineStr">
        <is>
          <t>Compressed air</t>
        </is>
      </c>
      <c r="F297" t="n">
        <v>0</v>
      </c>
      <c r="G297" t="inlineStr">
        <is>
          <t>Tech C</t>
        </is>
      </c>
      <c r="H297">
        <f>INDEX(Limits!$B$2:$B$5,MATCH(E297,Limits!$A$2:$A$5,0))</f>
        <v/>
      </c>
      <c r="I297">
        <f>INDEX(Limits!$C$2:$C$5,MATCH(E297,Limits!$A$2:$A$5,0))</f>
        <v/>
      </c>
      <c r="J297">
        <f>IF(F297&gt;=I297,"Action",IF(F297&gt;=H297,"Alert","Pass"))</f>
        <v/>
      </c>
      <c r="K297" s="4">
        <f>DATE(YEAR(B297),MONTH(B297),1)</f>
        <v/>
      </c>
    </row>
    <row r="298">
      <c r="A298" t="inlineStr">
        <is>
          <t>EM000297</t>
        </is>
      </c>
      <c r="B298" s="7" t="n">
        <v>46048</v>
      </c>
      <c r="C298" t="inlineStr">
        <is>
          <t>CR-201</t>
        </is>
      </c>
      <c r="D298" t="inlineStr">
        <is>
          <t>ISO 8</t>
        </is>
      </c>
      <c r="E298" t="inlineStr">
        <is>
          <t>Personnel glove</t>
        </is>
      </c>
      <c r="F298" t="n">
        <v>0</v>
      </c>
      <c r="G298" t="inlineStr">
        <is>
          <t>Tech D</t>
        </is>
      </c>
      <c r="H298">
        <f>INDEX(Limits!$B$2:$B$5,MATCH(E298,Limits!$A$2:$A$5,0))</f>
        <v/>
      </c>
      <c r="I298">
        <f>INDEX(Limits!$C$2:$C$5,MATCH(E298,Limits!$A$2:$A$5,0))</f>
        <v/>
      </c>
      <c r="J298">
        <f>IF(F298&gt;=I298,"Action",IF(F298&gt;=H298,"Alert","Pass"))</f>
        <v/>
      </c>
      <c r="K298" s="4">
        <f>DATE(YEAR(B298),MONTH(B298),1)</f>
        <v/>
      </c>
    </row>
    <row r="299">
      <c r="A299" t="inlineStr">
        <is>
          <t>EM000298</t>
        </is>
      </c>
      <c r="B299" s="7" t="n">
        <v>46048</v>
      </c>
      <c r="C299" t="inlineStr">
        <is>
          <t>CR-202</t>
        </is>
      </c>
      <c r="D299" t="inlineStr">
        <is>
          <t>ISO 8</t>
        </is>
      </c>
      <c r="E299" t="inlineStr">
        <is>
          <t>Active air</t>
        </is>
      </c>
      <c r="F299" t="n">
        <v>0</v>
      </c>
      <c r="G299" t="inlineStr">
        <is>
          <t>Tech C</t>
        </is>
      </c>
      <c r="H299">
        <f>INDEX(Limits!$B$2:$B$5,MATCH(E299,Limits!$A$2:$A$5,0))</f>
        <v/>
      </c>
      <c r="I299">
        <f>INDEX(Limits!$C$2:$C$5,MATCH(E299,Limits!$A$2:$A$5,0))</f>
        <v/>
      </c>
      <c r="J299">
        <f>IF(F299&gt;=I299,"Action",IF(F299&gt;=H299,"Alert","Pass"))</f>
        <v/>
      </c>
      <c r="K299" s="4">
        <f>DATE(YEAR(B299),MONTH(B299),1)</f>
        <v/>
      </c>
    </row>
    <row r="300">
      <c r="A300" t="inlineStr">
        <is>
          <t>EM000299</t>
        </is>
      </c>
      <c r="B300" s="7" t="n">
        <v>46048</v>
      </c>
      <c r="C300" t="inlineStr">
        <is>
          <t>CR-202</t>
        </is>
      </c>
      <c r="D300" t="inlineStr">
        <is>
          <t>ISO 8</t>
        </is>
      </c>
      <c r="E300" t="inlineStr">
        <is>
          <t>Surface contact</t>
        </is>
      </c>
      <c r="F300" t="n">
        <v>0</v>
      </c>
      <c r="G300" t="inlineStr">
        <is>
          <t>Tech D</t>
        </is>
      </c>
      <c r="H300">
        <f>INDEX(Limits!$B$2:$B$5,MATCH(E300,Limits!$A$2:$A$5,0))</f>
        <v/>
      </c>
      <c r="I300">
        <f>INDEX(Limits!$C$2:$C$5,MATCH(E300,Limits!$A$2:$A$5,0))</f>
        <v/>
      </c>
      <c r="J300">
        <f>IF(F300&gt;=I300,"Action",IF(F300&gt;=H300,"Alert","Pass"))</f>
        <v/>
      </c>
      <c r="K300" s="4">
        <f>DATE(YEAR(B300),MONTH(B300),1)</f>
        <v/>
      </c>
    </row>
    <row r="301">
      <c r="A301" t="inlineStr">
        <is>
          <t>EM000300</t>
        </is>
      </c>
      <c r="B301" s="7" t="n">
        <v>46048</v>
      </c>
      <c r="C301" t="inlineStr">
        <is>
          <t>CR-202</t>
        </is>
      </c>
      <c r="D301" t="inlineStr">
        <is>
          <t>ISO 8</t>
        </is>
      </c>
      <c r="E301" t="inlineStr">
        <is>
          <t>Compressed air</t>
        </is>
      </c>
      <c r="F301" t="n">
        <v>0</v>
      </c>
      <c r="G301" t="inlineStr">
        <is>
          <t>Tech A</t>
        </is>
      </c>
      <c r="H301">
        <f>INDEX(Limits!$B$2:$B$5,MATCH(E301,Limits!$A$2:$A$5,0))</f>
        <v/>
      </c>
      <c r="I301">
        <f>INDEX(Limits!$C$2:$C$5,MATCH(E301,Limits!$A$2:$A$5,0))</f>
        <v/>
      </c>
      <c r="J301">
        <f>IF(F301&gt;=I301,"Action",IF(F301&gt;=H301,"Alert","Pass"))</f>
        <v/>
      </c>
      <c r="K301" s="4">
        <f>DATE(YEAR(B301),MONTH(B301),1)</f>
        <v/>
      </c>
    </row>
    <row r="302">
      <c r="A302" t="inlineStr">
        <is>
          <t>EM000301</t>
        </is>
      </c>
      <c r="B302" s="7" t="n">
        <v>46048</v>
      </c>
      <c r="C302" t="inlineStr">
        <is>
          <t>CR-202</t>
        </is>
      </c>
      <c r="D302" t="inlineStr">
        <is>
          <t>ISO 8</t>
        </is>
      </c>
      <c r="E302" t="inlineStr">
        <is>
          <t>Personnel glove</t>
        </is>
      </c>
      <c r="F302" t="n">
        <v>0</v>
      </c>
      <c r="G302" t="inlineStr">
        <is>
          <t>Tech D</t>
        </is>
      </c>
      <c r="H302">
        <f>INDEX(Limits!$B$2:$B$5,MATCH(E302,Limits!$A$2:$A$5,0))</f>
        <v/>
      </c>
      <c r="I302">
        <f>INDEX(Limits!$C$2:$C$5,MATCH(E302,Limits!$A$2:$A$5,0))</f>
        <v/>
      </c>
      <c r="J302">
        <f>IF(F302&gt;=I302,"Action",IF(F302&gt;=H302,"Alert","Pass"))</f>
        <v/>
      </c>
      <c r="K302" s="4">
        <f>DATE(YEAR(B302),MONTH(B302),1)</f>
        <v/>
      </c>
    </row>
    <row r="303">
      <c r="A303" t="inlineStr">
        <is>
          <t>EM000302</t>
        </is>
      </c>
      <c r="B303" s="7" t="n">
        <v>46048</v>
      </c>
      <c r="C303" t="inlineStr">
        <is>
          <t>Gowning</t>
        </is>
      </c>
      <c r="D303" t="inlineStr">
        <is>
          <t>ISO 8</t>
        </is>
      </c>
      <c r="E303" t="inlineStr">
        <is>
          <t>Active air</t>
        </is>
      </c>
      <c r="F303" t="n">
        <v>3</v>
      </c>
      <c r="G303" t="inlineStr">
        <is>
          <t>Tech C</t>
        </is>
      </c>
      <c r="H303">
        <f>INDEX(Limits!$B$2:$B$5,MATCH(E303,Limits!$A$2:$A$5,0))</f>
        <v/>
      </c>
      <c r="I303">
        <f>INDEX(Limits!$C$2:$C$5,MATCH(E303,Limits!$A$2:$A$5,0))</f>
        <v/>
      </c>
      <c r="J303">
        <f>IF(F303&gt;=I303,"Action",IF(F303&gt;=H303,"Alert","Pass"))</f>
        <v/>
      </c>
      <c r="K303" s="4">
        <f>DATE(YEAR(B303),MONTH(B303),1)</f>
        <v/>
      </c>
    </row>
    <row r="304">
      <c r="A304" t="inlineStr">
        <is>
          <t>EM000303</t>
        </is>
      </c>
      <c r="B304" s="7" t="n">
        <v>46048</v>
      </c>
      <c r="C304" t="inlineStr">
        <is>
          <t>Gowning</t>
        </is>
      </c>
      <c r="D304" t="inlineStr">
        <is>
          <t>ISO 8</t>
        </is>
      </c>
      <c r="E304" t="inlineStr">
        <is>
          <t>Surface contact</t>
        </is>
      </c>
      <c r="F304" t="n">
        <v>2</v>
      </c>
      <c r="G304" t="inlineStr">
        <is>
          <t>Tech B</t>
        </is>
      </c>
      <c r="H304">
        <f>INDEX(Limits!$B$2:$B$5,MATCH(E304,Limits!$A$2:$A$5,0))</f>
        <v/>
      </c>
      <c r="I304">
        <f>INDEX(Limits!$C$2:$C$5,MATCH(E304,Limits!$A$2:$A$5,0))</f>
        <v/>
      </c>
      <c r="J304">
        <f>IF(F304&gt;=I304,"Action",IF(F304&gt;=H304,"Alert","Pass"))</f>
        <v/>
      </c>
      <c r="K304" s="4">
        <f>DATE(YEAR(B304),MONTH(B304),1)</f>
        <v/>
      </c>
    </row>
    <row r="305">
      <c r="A305" t="inlineStr">
        <is>
          <t>EM000304</t>
        </is>
      </c>
      <c r="B305" s="7" t="n">
        <v>46048</v>
      </c>
      <c r="C305" t="inlineStr">
        <is>
          <t>Gowning</t>
        </is>
      </c>
      <c r="D305" t="inlineStr">
        <is>
          <t>ISO 8</t>
        </is>
      </c>
      <c r="E305" t="inlineStr">
        <is>
          <t>Personnel glove</t>
        </is>
      </c>
      <c r="F305" t="n">
        <v>0</v>
      </c>
      <c r="G305" t="inlineStr">
        <is>
          <t>Tech A</t>
        </is>
      </c>
      <c r="H305">
        <f>INDEX(Limits!$B$2:$B$5,MATCH(E305,Limits!$A$2:$A$5,0))</f>
        <v/>
      </c>
      <c r="I305">
        <f>INDEX(Limits!$C$2:$C$5,MATCH(E305,Limits!$A$2:$A$5,0))</f>
        <v/>
      </c>
      <c r="J305">
        <f>IF(F305&gt;=I305,"Action",IF(F305&gt;=H305,"Alert","Pass"))</f>
        <v/>
      </c>
      <c r="K305" s="4">
        <f>DATE(YEAR(B305),MONTH(B305),1)</f>
        <v/>
      </c>
    </row>
    <row r="306">
      <c r="A306" t="inlineStr">
        <is>
          <t>EM000305</t>
        </is>
      </c>
      <c r="B306" s="7" t="n">
        <v>46049</v>
      </c>
      <c r="C306" t="inlineStr">
        <is>
          <t>CR-101</t>
        </is>
      </c>
      <c r="D306" t="inlineStr">
        <is>
          <t>ISO 7</t>
        </is>
      </c>
      <c r="E306" t="inlineStr">
        <is>
          <t>Active air</t>
        </is>
      </c>
      <c r="F306" t="n">
        <v>0</v>
      </c>
      <c r="G306" t="inlineStr">
        <is>
          <t>Tech D</t>
        </is>
      </c>
      <c r="H306">
        <f>INDEX(Limits!$B$2:$B$5,MATCH(E306,Limits!$A$2:$A$5,0))</f>
        <v/>
      </c>
      <c r="I306">
        <f>INDEX(Limits!$C$2:$C$5,MATCH(E306,Limits!$A$2:$A$5,0))</f>
        <v/>
      </c>
      <c r="J306">
        <f>IF(F306&gt;=I306,"Action",IF(F306&gt;=H306,"Alert","Pass"))</f>
        <v/>
      </c>
      <c r="K306" s="4">
        <f>DATE(YEAR(B306),MONTH(B306),1)</f>
        <v/>
      </c>
    </row>
    <row r="307">
      <c r="A307" t="inlineStr">
        <is>
          <t>EM000306</t>
        </is>
      </c>
      <c r="B307" s="7" t="n">
        <v>46049</v>
      </c>
      <c r="C307" t="inlineStr">
        <is>
          <t>CR-101</t>
        </is>
      </c>
      <c r="D307" t="inlineStr">
        <is>
          <t>ISO 7</t>
        </is>
      </c>
      <c r="E307" t="inlineStr">
        <is>
          <t>Surface contact</t>
        </is>
      </c>
      <c r="F307" t="n">
        <v>0</v>
      </c>
      <c r="G307" t="inlineStr">
        <is>
          <t>Tech D</t>
        </is>
      </c>
      <c r="H307">
        <f>INDEX(Limits!$B$2:$B$5,MATCH(E307,Limits!$A$2:$A$5,0))</f>
        <v/>
      </c>
      <c r="I307">
        <f>INDEX(Limits!$C$2:$C$5,MATCH(E307,Limits!$A$2:$A$5,0))</f>
        <v/>
      </c>
      <c r="J307">
        <f>IF(F307&gt;=I307,"Action",IF(F307&gt;=H307,"Alert","Pass"))</f>
        <v/>
      </c>
      <c r="K307" s="4">
        <f>DATE(YEAR(B307),MONTH(B307),1)</f>
        <v/>
      </c>
    </row>
    <row r="308">
      <c r="A308" t="inlineStr">
        <is>
          <t>EM000307</t>
        </is>
      </c>
      <c r="B308" s="7" t="n">
        <v>46049</v>
      </c>
      <c r="C308" t="inlineStr">
        <is>
          <t>CR-101</t>
        </is>
      </c>
      <c r="D308" t="inlineStr">
        <is>
          <t>ISO 7</t>
        </is>
      </c>
      <c r="E308" t="inlineStr">
        <is>
          <t>Compressed air</t>
        </is>
      </c>
      <c r="F308" t="n">
        <v>0</v>
      </c>
      <c r="G308" t="inlineStr">
        <is>
          <t>Tech C</t>
        </is>
      </c>
      <c r="H308">
        <f>INDEX(Limits!$B$2:$B$5,MATCH(E308,Limits!$A$2:$A$5,0))</f>
        <v/>
      </c>
      <c r="I308">
        <f>INDEX(Limits!$C$2:$C$5,MATCH(E308,Limits!$A$2:$A$5,0))</f>
        <v/>
      </c>
      <c r="J308">
        <f>IF(F308&gt;=I308,"Action",IF(F308&gt;=H308,"Alert","Pass"))</f>
        <v/>
      </c>
      <c r="K308" s="4">
        <f>DATE(YEAR(B308),MONTH(B308),1)</f>
        <v/>
      </c>
    </row>
    <row r="309">
      <c r="A309" t="inlineStr">
        <is>
          <t>EM000308</t>
        </is>
      </c>
      <c r="B309" s="7" t="n">
        <v>46049</v>
      </c>
      <c r="C309" t="inlineStr">
        <is>
          <t>CR-101</t>
        </is>
      </c>
      <c r="D309" t="inlineStr">
        <is>
          <t>ISO 7</t>
        </is>
      </c>
      <c r="E309" t="inlineStr">
        <is>
          <t>Personnel glove</t>
        </is>
      </c>
      <c r="F309" t="n">
        <v>0</v>
      </c>
      <c r="G309" t="inlineStr">
        <is>
          <t>Tech C</t>
        </is>
      </c>
      <c r="H309">
        <f>INDEX(Limits!$B$2:$B$5,MATCH(E309,Limits!$A$2:$A$5,0))</f>
        <v/>
      </c>
      <c r="I309">
        <f>INDEX(Limits!$C$2:$C$5,MATCH(E309,Limits!$A$2:$A$5,0))</f>
        <v/>
      </c>
      <c r="J309">
        <f>IF(F309&gt;=I309,"Action",IF(F309&gt;=H309,"Alert","Pass"))</f>
        <v/>
      </c>
      <c r="K309" s="4">
        <f>DATE(YEAR(B309),MONTH(B309),1)</f>
        <v/>
      </c>
    </row>
    <row r="310">
      <c r="A310" t="inlineStr">
        <is>
          <t>EM000309</t>
        </is>
      </c>
      <c r="B310" s="7" t="n">
        <v>46049</v>
      </c>
      <c r="C310" t="inlineStr">
        <is>
          <t>CR-102</t>
        </is>
      </c>
      <c r="D310" t="inlineStr">
        <is>
          <t>ISO 7</t>
        </is>
      </c>
      <c r="E310" t="inlineStr">
        <is>
          <t>Active air</t>
        </is>
      </c>
      <c r="F310" t="n">
        <v>1</v>
      </c>
      <c r="G310" t="inlineStr">
        <is>
          <t>Tech B</t>
        </is>
      </c>
      <c r="H310">
        <f>INDEX(Limits!$B$2:$B$5,MATCH(E310,Limits!$A$2:$A$5,0))</f>
        <v/>
      </c>
      <c r="I310">
        <f>INDEX(Limits!$C$2:$C$5,MATCH(E310,Limits!$A$2:$A$5,0))</f>
        <v/>
      </c>
      <c r="J310">
        <f>IF(F310&gt;=I310,"Action",IF(F310&gt;=H310,"Alert","Pass"))</f>
        <v/>
      </c>
      <c r="K310" s="4">
        <f>DATE(YEAR(B310),MONTH(B310),1)</f>
        <v/>
      </c>
    </row>
    <row r="311">
      <c r="A311" t="inlineStr">
        <is>
          <t>EM000310</t>
        </is>
      </c>
      <c r="B311" s="7" t="n">
        <v>46049</v>
      </c>
      <c r="C311" t="inlineStr">
        <is>
          <t>CR-102</t>
        </is>
      </c>
      <c r="D311" t="inlineStr">
        <is>
          <t>ISO 7</t>
        </is>
      </c>
      <c r="E311" t="inlineStr">
        <is>
          <t>Surface contact</t>
        </is>
      </c>
      <c r="F311" t="n">
        <v>2</v>
      </c>
      <c r="G311" t="inlineStr">
        <is>
          <t>Tech C</t>
        </is>
      </c>
      <c r="H311">
        <f>INDEX(Limits!$B$2:$B$5,MATCH(E311,Limits!$A$2:$A$5,0))</f>
        <v/>
      </c>
      <c r="I311">
        <f>INDEX(Limits!$C$2:$C$5,MATCH(E311,Limits!$A$2:$A$5,0))</f>
        <v/>
      </c>
      <c r="J311">
        <f>IF(F311&gt;=I311,"Action",IF(F311&gt;=H311,"Alert","Pass"))</f>
        <v/>
      </c>
      <c r="K311" s="4">
        <f>DATE(YEAR(B311),MONTH(B311),1)</f>
        <v/>
      </c>
    </row>
    <row r="312">
      <c r="A312" t="inlineStr">
        <is>
          <t>EM000311</t>
        </is>
      </c>
      <c r="B312" s="7" t="n">
        <v>46049</v>
      </c>
      <c r="C312" t="inlineStr">
        <is>
          <t>CR-102</t>
        </is>
      </c>
      <c r="D312" t="inlineStr">
        <is>
          <t>ISO 7</t>
        </is>
      </c>
      <c r="E312" t="inlineStr">
        <is>
          <t>Compressed air</t>
        </is>
      </c>
      <c r="F312" t="n">
        <v>0</v>
      </c>
      <c r="G312" t="inlineStr">
        <is>
          <t>Tech C</t>
        </is>
      </c>
      <c r="H312">
        <f>INDEX(Limits!$B$2:$B$5,MATCH(E312,Limits!$A$2:$A$5,0))</f>
        <v/>
      </c>
      <c r="I312">
        <f>INDEX(Limits!$C$2:$C$5,MATCH(E312,Limits!$A$2:$A$5,0))</f>
        <v/>
      </c>
      <c r="J312">
        <f>IF(F312&gt;=I312,"Action",IF(F312&gt;=H312,"Alert","Pass"))</f>
        <v/>
      </c>
      <c r="K312" s="4">
        <f>DATE(YEAR(B312),MONTH(B312),1)</f>
        <v/>
      </c>
    </row>
    <row r="313">
      <c r="A313" t="inlineStr">
        <is>
          <t>EM000312</t>
        </is>
      </c>
      <c r="B313" s="7" t="n">
        <v>46049</v>
      </c>
      <c r="C313" t="inlineStr">
        <is>
          <t>CR-102</t>
        </is>
      </c>
      <c r="D313" t="inlineStr">
        <is>
          <t>ISO 7</t>
        </is>
      </c>
      <c r="E313" t="inlineStr">
        <is>
          <t>Personnel glove</t>
        </is>
      </c>
      <c r="F313" t="n">
        <v>0</v>
      </c>
      <c r="G313" t="inlineStr">
        <is>
          <t>Tech D</t>
        </is>
      </c>
      <c r="H313">
        <f>INDEX(Limits!$B$2:$B$5,MATCH(E313,Limits!$A$2:$A$5,0))</f>
        <v/>
      </c>
      <c r="I313">
        <f>INDEX(Limits!$C$2:$C$5,MATCH(E313,Limits!$A$2:$A$5,0))</f>
        <v/>
      </c>
      <c r="J313">
        <f>IF(F313&gt;=I313,"Action",IF(F313&gt;=H313,"Alert","Pass"))</f>
        <v/>
      </c>
      <c r="K313" s="4">
        <f>DATE(YEAR(B313),MONTH(B313),1)</f>
        <v/>
      </c>
    </row>
    <row r="314">
      <c r="A314" t="inlineStr">
        <is>
          <t>EM000313</t>
        </is>
      </c>
      <c r="B314" s="7" t="n">
        <v>46049</v>
      </c>
      <c r="C314" t="inlineStr">
        <is>
          <t>CR-201</t>
        </is>
      </c>
      <c r="D314" t="inlineStr">
        <is>
          <t>ISO 8</t>
        </is>
      </c>
      <c r="E314" t="inlineStr">
        <is>
          <t>Active air</t>
        </is>
      </c>
      <c r="F314" t="n">
        <v>2</v>
      </c>
      <c r="G314" t="inlineStr">
        <is>
          <t>Tech D</t>
        </is>
      </c>
      <c r="H314">
        <f>INDEX(Limits!$B$2:$B$5,MATCH(E314,Limits!$A$2:$A$5,0))</f>
        <v/>
      </c>
      <c r="I314">
        <f>INDEX(Limits!$C$2:$C$5,MATCH(E314,Limits!$A$2:$A$5,0))</f>
        <v/>
      </c>
      <c r="J314">
        <f>IF(F314&gt;=I314,"Action",IF(F314&gt;=H314,"Alert","Pass"))</f>
        <v/>
      </c>
      <c r="K314" s="4">
        <f>DATE(YEAR(B314),MONTH(B314),1)</f>
        <v/>
      </c>
    </row>
    <row r="315">
      <c r="A315" t="inlineStr">
        <is>
          <t>EM000314</t>
        </is>
      </c>
      <c r="B315" s="7" t="n">
        <v>46049</v>
      </c>
      <c r="C315" t="inlineStr">
        <is>
          <t>CR-201</t>
        </is>
      </c>
      <c r="D315" t="inlineStr">
        <is>
          <t>ISO 8</t>
        </is>
      </c>
      <c r="E315" t="inlineStr">
        <is>
          <t>Surface contact</t>
        </is>
      </c>
      <c r="F315" t="n">
        <v>0</v>
      </c>
      <c r="G315" t="inlineStr">
        <is>
          <t>Tech D</t>
        </is>
      </c>
      <c r="H315">
        <f>INDEX(Limits!$B$2:$B$5,MATCH(E315,Limits!$A$2:$A$5,0))</f>
        <v/>
      </c>
      <c r="I315">
        <f>INDEX(Limits!$C$2:$C$5,MATCH(E315,Limits!$A$2:$A$5,0))</f>
        <v/>
      </c>
      <c r="J315">
        <f>IF(F315&gt;=I315,"Action",IF(F315&gt;=H315,"Alert","Pass"))</f>
        <v/>
      </c>
      <c r="K315" s="4">
        <f>DATE(YEAR(B315),MONTH(B315),1)</f>
        <v/>
      </c>
    </row>
    <row r="316">
      <c r="A316" t="inlineStr">
        <is>
          <t>EM000315</t>
        </is>
      </c>
      <c r="B316" s="7" t="n">
        <v>46049</v>
      </c>
      <c r="C316" t="inlineStr">
        <is>
          <t>CR-201</t>
        </is>
      </c>
      <c r="D316" t="inlineStr">
        <is>
          <t>ISO 8</t>
        </is>
      </c>
      <c r="E316" t="inlineStr">
        <is>
          <t>Compressed air</t>
        </is>
      </c>
      <c r="F316" t="n">
        <v>0</v>
      </c>
      <c r="G316" t="inlineStr">
        <is>
          <t>Tech A</t>
        </is>
      </c>
      <c r="H316">
        <f>INDEX(Limits!$B$2:$B$5,MATCH(E316,Limits!$A$2:$A$5,0))</f>
        <v/>
      </c>
      <c r="I316">
        <f>INDEX(Limits!$C$2:$C$5,MATCH(E316,Limits!$A$2:$A$5,0))</f>
        <v/>
      </c>
      <c r="J316">
        <f>IF(F316&gt;=I316,"Action",IF(F316&gt;=H316,"Alert","Pass"))</f>
        <v/>
      </c>
      <c r="K316" s="4">
        <f>DATE(YEAR(B316),MONTH(B316),1)</f>
        <v/>
      </c>
    </row>
    <row r="317">
      <c r="A317" t="inlineStr">
        <is>
          <t>EM000316</t>
        </is>
      </c>
      <c r="B317" s="7" t="n">
        <v>46049</v>
      </c>
      <c r="C317" t="inlineStr">
        <is>
          <t>CR-201</t>
        </is>
      </c>
      <c r="D317" t="inlineStr">
        <is>
          <t>ISO 8</t>
        </is>
      </c>
      <c r="E317" t="inlineStr">
        <is>
          <t>Personnel glove</t>
        </is>
      </c>
      <c r="F317" t="n">
        <v>1</v>
      </c>
      <c r="G317" t="inlineStr">
        <is>
          <t>Tech A</t>
        </is>
      </c>
      <c r="H317">
        <f>INDEX(Limits!$B$2:$B$5,MATCH(E317,Limits!$A$2:$A$5,0))</f>
        <v/>
      </c>
      <c r="I317">
        <f>INDEX(Limits!$C$2:$C$5,MATCH(E317,Limits!$A$2:$A$5,0))</f>
        <v/>
      </c>
      <c r="J317">
        <f>IF(F317&gt;=I317,"Action",IF(F317&gt;=H317,"Alert","Pass"))</f>
        <v/>
      </c>
      <c r="K317" s="4">
        <f>DATE(YEAR(B317),MONTH(B317),1)</f>
        <v/>
      </c>
    </row>
    <row r="318">
      <c r="A318" t="inlineStr">
        <is>
          <t>EM000317</t>
        </is>
      </c>
      <c r="B318" s="7" t="n">
        <v>46049</v>
      </c>
      <c r="C318" t="inlineStr">
        <is>
          <t>CR-202</t>
        </is>
      </c>
      <c r="D318" t="inlineStr">
        <is>
          <t>ISO 8</t>
        </is>
      </c>
      <c r="E318" t="inlineStr">
        <is>
          <t>Active air</t>
        </is>
      </c>
      <c r="F318" t="n">
        <v>2</v>
      </c>
      <c r="G318" t="inlineStr">
        <is>
          <t>Tech A</t>
        </is>
      </c>
      <c r="H318">
        <f>INDEX(Limits!$B$2:$B$5,MATCH(E318,Limits!$A$2:$A$5,0))</f>
        <v/>
      </c>
      <c r="I318">
        <f>INDEX(Limits!$C$2:$C$5,MATCH(E318,Limits!$A$2:$A$5,0))</f>
        <v/>
      </c>
      <c r="J318">
        <f>IF(F318&gt;=I318,"Action",IF(F318&gt;=H318,"Alert","Pass"))</f>
        <v/>
      </c>
      <c r="K318" s="4">
        <f>DATE(YEAR(B318),MONTH(B318),1)</f>
        <v/>
      </c>
    </row>
    <row r="319">
      <c r="A319" t="inlineStr">
        <is>
          <t>EM000318</t>
        </is>
      </c>
      <c r="B319" s="7" t="n">
        <v>46049</v>
      </c>
      <c r="C319" t="inlineStr">
        <is>
          <t>CR-202</t>
        </is>
      </c>
      <c r="D319" t="inlineStr">
        <is>
          <t>ISO 8</t>
        </is>
      </c>
      <c r="E319" t="inlineStr">
        <is>
          <t>Surface contact</t>
        </is>
      </c>
      <c r="F319" t="n">
        <v>2</v>
      </c>
      <c r="G319" t="inlineStr">
        <is>
          <t>Tech B</t>
        </is>
      </c>
      <c r="H319">
        <f>INDEX(Limits!$B$2:$B$5,MATCH(E319,Limits!$A$2:$A$5,0))</f>
        <v/>
      </c>
      <c r="I319">
        <f>INDEX(Limits!$C$2:$C$5,MATCH(E319,Limits!$A$2:$A$5,0))</f>
        <v/>
      </c>
      <c r="J319">
        <f>IF(F319&gt;=I319,"Action",IF(F319&gt;=H319,"Alert","Pass"))</f>
        <v/>
      </c>
      <c r="K319" s="4">
        <f>DATE(YEAR(B319),MONTH(B319),1)</f>
        <v/>
      </c>
    </row>
    <row r="320">
      <c r="A320" t="inlineStr">
        <is>
          <t>EM000319</t>
        </is>
      </c>
      <c r="B320" s="7" t="n">
        <v>46049</v>
      </c>
      <c r="C320" t="inlineStr">
        <is>
          <t>CR-202</t>
        </is>
      </c>
      <c r="D320" t="inlineStr">
        <is>
          <t>ISO 8</t>
        </is>
      </c>
      <c r="E320" t="inlineStr">
        <is>
          <t>Compressed air</t>
        </is>
      </c>
      <c r="F320" t="n">
        <v>0</v>
      </c>
      <c r="G320" t="inlineStr">
        <is>
          <t>Tech C</t>
        </is>
      </c>
      <c r="H320">
        <f>INDEX(Limits!$B$2:$B$5,MATCH(E320,Limits!$A$2:$A$5,0))</f>
        <v/>
      </c>
      <c r="I320">
        <f>INDEX(Limits!$C$2:$C$5,MATCH(E320,Limits!$A$2:$A$5,0))</f>
        <v/>
      </c>
      <c r="J320">
        <f>IF(F320&gt;=I320,"Action",IF(F320&gt;=H320,"Alert","Pass"))</f>
        <v/>
      </c>
      <c r="K320" s="4">
        <f>DATE(YEAR(B320),MONTH(B320),1)</f>
        <v/>
      </c>
    </row>
    <row r="321">
      <c r="A321" t="inlineStr">
        <is>
          <t>EM000320</t>
        </is>
      </c>
      <c r="B321" s="7" t="n">
        <v>46049</v>
      </c>
      <c r="C321" t="inlineStr">
        <is>
          <t>CR-202</t>
        </is>
      </c>
      <c r="D321" t="inlineStr">
        <is>
          <t>ISO 8</t>
        </is>
      </c>
      <c r="E321" t="inlineStr">
        <is>
          <t>Personnel glove</t>
        </is>
      </c>
      <c r="F321" t="n">
        <v>0</v>
      </c>
      <c r="G321" t="inlineStr">
        <is>
          <t>Tech B</t>
        </is>
      </c>
      <c r="H321">
        <f>INDEX(Limits!$B$2:$B$5,MATCH(E321,Limits!$A$2:$A$5,0))</f>
        <v/>
      </c>
      <c r="I321">
        <f>INDEX(Limits!$C$2:$C$5,MATCH(E321,Limits!$A$2:$A$5,0))</f>
        <v/>
      </c>
      <c r="J321">
        <f>IF(F321&gt;=I321,"Action",IF(F321&gt;=H321,"Alert","Pass"))</f>
        <v/>
      </c>
      <c r="K321" s="4">
        <f>DATE(YEAR(B321),MONTH(B321),1)</f>
        <v/>
      </c>
    </row>
    <row r="322">
      <c r="A322" t="inlineStr">
        <is>
          <t>EM000321</t>
        </is>
      </c>
      <c r="B322" s="7" t="n">
        <v>46049</v>
      </c>
      <c r="C322" t="inlineStr">
        <is>
          <t>Gowning</t>
        </is>
      </c>
      <c r="D322" t="inlineStr">
        <is>
          <t>ISO 8</t>
        </is>
      </c>
      <c r="E322" t="inlineStr">
        <is>
          <t>Active air</t>
        </is>
      </c>
      <c r="F322" t="n">
        <v>0</v>
      </c>
      <c r="G322" t="inlineStr">
        <is>
          <t>Tech D</t>
        </is>
      </c>
      <c r="H322">
        <f>INDEX(Limits!$B$2:$B$5,MATCH(E322,Limits!$A$2:$A$5,0))</f>
        <v/>
      </c>
      <c r="I322">
        <f>INDEX(Limits!$C$2:$C$5,MATCH(E322,Limits!$A$2:$A$5,0))</f>
        <v/>
      </c>
      <c r="J322">
        <f>IF(F322&gt;=I322,"Action",IF(F322&gt;=H322,"Alert","Pass"))</f>
        <v/>
      </c>
      <c r="K322" s="4">
        <f>DATE(YEAR(B322),MONTH(B322),1)</f>
        <v/>
      </c>
    </row>
    <row r="323">
      <c r="A323" t="inlineStr">
        <is>
          <t>EM000322</t>
        </is>
      </c>
      <c r="B323" s="7" t="n">
        <v>46049</v>
      </c>
      <c r="C323" t="inlineStr">
        <is>
          <t>Gowning</t>
        </is>
      </c>
      <c r="D323" t="inlineStr">
        <is>
          <t>ISO 8</t>
        </is>
      </c>
      <c r="E323" t="inlineStr">
        <is>
          <t>Surface contact</t>
        </is>
      </c>
      <c r="F323" t="n">
        <v>2</v>
      </c>
      <c r="G323" t="inlineStr">
        <is>
          <t>Tech A</t>
        </is>
      </c>
      <c r="H323">
        <f>INDEX(Limits!$B$2:$B$5,MATCH(E323,Limits!$A$2:$A$5,0))</f>
        <v/>
      </c>
      <c r="I323">
        <f>INDEX(Limits!$C$2:$C$5,MATCH(E323,Limits!$A$2:$A$5,0))</f>
        <v/>
      </c>
      <c r="J323">
        <f>IF(F323&gt;=I323,"Action",IF(F323&gt;=H323,"Alert","Pass"))</f>
        <v/>
      </c>
      <c r="K323" s="4">
        <f>DATE(YEAR(B323),MONTH(B323),1)</f>
        <v/>
      </c>
    </row>
    <row r="324">
      <c r="A324" t="inlineStr">
        <is>
          <t>EM000323</t>
        </is>
      </c>
      <c r="B324" s="7" t="n">
        <v>46049</v>
      </c>
      <c r="C324" t="inlineStr">
        <is>
          <t>Gowning</t>
        </is>
      </c>
      <c r="D324" t="inlineStr">
        <is>
          <t>ISO 8</t>
        </is>
      </c>
      <c r="E324" t="inlineStr">
        <is>
          <t>Personnel glove</t>
        </is>
      </c>
      <c r="F324" t="n">
        <v>0</v>
      </c>
      <c r="G324" t="inlineStr">
        <is>
          <t>Tech B</t>
        </is>
      </c>
      <c r="H324">
        <f>INDEX(Limits!$B$2:$B$5,MATCH(E324,Limits!$A$2:$A$5,0))</f>
        <v/>
      </c>
      <c r="I324">
        <f>INDEX(Limits!$C$2:$C$5,MATCH(E324,Limits!$A$2:$A$5,0))</f>
        <v/>
      </c>
      <c r="J324">
        <f>IF(F324&gt;=I324,"Action",IF(F324&gt;=H324,"Alert","Pass"))</f>
        <v/>
      </c>
      <c r="K324" s="4">
        <f>DATE(YEAR(B324),MONTH(B324),1)</f>
        <v/>
      </c>
    </row>
    <row r="325">
      <c r="A325" t="inlineStr">
        <is>
          <t>EM000324</t>
        </is>
      </c>
      <c r="B325" s="7" t="n">
        <v>46050</v>
      </c>
      <c r="C325" t="inlineStr">
        <is>
          <t>CR-101</t>
        </is>
      </c>
      <c r="D325" t="inlineStr">
        <is>
          <t>ISO 7</t>
        </is>
      </c>
      <c r="E325" t="inlineStr">
        <is>
          <t>Active air</t>
        </is>
      </c>
      <c r="F325" t="n">
        <v>1</v>
      </c>
      <c r="G325" t="inlineStr">
        <is>
          <t>Tech D</t>
        </is>
      </c>
      <c r="H325">
        <f>INDEX(Limits!$B$2:$B$5,MATCH(E325,Limits!$A$2:$A$5,0))</f>
        <v/>
      </c>
      <c r="I325">
        <f>INDEX(Limits!$C$2:$C$5,MATCH(E325,Limits!$A$2:$A$5,0))</f>
        <v/>
      </c>
      <c r="J325">
        <f>IF(F325&gt;=I325,"Action",IF(F325&gt;=H325,"Alert","Pass"))</f>
        <v/>
      </c>
      <c r="K325" s="4">
        <f>DATE(YEAR(B325),MONTH(B325),1)</f>
        <v/>
      </c>
    </row>
    <row r="326">
      <c r="A326" t="inlineStr">
        <is>
          <t>EM000325</t>
        </is>
      </c>
      <c r="B326" s="7" t="n">
        <v>46050</v>
      </c>
      <c r="C326" t="inlineStr">
        <is>
          <t>CR-101</t>
        </is>
      </c>
      <c r="D326" t="inlineStr">
        <is>
          <t>ISO 7</t>
        </is>
      </c>
      <c r="E326" t="inlineStr">
        <is>
          <t>Surface contact</t>
        </is>
      </c>
      <c r="F326" t="n">
        <v>0</v>
      </c>
      <c r="G326" t="inlineStr">
        <is>
          <t>Tech D</t>
        </is>
      </c>
      <c r="H326">
        <f>INDEX(Limits!$B$2:$B$5,MATCH(E326,Limits!$A$2:$A$5,0))</f>
        <v/>
      </c>
      <c r="I326">
        <f>INDEX(Limits!$C$2:$C$5,MATCH(E326,Limits!$A$2:$A$5,0))</f>
        <v/>
      </c>
      <c r="J326">
        <f>IF(F326&gt;=I326,"Action",IF(F326&gt;=H326,"Alert","Pass"))</f>
        <v/>
      </c>
      <c r="K326" s="4">
        <f>DATE(YEAR(B326),MONTH(B326),1)</f>
        <v/>
      </c>
    </row>
    <row r="327">
      <c r="A327" t="inlineStr">
        <is>
          <t>EM000326</t>
        </is>
      </c>
      <c r="B327" s="7" t="n">
        <v>46050</v>
      </c>
      <c r="C327" t="inlineStr">
        <is>
          <t>CR-101</t>
        </is>
      </c>
      <c r="D327" t="inlineStr">
        <is>
          <t>ISO 7</t>
        </is>
      </c>
      <c r="E327" t="inlineStr">
        <is>
          <t>Compressed air</t>
        </is>
      </c>
      <c r="F327" t="n">
        <v>0</v>
      </c>
      <c r="G327" t="inlineStr">
        <is>
          <t>Tech B</t>
        </is>
      </c>
      <c r="H327">
        <f>INDEX(Limits!$B$2:$B$5,MATCH(E327,Limits!$A$2:$A$5,0))</f>
        <v/>
      </c>
      <c r="I327">
        <f>INDEX(Limits!$C$2:$C$5,MATCH(E327,Limits!$A$2:$A$5,0))</f>
        <v/>
      </c>
      <c r="J327">
        <f>IF(F327&gt;=I327,"Action",IF(F327&gt;=H327,"Alert","Pass"))</f>
        <v/>
      </c>
      <c r="K327" s="4">
        <f>DATE(YEAR(B327),MONTH(B327),1)</f>
        <v/>
      </c>
    </row>
    <row r="328">
      <c r="A328" t="inlineStr">
        <is>
          <t>EM000327</t>
        </is>
      </c>
      <c r="B328" s="7" t="n">
        <v>46050</v>
      </c>
      <c r="C328" t="inlineStr">
        <is>
          <t>CR-101</t>
        </is>
      </c>
      <c r="D328" t="inlineStr">
        <is>
          <t>ISO 7</t>
        </is>
      </c>
      <c r="E328" t="inlineStr">
        <is>
          <t>Personnel glove</t>
        </is>
      </c>
      <c r="F328" t="n">
        <v>0</v>
      </c>
      <c r="G328" t="inlineStr">
        <is>
          <t>Tech A</t>
        </is>
      </c>
      <c r="H328">
        <f>INDEX(Limits!$B$2:$B$5,MATCH(E328,Limits!$A$2:$A$5,0))</f>
        <v/>
      </c>
      <c r="I328">
        <f>INDEX(Limits!$C$2:$C$5,MATCH(E328,Limits!$A$2:$A$5,0))</f>
        <v/>
      </c>
      <c r="J328">
        <f>IF(F328&gt;=I328,"Action",IF(F328&gt;=H328,"Alert","Pass"))</f>
        <v/>
      </c>
      <c r="K328" s="4">
        <f>DATE(YEAR(B328),MONTH(B328),1)</f>
        <v/>
      </c>
    </row>
    <row r="329">
      <c r="A329" t="inlineStr">
        <is>
          <t>EM000328</t>
        </is>
      </c>
      <c r="B329" s="7" t="n">
        <v>46050</v>
      </c>
      <c r="C329" t="inlineStr">
        <is>
          <t>CR-102</t>
        </is>
      </c>
      <c r="D329" t="inlineStr">
        <is>
          <t>ISO 7</t>
        </is>
      </c>
      <c r="E329" t="inlineStr">
        <is>
          <t>Active air</t>
        </is>
      </c>
      <c r="F329" t="n">
        <v>1</v>
      </c>
      <c r="G329" t="inlineStr">
        <is>
          <t>Tech B</t>
        </is>
      </c>
      <c r="H329">
        <f>INDEX(Limits!$B$2:$B$5,MATCH(E329,Limits!$A$2:$A$5,0))</f>
        <v/>
      </c>
      <c r="I329">
        <f>INDEX(Limits!$C$2:$C$5,MATCH(E329,Limits!$A$2:$A$5,0))</f>
        <v/>
      </c>
      <c r="J329">
        <f>IF(F329&gt;=I329,"Action",IF(F329&gt;=H329,"Alert","Pass"))</f>
        <v/>
      </c>
      <c r="K329" s="4">
        <f>DATE(YEAR(B329),MONTH(B329),1)</f>
        <v/>
      </c>
    </row>
    <row r="330">
      <c r="A330" t="inlineStr">
        <is>
          <t>EM000329</t>
        </is>
      </c>
      <c r="B330" s="7" t="n">
        <v>46050</v>
      </c>
      <c r="C330" t="inlineStr">
        <is>
          <t>CR-102</t>
        </is>
      </c>
      <c r="D330" t="inlineStr">
        <is>
          <t>ISO 7</t>
        </is>
      </c>
      <c r="E330" t="inlineStr">
        <is>
          <t>Surface contact</t>
        </is>
      </c>
      <c r="F330" t="n">
        <v>0</v>
      </c>
      <c r="G330" t="inlineStr">
        <is>
          <t>Tech A</t>
        </is>
      </c>
      <c r="H330">
        <f>INDEX(Limits!$B$2:$B$5,MATCH(E330,Limits!$A$2:$A$5,0))</f>
        <v/>
      </c>
      <c r="I330">
        <f>INDEX(Limits!$C$2:$C$5,MATCH(E330,Limits!$A$2:$A$5,0))</f>
        <v/>
      </c>
      <c r="J330">
        <f>IF(F330&gt;=I330,"Action",IF(F330&gt;=H330,"Alert","Pass"))</f>
        <v/>
      </c>
      <c r="K330" s="4">
        <f>DATE(YEAR(B330),MONTH(B330),1)</f>
        <v/>
      </c>
    </row>
    <row r="331">
      <c r="A331" t="inlineStr">
        <is>
          <t>EM000330</t>
        </is>
      </c>
      <c r="B331" s="7" t="n">
        <v>46050</v>
      </c>
      <c r="C331" t="inlineStr">
        <is>
          <t>CR-102</t>
        </is>
      </c>
      <c r="D331" t="inlineStr">
        <is>
          <t>ISO 7</t>
        </is>
      </c>
      <c r="E331" t="inlineStr">
        <is>
          <t>Compressed air</t>
        </is>
      </c>
      <c r="F331" t="n">
        <v>0</v>
      </c>
      <c r="G331" t="inlineStr">
        <is>
          <t>Tech B</t>
        </is>
      </c>
      <c r="H331">
        <f>INDEX(Limits!$B$2:$B$5,MATCH(E331,Limits!$A$2:$A$5,0))</f>
        <v/>
      </c>
      <c r="I331">
        <f>INDEX(Limits!$C$2:$C$5,MATCH(E331,Limits!$A$2:$A$5,0))</f>
        <v/>
      </c>
      <c r="J331">
        <f>IF(F331&gt;=I331,"Action",IF(F331&gt;=H331,"Alert","Pass"))</f>
        <v/>
      </c>
      <c r="K331" s="4">
        <f>DATE(YEAR(B331),MONTH(B331),1)</f>
        <v/>
      </c>
    </row>
    <row r="332">
      <c r="A332" t="inlineStr">
        <is>
          <t>EM000331</t>
        </is>
      </c>
      <c r="B332" s="7" t="n">
        <v>46050</v>
      </c>
      <c r="C332" t="inlineStr">
        <is>
          <t>CR-102</t>
        </is>
      </c>
      <c r="D332" t="inlineStr">
        <is>
          <t>ISO 7</t>
        </is>
      </c>
      <c r="E332" t="inlineStr">
        <is>
          <t>Personnel glove</t>
        </is>
      </c>
      <c r="F332" t="n">
        <v>0</v>
      </c>
      <c r="G332" t="inlineStr">
        <is>
          <t>Tech B</t>
        </is>
      </c>
      <c r="H332">
        <f>INDEX(Limits!$B$2:$B$5,MATCH(E332,Limits!$A$2:$A$5,0))</f>
        <v/>
      </c>
      <c r="I332">
        <f>INDEX(Limits!$C$2:$C$5,MATCH(E332,Limits!$A$2:$A$5,0))</f>
        <v/>
      </c>
      <c r="J332">
        <f>IF(F332&gt;=I332,"Action",IF(F332&gt;=H332,"Alert","Pass"))</f>
        <v/>
      </c>
      <c r="K332" s="4">
        <f>DATE(YEAR(B332),MONTH(B332),1)</f>
        <v/>
      </c>
    </row>
    <row r="333">
      <c r="A333" t="inlineStr">
        <is>
          <t>EM000332</t>
        </is>
      </c>
      <c r="B333" s="7" t="n">
        <v>46050</v>
      </c>
      <c r="C333" t="inlineStr">
        <is>
          <t>CR-201</t>
        </is>
      </c>
      <c r="D333" t="inlineStr">
        <is>
          <t>ISO 8</t>
        </is>
      </c>
      <c r="E333" t="inlineStr">
        <is>
          <t>Active air</t>
        </is>
      </c>
      <c r="F333" t="n">
        <v>2</v>
      </c>
      <c r="G333" t="inlineStr">
        <is>
          <t>Tech C</t>
        </is>
      </c>
      <c r="H333">
        <f>INDEX(Limits!$B$2:$B$5,MATCH(E333,Limits!$A$2:$A$5,0))</f>
        <v/>
      </c>
      <c r="I333">
        <f>INDEX(Limits!$C$2:$C$5,MATCH(E333,Limits!$A$2:$A$5,0))</f>
        <v/>
      </c>
      <c r="J333">
        <f>IF(F333&gt;=I333,"Action",IF(F333&gt;=H333,"Alert","Pass"))</f>
        <v/>
      </c>
      <c r="K333" s="4">
        <f>DATE(YEAR(B333),MONTH(B333),1)</f>
        <v/>
      </c>
    </row>
    <row r="334">
      <c r="A334" t="inlineStr">
        <is>
          <t>EM000333</t>
        </is>
      </c>
      <c r="B334" s="7" t="n">
        <v>46050</v>
      </c>
      <c r="C334" t="inlineStr">
        <is>
          <t>CR-201</t>
        </is>
      </c>
      <c r="D334" t="inlineStr">
        <is>
          <t>ISO 8</t>
        </is>
      </c>
      <c r="E334" t="inlineStr">
        <is>
          <t>Surface contact</t>
        </is>
      </c>
      <c r="F334" t="n">
        <v>1</v>
      </c>
      <c r="G334" t="inlineStr">
        <is>
          <t>Tech D</t>
        </is>
      </c>
      <c r="H334">
        <f>INDEX(Limits!$B$2:$B$5,MATCH(E334,Limits!$A$2:$A$5,0))</f>
        <v/>
      </c>
      <c r="I334">
        <f>INDEX(Limits!$C$2:$C$5,MATCH(E334,Limits!$A$2:$A$5,0))</f>
        <v/>
      </c>
      <c r="J334">
        <f>IF(F334&gt;=I334,"Action",IF(F334&gt;=H334,"Alert","Pass"))</f>
        <v/>
      </c>
      <c r="K334" s="4">
        <f>DATE(YEAR(B334),MONTH(B334),1)</f>
        <v/>
      </c>
    </row>
    <row r="335">
      <c r="A335" t="inlineStr">
        <is>
          <t>EM000334</t>
        </is>
      </c>
      <c r="B335" s="7" t="n">
        <v>46050</v>
      </c>
      <c r="C335" t="inlineStr">
        <is>
          <t>CR-201</t>
        </is>
      </c>
      <c r="D335" t="inlineStr">
        <is>
          <t>ISO 8</t>
        </is>
      </c>
      <c r="E335" t="inlineStr">
        <is>
          <t>Compressed air</t>
        </is>
      </c>
      <c r="F335" t="n">
        <v>0</v>
      </c>
      <c r="G335" t="inlineStr">
        <is>
          <t>Tech D</t>
        </is>
      </c>
      <c r="H335">
        <f>INDEX(Limits!$B$2:$B$5,MATCH(E335,Limits!$A$2:$A$5,0))</f>
        <v/>
      </c>
      <c r="I335">
        <f>INDEX(Limits!$C$2:$C$5,MATCH(E335,Limits!$A$2:$A$5,0))</f>
        <v/>
      </c>
      <c r="J335">
        <f>IF(F335&gt;=I335,"Action",IF(F335&gt;=H335,"Alert","Pass"))</f>
        <v/>
      </c>
      <c r="K335" s="4">
        <f>DATE(YEAR(B335),MONTH(B335),1)</f>
        <v/>
      </c>
    </row>
    <row r="336">
      <c r="A336" t="inlineStr">
        <is>
          <t>EM000335</t>
        </is>
      </c>
      <c r="B336" s="7" t="n">
        <v>46050</v>
      </c>
      <c r="C336" t="inlineStr">
        <is>
          <t>CR-201</t>
        </is>
      </c>
      <c r="D336" t="inlineStr">
        <is>
          <t>ISO 8</t>
        </is>
      </c>
      <c r="E336" t="inlineStr">
        <is>
          <t>Personnel glove</t>
        </is>
      </c>
      <c r="F336" t="n">
        <v>0</v>
      </c>
      <c r="G336" t="inlineStr">
        <is>
          <t>Tech D</t>
        </is>
      </c>
      <c r="H336">
        <f>INDEX(Limits!$B$2:$B$5,MATCH(E336,Limits!$A$2:$A$5,0))</f>
        <v/>
      </c>
      <c r="I336">
        <f>INDEX(Limits!$C$2:$C$5,MATCH(E336,Limits!$A$2:$A$5,0))</f>
        <v/>
      </c>
      <c r="J336">
        <f>IF(F336&gt;=I336,"Action",IF(F336&gt;=H336,"Alert","Pass"))</f>
        <v/>
      </c>
      <c r="K336" s="4">
        <f>DATE(YEAR(B336),MONTH(B336),1)</f>
        <v/>
      </c>
    </row>
    <row r="337">
      <c r="A337" t="inlineStr">
        <is>
          <t>EM000336</t>
        </is>
      </c>
      <c r="B337" s="7" t="n">
        <v>46050</v>
      </c>
      <c r="C337" t="inlineStr">
        <is>
          <t>CR-202</t>
        </is>
      </c>
      <c r="D337" t="inlineStr">
        <is>
          <t>ISO 8</t>
        </is>
      </c>
      <c r="E337" t="inlineStr">
        <is>
          <t>Active air</t>
        </is>
      </c>
      <c r="F337" t="n">
        <v>0</v>
      </c>
      <c r="G337" t="inlineStr">
        <is>
          <t>Tech B</t>
        </is>
      </c>
      <c r="H337">
        <f>INDEX(Limits!$B$2:$B$5,MATCH(E337,Limits!$A$2:$A$5,0))</f>
        <v/>
      </c>
      <c r="I337">
        <f>INDEX(Limits!$C$2:$C$5,MATCH(E337,Limits!$A$2:$A$5,0))</f>
        <v/>
      </c>
      <c r="J337">
        <f>IF(F337&gt;=I337,"Action",IF(F337&gt;=H337,"Alert","Pass"))</f>
        <v/>
      </c>
      <c r="K337" s="4">
        <f>DATE(YEAR(B337),MONTH(B337),1)</f>
        <v/>
      </c>
    </row>
    <row r="338">
      <c r="A338" t="inlineStr">
        <is>
          <t>EM000337</t>
        </is>
      </c>
      <c r="B338" s="7" t="n">
        <v>46050</v>
      </c>
      <c r="C338" t="inlineStr">
        <is>
          <t>CR-202</t>
        </is>
      </c>
      <c r="D338" t="inlineStr">
        <is>
          <t>ISO 8</t>
        </is>
      </c>
      <c r="E338" t="inlineStr">
        <is>
          <t>Surface contact</t>
        </is>
      </c>
      <c r="F338" t="n">
        <v>2</v>
      </c>
      <c r="G338" t="inlineStr">
        <is>
          <t>Tech D</t>
        </is>
      </c>
      <c r="H338">
        <f>INDEX(Limits!$B$2:$B$5,MATCH(E338,Limits!$A$2:$A$5,0))</f>
        <v/>
      </c>
      <c r="I338">
        <f>INDEX(Limits!$C$2:$C$5,MATCH(E338,Limits!$A$2:$A$5,0))</f>
        <v/>
      </c>
      <c r="J338">
        <f>IF(F338&gt;=I338,"Action",IF(F338&gt;=H338,"Alert","Pass"))</f>
        <v/>
      </c>
      <c r="K338" s="4">
        <f>DATE(YEAR(B338),MONTH(B338),1)</f>
        <v/>
      </c>
    </row>
    <row r="339">
      <c r="A339" t="inlineStr">
        <is>
          <t>EM000338</t>
        </is>
      </c>
      <c r="B339" s="7" t="n">
        <v>46050</v>
      </c>
      <c r="C339" t="inlineStr">
        <is>
          <t>CR-202</t>
        </is>
      </c>
      <c r="D339" t="inlineStr">
        <is>
          <t>ISO 8</t>
        </is>
      </c>
      <c r="E339" t="inlineStr">
        <is>
          <t>Compressed air</t>
        </is>
      </c>
      <c r="F339" t="n">
        <v>0</v>
      </c>
      <c r="G339" t="inlineStr">
        <is>
          <t>Tech B</t>
        </is>
      </c>
      <c r="H339">
        <f>INDEX(Limits!$B$2:$B$5,MATCH(E339,Limits!$A$2:$A$5,0))</f>
        <v/>
      </c>
      <c r="I339">
        <f>INDEX(Limits!$C$2:$C$5,MATCH(E339,Limits!$A$2:$A$5,0))</f>
        <v/>
      </c>
      <c r="J339">
        <f>IF(F339&gt;=I339,"Action",IF(F339&gt;=H339,"Alert","Pass"))</f>
        <v/>
      </c>
      <c r="K339" s="4">
        <f>DATE(YEAR(B339),MONTH(B339),1)</f>
        <v/>
      </c>
    </row>
    <row r="340">
      <c r="A340" t="inlineStr">
        <is>
          <t>EM000339</t>
        </is>
      </c>
      <c r="B340" s="7" t="n">
        <v>46050</v>
      </c>
      <c r="C340" t="inlineStr">
        <is>
          <t>CR-202</t>
        </is>
      </c>
      <c r="D340" t="inlineStr">
        <is>
          <t>ISO 8</t>
        </is>
      </c>
      <c r="E340" t="inlineStr">
        <is>
          <t>Personnel glove</t>
        </is>
      </c>
      <c r="F340" t="n">
        <v>0</v>
      </c>
      <c r="G340" t="inlineStr">
        <is>
          <t>Tech C</t>
        </is>
      </c>
      <c r="H340">
        <f>INDEX(Limits!$B$2:$B$5,MATCH(E340,Limits!$A$2:$A$5,0))</f>
        <v/>
      </c>
      <c r="I340">
        <f>INDEX(Limits!$C$2:$C$5,MATCH(E340,Limits!$A$2:$A$5,0))</f>
        <v/>
      </c>
      <c r="J340">
        <f>IF(F340&gt;=I340,"Action",IF(F340&gt;=H340,"Alert","Pass"))</f>
        <v/>
      </c>
      <c r="K340" s="4">
        <f>DATE(YEAR(B340),MONTH(B340),1)</f>
        <v/>
      </c>
    </row>
    <row r="341">
      <c r="A341" t="inlineStr">
        <is>
          <t>EM000340</t>
        </is>
      </c>
      <c r="B341" s="7" t="n">
        <v>46050</v>
      </c>
      <c r="C341" t="inlineStr">
        <is>
          <t>Gowning</t>
        </is>
      </c>
      <c r="D341" t="inlineStr">
        <is>
          <t>ISO 8</t>
        </is>
      </c>
      <c r="E341" t="inlineStr">
        <is>
          <t>Active air</t>
        </is>
      </c>
      <c r="F341" t="n">
        <v>1</v>
      </c>
      <c r="G341" t="inlineStr">
        <is>
          <t>Tech B</t>
        </is>
      </c>
      <c r="H341">
        <f>INDEX(Limits!$B$2:$B$5,MATCH(E341,Limits!$A$2:$A$5,0))</f>
        <v/>
      </c>
      <c r="I341">
        <f>INDEX(Limits!$C$2:$C$5,MATCH(E341,Limits!$A$2:$A$5,0))</f>
        <v/>
      </c>
      <c r="J341">
        <f>IF(F341&gt;=I341,"Action",IF(F341&gt;=H341,"Alert","Pass"))</f>
        <v/>
      </c>
      <c r="K341" s="4">
        <f>DATE(YEAR(B341),MONTH(B341),1)</f>
        <v/>
      </c>
    </row>
    <row r="342">
      <c r="A342" t="inlineStr">
        <is>
          <t>EM000341</t>
        </is>
      </c>
      <c r="B342" s="7" t="n">
        <v>46050</v>
      </c>
      <c r="C342" t="inlineStr">
        <is>
          <t>Gowning</t>
        </is>
      </c>
      <c r="D342" t="inlineStr">
        <is>
          <t>ISO 8</t>
        </is>
      </c>
      <c r="E342" t="inlineStr">
        <is>
          <t>Surface contact</t>
        </is>
      </c>
      <c r="F342" t="n">
        <v>0</v>
      </c>
      <c r="G342" t="inlineStr">
        <is>
          <t>Tech A</t>
        </is>
      </c>
      <c r="H342">
        <f>INDEX(Limits!$B$2:$B$5,MATCH(E342,Limits!$A$2:$A$5,0))</f>
        <v/>
      </c>
      <c r="I342">
        <f>INDEX(Limits!$C$2:$C$5,MATCH(E342,Limits!$A$2:$A$5,0))</f>
        <v/>
      </c>
      <c r="J342">
        <f>IF(F342&gt;=I342,"Action",IF(F342&gt;=H342,"Alert","Pass"))</f>
        <v/>
      </c>
      <c r="K342" s="4">
        <f>DATE(YEAR(B342),MONTH(B342),1)</f>
        <v/>
      </c>
    </row>
    <row r="343">
      <c r="A343" t="inlineStr">
        <is>
          <t>EM000342</t>
        </is>
      </c>
      <c r="B343" s="7" t="n">
        <v>46050</v>
      </c>
      <c r="C343" t="inlineStr">
        <is>
          <t>Gowning</t>
        </is>
      </c>
      <c r="D343" t="inlineStr">
        <is>
          <t>ISO 8</t>
        </is>
      </c>
      <c r="E343" t="inlineStr">
        <is>
          <t>Personnel glove</t>
        </is>
      </c>
      <c r="F343" t="n">
        <v>0</v>
      </c>
      <c r="G343" t="inlineStr">
        <is>
          <t>Tech C</t>
        </is>
      </c>
      <c r="H343">
        <f>INDEX(Limits!$B$2:$B$5,MATCH(E343,Limits!$A$2:$A$5,0))</f>
        <v/>
      </c>
      <c r="I343">
        <f>INDEX(Limits!$C$2:$C$5,MATCH(E343,Limits!$A$2:$A$5,0))</f>
        <v/>
      </c>
      <c r="J343">
        <f>IF(F343&gt;=I343,"Action",IF(F343&gt;=H343,"Alert","Pass"))</f>
        <v/>
      </c>
      <c r="K343" s="4">
        <f>DATE(YEAR(B343),MONTH(B343),1)</f>
        <v/>
      </c>
    </row>
    <row r="344">
      <c r="A344" t="inlineStr">
        <is>
          <t>EM000343</t>
        </is>
      </c>
      <c r="B344" s="7" t="n">
        <v>46051</v>
      </c>
      <c r="C344" t="inlineStr">
        <is>
          <t>CR-101</t>
        </is>
      </c>
      <c r="D344" t="inlineStr">
        <is>
          <t>ISO 7</t>
        </is>
      </c>
      <c r="E344" t="inlineStr">
        <is>
          <t>Active air</t>
        </is>
      </c>
      <c r="F344" t="n">
        <v>0</v>
      </c>
      <c r="G344" t="inlineStr">
        <is>
          <t>Tech B</t>
        </is>
      </c>
      <c r="H344">
        <f>INDEX(Limits!$B$2:$B$5,MATCH(E344,Limits!$A$2:$A$5,0))</f>
        <v/>
      </c>
      <c r="I344">
        <f>INDEX(Limits!$C$2:$C$5,MATCH(E344,Limits!$A$2:$A$5,0))</f>
        <v/>
      </c>
      <c r="J344">
        <f>IF(F344&gt;=I344,"Action",IF(F344&gt;=H344,"Alert","Pass"))</f>
        <v/>
      </c>
      <c r="K344" s="4">
        <f>DATE(YEAR(B344),MONTH(B344),1)</f>
        <v/>
      </c>
    </row>
    <row r="345">
      <c r="A345" t="inlineStr">
        <is>
          <t>EM000344</t>
        </is>
      </c>
      <c r="B345" s="7" t="n">
        <v>46051</v>
      </c>
      <c r="C345" t="inlineStr">
        <is>
          <t>CR-101</t>
        </is>
      </c>
      <c r="D345" t="inlineStr">
        <is>
          <t>ISO 7</t>
        </is>
      </c>
      <c r="E345" t="inlineStr">
        <is>
          <t>Surface contact</t>
        </is>
      </c>
      <c r="F345" t="n">
        <v>0</v>
      </c>
      <c r="G345" t="inlineStr">
        <is>
          <t>Tech D</t>
        </is>
      </c>
      <c r="H345">
        <f>INDEX(Limits!$B$2:$B$5,MATCH(E345,Limits!$A$2:$A$5,0))</f>
        <v/>
      </c>
      <c r="I345">
        <f>INDEX(Limits!$C$2:$C$5,MATCH(E345,Limits!$A$2:$A$5,0))</f>
        <v/>
      </c>
      <c r="J345">
        <f>IF(F345&gt;=I345,"Action",IF(F345&gt;=H345,"Alert","Pass"))</f>
        <v/>
      </c>
      <c r="K345" s="4">
        <f>DATE(YEAR(B345),MONTH(B345),1)</f>
        <v/>
      </c>
    </row>
    <row r="346">
      <c r="A346" t="inlineStr">
        <is>
          <t>EM000345</t>
        </is>
      </c>
      <c r="B346" s="7" t="n">
        <v>46051</v>
      </c>
      <c r="C346" t="inlineStr">
        <is>
          <t>CR-101</t>
        </is>
      </c>
      <c r="D346" t="inlineStr">
        <is>
          <t>ISO 7</t>
        </is>
      </c>
      <c r="E346" t="inlineStr">
        <is>
          <t>Compressed air</t>
        </is>
      </c>
      <c r="F346" t="n">
        <v>0</v>
      </c>
      <c r="G346" t="inlineStr">
        <is>
          <t>Tech A</t>
        </is>
      </c>
      <c r="H346">
        <f>INDEX(Limits!$B$2:$B$5,MATCH(E346,Limits!$A$2:$A$5,0))</f>
        <v/>
      </c>
      <c r="I346">
        <f>INDEX(Limits!$C$2:$C$5,MATCH(E346,Limits!$A$2:$A$5,0))</f>
        <v/>
      </c>
      <c r="J346">
        <f>IF(F346&gt;=I346,"Action",IF(F346&gt;=H346,"Alert","Pass"))</f>
        <v/>
      </c>
      <c r="K346" s="4">
        <f>DATE(YEAR(B346),MONTH(B346),1)</f>
        <v/>
      </c>
    </row>
    <row r="347">
      <c r="A347" t="inlineStr">
        <is>
          <t>EM000346</t>
        </is>
      </c>
      <c r="B347" s="7" t="n">
        <v>46051</v>
      </c>
      <c r="C347" t="inlineStr">
        <is>
          <t>CR-101</t>
        </is>
      </c>
      <c r="D347" t="inlineStr">
        <is>
          <t>ISO 7</t>
        </is>
      </c>
      <c r="E347" t="inlineStr">
        <is>
          <t>Personnel glove</t>
        </is>
      </c>
      <c r="F347" t="n">
        <v>0</v>
      </c>
      <c r="G347" t="inlineStr">
        <is>
          <t>Tech A</t>
        </is>
      </c>
      <c r="H347">
        <f>INDEX(Limits!$B$2:$B$5,MATCH(E347,Limits!$A$2:$A$5,0))</f>
        <v/>
      </c>
      <c r="I347">
        <f>INDEX(Limits!$C$2:$C$5,MATCH(E347,Limits!$A$2:$A$5,0))</f>
        <v/>
      </c>
      <c r="J347">
        <f>IF(F347&gt;=I347,"Action",IF(F347&gt;=H347,"Alert","Pass"))</f>
        <v/>
      </c>
      <c r="K347" s="4">
        <f>DATE(YEAR(B347),MONTH(B347),1)</f>
        <v/>
      </c>
    </row>
    <row r="348">
      <c r="A348" t="inlineStr">
        <is>
          <t>EM000347</t>
        </is>
      </c>
      <c r="B348" s="7" t="n">
        <v>46051</v>
      </c>
      <c r="C348" t="inlineStr">
        <is>
          <t>CR-102</t>
        </is>
      </c>
      <c r="D348" t="inlineStr">
        <is>
          <t>ISO 7</t>
        </is>
      </c>
      <c r="E348" t="inlineStr">
        <is>
          <t>Active air</t>
        </is>
      </c>
      <c r="F348" t="n">
        <v>3</v>
      </c>
      <c r="G348" t="inlineStr">
        <is>
          <t>Tech B</t>
        </is>
      </c>
      <c r="H348">
        <f>INDEX(Limits!$B$2:$B$5,MATCH(E348,Limits!$A$2:$A$5,0))</f>
        <v/>
      </c>
      <c r="I348">
        <f>INDEX(Limits!$C$2:$C$5,MATCH(E348,Limits!$A$2:$A$5,0))</f>
        <v/>
      </c>
      <c r="J348">
        <f>IF(F348&gt;=I348,"Action",IF(F348&gt;=H348,"Alert","Pass"))</f>
        <v/>
      </c>
      <c r="K348" s="4">
        <f>DATE(YEAR(B348),MONTH(B348),1)</f>
        <v/>
      </c>
    </row>
    <row r="349">
      <c r="A349" t="inlineStr">
        <is>
          <t>EM000348</t>
        </is>
      </c>
      <c r="B349" s="7" t="n">
        <v>46051</v>
      </c>
      <c r="C349" t="inlineStr">
        <is>
          <t>CR-102</t>
        </is>
      </c>
      <c r="D349" t="inlineStr">
        <is>
          <t>ISO 7</t>
        </is>
      </c>
      <c r="E349" t="inlineStr">
        <is>
          <t>Surface contact</t>
        </is>
      </c>
      <c r="F349" t="n">
        <v>1</v>
      </c>
      <c r="G349" t="inlineStr">
        <is>
          <t>Tech D</t>
        </is>
      </c>
      <c r="H349">
        <f>INDEX(Limits!$B$2:$B$5,MATCH(E349,Limits!$A$2:$A$5,0))</f>
        <v/>
      </c>
      <c r="I349">
        <f>INDEX(Limits!$C$2:$C$5,MATCH(E349,Limits!$A$2:$A$5,0))</f>
        <v/>
      </c>
      <c r="J349">
        <f>IF(F349&gt;=I349,"Action",IF(F349&gt;=H349,"Alert","Pass"))</f>
        <v/>
      </c>
      <c r="K349" s="4">
        <f>DATE(YEAR(B349),MONTH(B349),1)</f>
        <v/>
      </c>
    </row>
    <row r="350">
      <c r="A350" t="inlineStr">
        <is>
          <t>EM000349</t>
        </is>
      </c>
      <c r="B350" s="7" t="n">
        <v>46051</v>
      </c>
      <c r="C350" t="inlineStr">
        <is>
          <t>CR-102</t>
        </is>
      </c>
      <c r="D350" t="inlineStr">
        <is>
          <t>ISO 7</t>
        </is>
      </c>
      <c r="E350" t="inlineStr">
        <is>
          <t>Compressed air</t>
        </is>
      </c>
      <c r="F350" t="n">
        <v>0</v>
      </c>
      <c r="G350" t="inlineStr">
        <is>
          <t>Tech D</t>
        </is>
      </c>
      <c r="H350">
        <f>INDEX(Limits!$B$2:$B$5,MATCH(E350,Limits!$A$2:$A$5,0))</f>
        <v/>
      </c>
      <c r="I350">
        <f>INDEX(Limits!$C$2:$C$5,MATCH(E350,Limits!$A$2:$A$5,0))</f>
        <v/>
      </c>
      <c r="J350">
        <f>IF(F350&gt;=I350,"Action",IF(F350&gt;=H350,"Alert","Pass"))</f>
        <v/>
      </c>
      <c r="K350" s="4">
        <f>DATE(YEAR(B350),MONTH(B350),1)</f>
        <v/>
      </c>
    </row>
    <row r="351">
      <c r="A351" t="inlineStr">
        <is>
          <t>EM000350</t>
        </is>
      </c>
      <c r="B351" s="7" t="n">
        <v>46051</v>
      </c>
      <c r="C351" t="inlineStr">
        <is>
          <t>CR-102</t>
        </is>
      </c>
      <c r="D351" t="inlineStr">
        <is>
          <t>ISO 7</t>
        </is>
      </c>
      <c r="E351" t="inlineStr">
        <is>
          <t>Personnel glove</t>
        </is>
      </c>
      <c r="F351" t="n">
        <v>0</v>
      </c>
      <c r="G351" t="inlineStr">
        <is>
          <t>Tech C</t>
        </is>
      </c>
      <c r="H351">
        <f>INDEX(Limits!$B$2:$B$5,MATCH(E351,Limits!$A$2:$A$5,0))</f>
        <v/>
      </c>
      <c r="I351">
        <f>INDEX(Limits!$C$2:$C$5,MATCH(E351,Limits!$A$2:$A$5,0))</f>
        <v/>
      </c>
      <c r="J351">
        <f>IF(F351&gt;=I351,"Action",IF(F351&gt;=H351,"Alert","Pass"))</f>
        <v/>
      </c>
      <c r="K351" s="4">
        <f>DATE(YEAR(B351),MONTH(B351),1)</f>
        <v/>
      </c>
    </row>
    <row r="352">
      <c r="A352" t="inlineStr">
        <is>
          <t>EM000351</t>
        </is>
      </c>
      <c r="B352" s="7" t="n">
        <v>46051</v>
      </c>
      <c r="C352" t="inlineStr">
        <is>
          <t>CR-201</t>
        </is>
      </c>
      <c r="D352" t="inlineStr">
        <is>
          <t>ISO 8</t>
        </is>
      </c>
      <c r="E352" t="inlineStr">
        <is>
          <t>Active air</t>
        </is>
      </c>
      <c r="F352" t="n">
        <v>2</v>
      </c>
      <c r="G352" t="inlineStr">
        <is>
          <t>Tech B</t>
        </is>
      </c>
      <c r="H352">
        <f>INDEX(Limits!$B$2:$B$5,MATCH(E352,Limits!$A$2:$A$5,0))</f>
        <v/>
      </c>
      <c r="I352">
        <f>INDEX(Limits!$C$2:$C$5,MATCH(E352,Limits!$A$2:$A$5,0))</f>
        <v/>
      </c>
      <c r="J352">
        <f>IF(F352&gt;=I352,"Action",IF(F352&gt;=H352,"Alert","Pass"))</f>
        <v/>
      </c>
      <c r="K352" s="4">
        <f>DATE(YEAR(B352),MONTH(B352),1)</f>
        <v/>
      </c>
    </row>
    <row r="353">
      <c r="A353" t="inlineStr">
        <is>
          <t>EM000352</t>
        </is>
      </c>
      <c r="B353" s="7" t="n">
        <v>46051</v>
      </c>
      <c r="C353" t="inlineStr">
        <is>
          <t>CR-201</t>
        </is>
      </c>
      <c r="D353" t="inlineStr">
        <is>
          <t>ISO 8</t>
        </is>
      </c>
      <c r="E353" t="inlineStr">
        <is>
          <t>Surface contact</t>
        </is>
      </c>
      <c r="F353" t="n">
        <v>1</v>
      </c>
      <c r="G353" t="inlineStr">
        <is>
          <t>Tech C</t>
        </is>
      </c>
      <c r="H353">
        <f>INDEX(Limits!$B$2:$B$5,MATCH(E353,Limits!$A$2:$A$5,0))</f>
        <v/>
      </c>
      <c r="I353">
        <f>INDEX(Limits!$C$2:$C$5,MATCH(E353,Limits!$A$2:$A$5,0))</f>
        <v/>
      </c>
      <c r="J353">
        <f>IF(F353&gt;=I353,"Action",IF(F353&gt;=H353,"Alert","Pass"))</f>
        <v/>
      </c>
      <c r="K353" s="4">
        <f>DATE(YEAR(B353),MONTH(B353),1)</f>
        <v/>
      </c>
    </row>
    <row r="354">
      <c r="A354" t="inlineStr">
        <is>
          <t>EM000353</t>
        </is>
      </c>
      <c r="B354" s="7" t="n">
        <v>46051</v>
      </c>
      <c r="C354" t="inlineStr">
        <is>
          <t>CR-201</t>
        </is>
      </c>
      <c r="D354" t="inlineStr">
        <is>
          <t>ISO 8</t>
        </is>
      </c>
      <c r="E354" t="inlineStr">
        <is>
          <t>Compressed air</t>
        </is>
      </c>
      <c r="F354" t="n">
        <v>0</v>
      </c>
      <c r="G354" t="inlineStr">
        <is>
          <t>Tech D</t>
        </is>
      </c>
      <c r="H354">
        <f>INDEX(Limits!$B$2:$B$5,MATCH(E354,Limits!$A$2:$A$5,0))</f>
        <v/>
      </c>
      <c r="I354">
        <f>INDEX(Limits!$C$2:$C$5,MATCH(E354,Limits!$A$2:$A$5,0))</f>
        <v/>
      </c>
      <c r="J354">
        <f>IF(F354&gt;=I354,"Action",IF(F354&gt;=H354,"Alert","Pass"))</f>
        <v/>
      </c>
      <c r="K354" s="4">
        <f>DATE(YEAR(B354),MONTH(B354),1)</f>
        <v/>
      </c>
    </row>
    <row r="355">
      <c r="A355" t="inlineStr">
        <is>
          <t>EM000354</t>
        </is>
      </c>
      <c r="B355" s="7" t="n">
        <v>46051</v>
      </c>
      <c r="C355" t="inlineStr">
        <is>
          <t>CR-201</t>
        </is>
      </c>
      <c r="D355" t="inlineStr">
        <is>
          <t>ISO 8</t>
        </is>
      </c>
      <c r="E355" t="inlineStr">
        <is>
          <t>Personnel glove</t>
        </is>
      </c>
      <c r="F355" t="n">
        <v>0</v>
      </c>
      <c r="G355" t="inlineStr">
        <is>
          <t>Tech B</t>
        </is>
      </c>
      <c r="H355">
        <f>INDEX(Limits!$B$2:$B$5,MATCH(E355,Limits!$A$2:$A$5,0))</f>
        <v/>
      </c>
      <c r="I355">
        <f>INDEX(Limits!$C$2:$C$5,MATCH(E355,Limits!$A$2:$A$5,0))</f>
        <v/>
      </c>
      <c r="J355">
        <f>IF(F355&gt;=I355,"Action",IF(F355&gt;=H355,"Alert","Pass"))</f>
        <v/>
      </c>
      <c r="K355" s="4">
        <f>DATE(YEAR(B355),MONTH(B355),1)</f>
        <v/>
      </c>
    </row>
    <row r="356">
      <c r="A356" t="inlineStr">
        <is>
          <t>EM000355</t>
        </is>
      </c>
      <c r="B356" s="7" t="n">
        <v>46051</v>
      </c>
      <c r="C356" t="inlineStr">
        <is>
          <t>CR-202</t>
        </is>
      </c>
      <c r="D356" t="inlineStr">
        <is>
          <t>ISO 8</t>
        </is>
      </c>
      <c r="E356" t="inlineStr">
        <is>
          <t>Active air</t>
        </is>
      </c>
      <c r="F356" t="n">
        <v>2</v>
      </c>
      <c r="G356" t="inlineStr">
        <is>
          <t>Tech B</t>
        </is>
      </c>
      <c r="H356">
        <f>INDEX(Limits!$B$2:$B$5,MATCH(E356,Limits!$A$2:$A$5,0))</f>
        <v/>
      </c>
      <c r="I356">
        <f>INDEX(Limits!$C$2:$C$5,MATCH(E356,Limits!$A$2:$A$5,0))</f>
        <v/>
      </c>
      <c r="J356">
        <f>IF(F356&gt;=I356,"Action",IF(F356&gt;=H356,"Alert","Pass"))</f>
        <v/>
      </c>
      <c r="K356" s="4">
        <f>DATE(YEAR(B356),MONTH(B356),1)</f>
        <v/>
      </c>
    </row>
    <row r="357">
      <c r="A357" t="inlineStr">
        <is>
          <t>EM000356</t>
        </is>
      </c>
      <c r="B357" s="7" t="n">
        <v>46051</v>
      </c>
      <c r="C357" t="inlineStr">
        <is>
          <t>CR-202</t>
        </is>
      </c>
      <c r="D357" t="inlineStr">
        <is>
          <t>ISO 8</t>
        </is>
      </c>
      <c r="E357" t="inlineStr">
        <is>
          <t>Surface contact</t>
        </is>
      </c>
      <c r="F357" t="n">
        <v>1</v>
      </c>
      <c r="G357" t="inlineStr">
        <is>
          <t>Tech A</t>
        </is>
      </c>
      <c r="H357">
        <f>INDEX(Limits!$B$2:$B$5,MATCH(E357,Limits!$A$2:$A$5,0))</f>
        <v/>
      </c>
      <c r="I357">
        <f>INDEX(Limits!$C$2:$C$5,MATCH(E357,Limits!$A$2:$A$5,0))</f>
        <v/>
      </c>
      <c r="J357">
        <f>IF(F357&gt;=I357,"Action",IF(F357&gt;=H357,"Alert","Pass"))</f>
        <v/>
      </c>
      <c r="K357" s="4">
        <f>DATE(YEAR(B357),MONTH(B357),1)</f>
        <v/>
      </c>
    </row>
    <row r="358">
      <c r="A358" t="inlineStr">
        <is>
          <t>EM000357</t>
        </is>
      </c>
      <c r="B358" s="7" t="n">
        <v>46051</v>
      </c>
      <c r="C358" t="inlineStr">
        <is>
          <t>CR-202</t>
        </is>
      </c>
      <c r="D358" t="inlineStr">
        <is>
          <t>ISO 8</t>
        </is>
      </c>
      <c r="E358" t="inlineStr">
        <is>
          <t>Compressed air</t>
        </is>
      </c>
      <c r="F358" t="n">
        <v>0</v>
      </c>
      <c r="G358" t="inlineStr">
        <is>
          <t>Tech B</t>
        </is>
      </c>
      <c r="H358">
        <f>INDEX(Limits!$B$2:$B$5,MATCH(E358,Limits!$A$2:$A$5,0))</f>
        <v/>
      </c>
      <c r="I358">
        <f>INDEX(Limits!$C$2:$C$5,MATCH(E358,Limits!$A$2:$A$5,0))</f>
        <v/>
      </c>
      <c r="J358">
        <f>IF(F358&gt;=I358,"Action",IF(F358&gt;=H358,"Alert","Pass"))</f>
        <v/>
      </c>
      <c r="K358" s="4">
        <f>DATE(YEAR(B358),MONTH(B358),1)</f>
        <v/>
      </c>
    </row>
    <row r="359">
      <c r="A359" t="inlineStr">
        <is>
          <t>EM000358</t>
        </is>
      </c>
      <c r="B359" s="7" t="n">
        <v>46051</v>
      </c>
      <c r="C359" t="inlineStr">
        <is>
          <t>CR-202</t>
        </is>
      </c>
      <c r="D359" t="inlineStr">
        <is>
          <t>ISO 8</t>
        </is>
      </c>
      <c r="E359" t="inlineStr">
        <is>
          <t>Personnel glove</t>
        </is>
      </c>
      <c r="F359" t="n">
        <v>0</v>
      </c>
      <c r="G359" t="inlineStr">
        <is>
          <t>Tech A</t>
        </is>
      </c>
      <c r="H359">
        <f>INDEX(Limits!$B$2:$B$5,MATCH(E359,Limits!$A$2:$A$5,0))</f>
        <v/>
      </c>
      <c r="I359">
        <f>INDEX(Limits!$C$2:$C$5,MATCH(E359,Limits!$A$2:$A$5,0))</f>
        <v/>
      </c>
      <c r="J359">
        <f>IF(F359&gt;=I359,"Action",IF(F359&gt;=H359,"Alert","Pass"))</f>
        <v/>
      </c>
      <c r="K359" s="4">
        <f>DATE(YEAR(B359),MONTH(B359),1)</f>
        <v/>
      </c>
    </row>
    <row r="360">
      <c r="A360" t="inlineStr">
        <is>
          <t>EM000359</t>
        </is>
      </c>
      <c r="B360" s="7" t="n">
        <v>46051</v>
      </c>
      <c r="C360" t="inlineStr">
        <is>
          <t>Gowning</t>
        </is>
      </c>
      <c r="D360" t="inlineStr">
        <is>
          <t>ISO 8</t>
        </is>
      </c>
      <c r="E360" t="inlineStr">
        <is>
          <t>Active air</t>
        </is>
      </c>
      <c r="F360" t="n">
        <v>2</v>
      </c>
      <c r="G360" t="inlineStr">
        <is>
          <t>Tech C</t>
        </is>
      </c>
      <c r="H360">
        <f>INDEX(Limits!$B$2:$B$5,MATCH(E360,Limits!$A$2:$A$5,0))</f>
        <v/>
      </c>
      <c r="I360">
        <f>INDEX(Limits!$C$2:$C$5,MATCH(E360,Limits!$A$2:$A$5,0))</f>
        <v/>
      </c>
      <c r="J360">
        <f>IF(F360&gt;=I360,"Action",IF(F360&gt;=H360,"Alert","Pass"))</f>
        <v/>
      </c>
      <c r="K360" s="4">
        <f>DATE(YEAR(B360),MONTH(B360),1)</f>
        <v/>
      </c>
    </row>
    <row r="361">
      <c r="A361" t="inlineStr">
        <is>
          <t>EM000360</t>
        </is>
      </c>
      <c r="B361" s="7" t="n">
        <v>46051</v>
      </c>
      <c r="C361" t="inlineStr">
        <is>
          <t>Gowning</t>
        </is>
      </c>
      <c r="D361" t="inlineStr">
        <is>
          <t>ISO 8</t>
        </is>
      </c>
      <c r="E361" t="inlineStr">
        <is>
          <t>Surface contact</t>
        </is>
      </c>
      <c r="F361" t="n">
        <v>1</v>
      </c>
      <c r="G361" t="inlineStr">
        <is>
          <t>Tech B</t>
        </is>
      </c>
      <c r="H361">
        <f>INDEX(Limits!$B$2:$B$5,MATCH(E361,Limits!$A$2:$A$5,0))</f>
        <v/>
      </c>
      <c r="I361">
        <f>INDEX(Limits!$C$2:$C$5,MATCH(E361,Limits!$A$2:$A$5,0))</f>
        <v/>
      </c>
      <c r="J361">
        <f>IF(F361&gt;=I361,"Action",IF(F361&gt;=H361,"Alert","Pass"))</f>
        <v/>
      </c>
      <c r="K361" s="4">
        <f>DATE(YEAR(B361),MONTH(B361),1)</f>
        <v/>
      </c>
    </row>
    <row r="362">
      <c r="A362" t="inlineStr">
        <is>
          <t>EM000361</t>
        </is>
      </c>
      <c r="B362" s="7" t="n">
        <v>46051</v>
      </c>
      <c r="C362" t="inlineStr">
        <is>
          <t>Gowning</t>
        </is>
      </c>
      <c r="D362" t="inlineStr">
        <is>
          <t>ISO 8</t>
        </is>
      </c>
      <c r="E362" t="inlineStr">
        <is>
          <t>Personnel glove</t>
        </is>
      </c>
      <c r="F362" t="n">
        <v>0</v>
      </c>
      <c r="G362" t="inlineStr">
        <is>
          <t>Tech C</t>
        </is>
      </c>
      <c r="H362">
        <f>INDEX(Limits!$B$2:$B$5,MATCH(E362,Limits!$A$2:$A$5,0))</f>
        <v/>
      </c>
      <c r="I362">
        <f>INDEX(Limits!$C$2:$C$5,MATCH(E362,Limits!$A$2:$A$5,0))</f>
        <v/>
      </c>
      <c r="J362">
        <f>IF(F362&gt;=I362,"Action",IF(F362&gt;=H362,"Alert","Pass"))</f>
        <v/>
      </c>
      <c r="K362" s="4">
        <f>DATE(YEAR(B362),MONTH(B362),1)</f>
        <v/>
      </c>
    </row>
    <row r="363">
      <c r="A363" t="inlineStr">
        <is>
          <t>EM000362</t>
        </is>
      </c>
      <c r="B363" s="7" t="n">
        <v>46052</v>
      </c>
      <c r="C363" t="inlineStr">
        <is>
          <t>CR-101</t>
        </is>
      </c>
      <c r="D363" t="inlineStr">
        <is>
          <t>ISO 7</t>
        </is>
      </c>
      <c r="E363" t="inlineStr">
        <is>
          <t>Active air</t>
        </is>
      </c>
      <c r="F363" t="n">
        <v>1</v>
      </c>
      <c r="G363" t="inlineStr">
        <is>
          <t>Tech A</t>
        </is>
      </c>
      <c r="H363">
        <f>INDEX(Limits!$B$2:$B$5,MATCH(E363,Limits!$A$2:$A$5,0))</f>
        <v/>
      </c>
      <c r="I363">
        <f>INDEX(Limits!$C$2:$C$5,MATCH(E363,Limits!$A$2:$A$5,0))</f>
        <v/>
      </c>
      <c r="J363">
        <f>IF(F363&gt;=I363,"Action",IF(F363&gt;=H363,"Alert","Pass"))</f>
        <v/>
      </c>
      <c r="K363" s="4">
        <f>DATE(YEAR(B363),MONTH(B363),1)</f>
        <v/>
      </c>
    </row>
    <row r="364">
      <c r="A364" t="inlineStr">
        <is>
          <t>EM000363</t>
        </is>
      </c>
      <c r="B364" s="7" t="n">
        <v>46052</v>
      </c>
      <c r="C364" t="inlineStr">
        <is>
          <t>CR-101</t>
        </is>
      </c>
      <c r="D364" t="inlineStr">
        <is>
          <t>ISO 7</t>
        </is>
      </c>
      <c r="E364" t="inlineStr">
        <is>
          <t>Surface contact</t>
        </is>
      </c>
      <c r="F364" t="n">
        <v>1</v>
      </c>
      <c r="G364" t="inlineStr">
        <is>
          <t>Tech B</t>
        </is>
      </c>
      <c r="H364">
        <f>INDEX(Limits!$B$2:$B$5,MATCH(E364,Limits!$A$2:$A$5,0))</f>
        <v/>
      </c>
      <c r="I364">
        <f>INDEX(Limits!$C$2:$C$5,MATCH(E364,Limits!$A$2:$A$5,0))</f>
        <v/>
      </c>
      <c r="J364">
        <f>IF(F364&gt;=I364,"Action",IF(F364&gt;=H364,"Alert","Pass"))</f>
        <v/>
      </c>
      <c r="K364" s="4">
        <f>DATE(YEAR(B364),MONTH(B364),1)</f>
        <v/>
      </c>
    </row>
    <row r="365">
      <c r="A365" t="inlineStr">
        <is>
          <t>EM000364</t>
        </is>
      </c>
      <c r="B365" s="7" t="n">
        <v>46052</v>
      </c>
      <c r="C365" t="inlineStr">
        <is>
          <t>CR-101</t>
        </is>
      </c>
      <c r="D365" t="inlineStr">
        <is>
          <t>ISO 7</t>
        </is>
      </c>
      <c r="E365" t="inlineStr">
        <is>
          <t>Compressed air</t>
        </is>
      </c>
      <c r="F365" t="n">
        <v>0</v>
      </c>
      <c r="G365" t="inlineStr">
        <is>
          <t>Tech A</t>
        </is>
      </c>
      <c r="H365">
        <f>INDEX(Limits!$B$2:$B$5,MATCH(E365,Limits!$A$2:$A$5,0))</f>
        <v/>
      </c>
      <c r="I365">
        <f>INDEX(Limits!$C$2:$C$5,MATCH(E365,Limits!$A$2:$A$5,0))</f>
        <v/>
      </c>
      <c r="J365">
        <f>IF(F365&gt;=I365,"Action",IF(F365&gt;=H365,"Alert","Pass"))</f>
        <v/>
      </c>
      <c r="K365" s="4">
        <f>DATE(YEAR(B365),MONTH(B365),1)</f>
        <v/>
      </c>
    </row>
    <row r="366">
      <c r="A366" t="inlineStr">
        <is>
          <t>EM000365</t>
        </is>
      </c>
      <c r="B366" s="7" t="n">
        <v>46052</v>
      </c>
      <c r="C366" t="inlineStr">
        <is>
          <t>CR-101</t>
        </is>
      </c>
      <c r="D366" t="inlineStr">
        <is>
          <t>ISO 7</t>
        </is>
      </c>
      <c r="E366" t="inlineStr">
        <is>
          <t>Personnel glove</t>
        </is>
      </c>
      <c r="F366" t="n">
        <v>0</v>
      </c>
      <c r="G366" t="inlineStr">
        <is>
          <t>Tech C</t>
        </is>
      </c>
      <c r="H366">
        <f>INDEX(Limits!$B$2:$B$5,MATCH(E366,Limits!$A$2:$A$5,0))</f>
        <v/>
      </c>
      <c r="I366">
        <f>INDEX(Limits!$C$2:$C$5,MATCH(E366,Limits!$A$2:$A$5,0))</f>
        <v/>
      </c>
      <c r="J366">
        <f>IF(F366&gt;=I366,"Action",IF(F366&gt;=H366,"Alert","Pass"))</f>
        <v/>
      </c>
      <c r="K366" s="4">
        <f>DATE(YEAR(B366),MONTH(B366),1)</f>
        <v/>
      </c>
    </row>
    <row r="367">
      <c r="A367" t="inlineStr">
        <is>
          <t>EM000366</t>
        </is>
      </c>
      <c r="B367" s="7" t="n">
        <v>46052</v>
      </c>
      <c r="C367" t="inlineStr">
        <is>
          <t>CR-102</t>
        </is>
      </c>
      <c r="D367" t="inlineStr">
        <is>
          <t>ISO 7</t>
        </is>
      </c>
      <c r="E367" t="inlineStr">
        <is>
          <t>Active air</t>
        </is>
      </c>
      <c r="F367" t="n">
        <v>0</v>
      </c>
      <c r="G367" t="inlineStr">
        <is>
          <t>Tech A</t>
        </is>
      </c>
      <c r="H367">
        <f>INDEX(Limits!$B$2:$B$5,MATCH(E367,Limits!$A$2:$A$5,0))</f>
        <v/>
      </c>
      <c r="I367">
        <f>INDEX(Limits!$C$2:$C$5,MATCH(E367,Limits!$A$2:$A$5,0))</f>
        <v/>
      </c>
      <c r="J367">
        <f>IF(F367&gt;=I367,"Action",IF(F367&gt;=H367,"Alert","Pass"))</f>
        <v/>
      </c>
      <c r="K367" s="4">
        <f>DATE(YEAR(B367),MONTH(B367),1)</f>
        <v/>
      </c>
    </row>
    <row r="368">
      <c r="A368" t="inlineStr">
        <is>
          <t>EM000367</t>
        </is>
      </c>
      <c r="B368" s="7" t="n">
        <v>46052</v>
      </c>
      <c r="C368" t="inlineStr">
        <is>
          <t>CR-102</t>
        </is>
      </c>
      <c r="D368" t="inlineStr">
        <is>
          <t>ISO 7</t>
        </is>
      </c>
      <c r="E368" t="inlineStr">
        <is>
          <t>Surface contact</t>
        </is>
      </c>
      <c r="F368" t="n">
        <v>0</v>
      </c>
      <c r="G368" t="inlineStr">
        <is>
          <t>Tech A</t>
        </is>
      </c>
      <c r="H368">
        <f>INDEX(Limits!$B$2:$B$5,MATCH(E368,Limits!$A$2:$A$5,0))</f>
        <v/>
      </c>
      <c r="I368">
        <f>INDEX(Limits!$C$2:$C$5,MATCH(E368,Limits!$A$2:$A$5,0))</f>
        <v/>
      </c>
      <c r="J368">
        <f>IF(F368&gt;=I368,"Action",IF(F368&gt;=H368,"Alert","Pass"))</f>
        <v/>
      </c>
      <c r="K368" s="4">
        <f>DATE(YEAR(B368),MONTH(B368),1)</f>
        <v/>
      </c>
    </row>
    <row r="369">
      <c r="A369" t="inlineStr">
        <is>
          <t>EM000368</t>
        </is>
      </c>
      <c r="B369" s="7" t="n">
        <v>46052</v>
      </c>
      <c r="C369" t="inlineStr">
        <is>
          <t>CR-102</t>
        </is>
      </c>
      <c r="D369" t="inlineStr">
        <is>
          <t>ISO 7</t>
        </is>
      </c>
      <c r="E369" t="inlineStr">
        <is>
          <t>Compressed air</t>
        </is>
      </c>
      <c r="F369" t="n">
        <v>0</v>
      </c>
      <c r="G369" t="inlineStr">
        <is>
          <t>Tech B</t>
        </is>
      </c>
      <c r="H369">
        <f>INDEX(Limits!$B$2:$B$5,MATCH(E369,Limits!$A$2:$A$5,0))</f>
        <v/>
      </c>
      <c r="I369">
        <f>INDEX(Limits!$C$2:$C$5,MATCH(E369,Limits!$A$2:$A$5,0))</f>
        <v/>
      </c>
      <c r="J369">
        <f>IF(F369&gt;=I369,"Action",IF(F369&gt;=H369,"Alert","Pass"))</f>
        <v/>
      </c>
      <c r="K369" s="4">
        <f>DATE(YEAR(B369),MONTH(B369),1)</f>
        <v/>
      </c>
    </row>
    <row r="370">
      <c r="A370" t="inlineStr">
        <is>
          <t>EM000369</t>
        </is>
      </c>
      <c r="B370" s="7" t="n">
        <v>46052</v>
      </c>
      <c r="C370" t="inlineStr">
        <is>
          <t>CR-102</t>
        </is>
      </c>
      <c r="D370" t="inlineStr">
        <is>
          <t>ISO 7</t>
        </is>
      </c>
      <c r="E370" t="inlineStr">
        <is>
          <t>Personnel glove</t>
        </is>
      </c>
      <c r="F370" t="n">
        <v>0</v>
      </c>
      <c r="G370" t="inlineStr">
        <is>
          <t>Tech D</t>
        </is>
      </c>
      <c r="H370">
        <f>INDEX(Limits!$B$2:$B$5,MATCH(E370,Limits!$A$2:$A$5,0))</f>
        <v/>
      </c>
      <c r="I370">
        <f>INDEX(Limits!$C$2:$C$5,MATCH(E370,Limits!$A$2:$A$5,0))</f>
        <v/>
      </c>
      <c r="J370">
        <f>IF(F370&gt;=I370,"Action",IF(F370&gt;=H370,"Alert","Pass"))</f>
        <v/>
      </c>
      <c r="K370" s="4">
        <f>DATE(YEAR(B370),MONTH(B370),1)</f>
        <v/>
      </c>
    </row>
    <row r="371">
      <c r="A371" t="inlineStr">
        <is>
          <t>EM000370</t>
        </is>
      </c>
      <c r="B371" s="7" t="n">
        <v>46052</v>
      </c>
      <c r="C371" t="inlineStr">
        <is>
          <t>CR-201</t>
        </is>
      </c>
      <c r="D371" t="inlineStr">
        <is>
          <t>ISO 8</t>
        </is>
      </c>
      <c r="E371" t="inlineStr">
        <is>
          <t>Active air</t>
        </is>
      </c>
      <c r="F371" t="n">
        <v>1</v>
      </c>
      <c r="G371" t="inlineStr">
        <is>
          <t>Tech B</t>
        </is>
      </c>
      <c r="H371">
        <f>INDEX(Limits!$B$2:$B$5,MATCH(E371,Limits!$A$2:$A$5,0))</f>
        <v/>
      </c>
      <c r="I371">
        <f>INDEX(Limits!$C$2:$C$5,MATCH(E371,Limits!$A$2:$A$5,0))</f>
        <v/>
      </c>
      <c r="J371">
        <f>IF(F371&gt;=I371,"Action",IF(F371&gt;=H371,"Alert","Pass"))</f>
        <v/>
      </c>
      <c r="K371" s="4">
        <f>DATE(YEAR(B371),MONTH(B371),1)</f>
        <v/>
      </c>
    </row>
    <row r="372">
      <c r="A372" t="inlineStr">
        <is>
          <t>EM000371</t>
        </is>
      </c>
      <c r="B372" s="7" t="n">
        <v>46052</v>
      </c>
      <c r="C372" t="inlineStr">
        <is>
          <t>CR-201</t>
        </is>
      </c>
      <c r="D372" t="inlineStr">
        <is>
          <t>ISO 8</t>
        </is>
      </c>
      <c r="E372" t="inlineStr">
        <is>
          <t>Surface contact</t>
        </is>
      </c>
      <c r="F372" t="n">
        <v>0</v>
      </c>
      <c r="G372" t="inlineStr">
        <is>
          <t>Tech C</t>
        </is>
      </c>
      <c r="H372">
        <f>INDEX(Limits!$B$2:$B$5,MATCH(E372,Limits!$A$2:$A$5,0))</f>
        <v/>
      </c>
      <c r="I372">
        <f>INDEX(Limits!$C$2:$C$5,MATCH(E372,Limits!$A$2:$A$5,0))</f>
        <v/>
      </c>
      <c r="J372">
        <f>IF(F372&gt;=I372,"Action",IF(F372&gt;=H372,"Alert","Pass"))</f>
        <v/>
      </c>
      <c r="K372" s="4">
        <f>DATE(YEAR(B372),MONTH(B372),1)</f>
        <v/>
      </c>
    </row>
    <row r="373">
      <c r="A373" t="inlineStr">
        <is>
          <t>EM000372</t>
        </is>
      </c>
      <c r="B373" s="7" t="n">
        <v>46052</v>
      </c>
      <c r="C373" t="inlineStr">
        <is>
          <t>CR-201</t>
        </is>
      </c>
      <c r="D373" t="inlineStr">
        <is>
          <t>ISO 8</t>
        </is>
      </c>
      <c r="E373" t="inlineStr">
        <is>
          <t>Compressed air</t>
        </is>
      </c>
      <c r="F373" t="n">
        <v>0</v>
      </c>
      <c r="G373" t="inlineStr">
        <is>
          <t>Tech D</t>
        </is>
      </c>
      <c r="H373">
        <f>INDEX(Limits!$B$2:$B$5,MATCH(E373,Limits!$A$2:$A$5,0))</f>
        <v/>
      </c>
      <c r="I373">
        <f>INDEX(Limits!$C$2:$C$5,MATCH(E373,Limits!$A$2:$A$5,0))</f>
        <v/>
      </c>
      <c r="J373">
        <f>IF(F373&gt;=I373,"Action",IF(F373&gt;=H373,"Alert","Pass"))</f>
        <v/>
      </c>
      <c r="K373" s="4">
        <f>DATE(YEAR(B373),MONTH(B373),1)</f>
        <v/>
      </c>
    </row>
    <row r="374">
      <c r="A374" t="inlineStr">
        <is>
          <t>EM000373</t>
        </is>
      </c>
      <c r="B374" s="7" t="n">
        <v>46052</v>
      </c>
      <c r="C374" t="inlineStr">
        <is>
          <t>CR-201</t>
        </is>
      </c>
      <c r="D374" t="inlineStr">
        <is>
          <t>ISO 8</t>
        </is>
      </c>
      <c r="E374" t="inlineStr">
        <is>
          <t>Personnel glove</t>
        </is>
      </c>
      <c r="F374" t="n">
        <v>0</v>
      </c>
      <c r="G374" t="inlineStr">
        <is>
          <t>Tech B</t>
        </is>
      </c>
      <c r="H374">
        <f>INDEX(Limits!$B$2:$B$5,MATCH(E374,Limits!$A$2:$A$5,0))</f>
        <v/>
      </c>
      <c r="I374">
        <f>INDEX(Limits!$C$2:$C$5,MATCH(E374,Limits!$A$2:$A$5,0))</f>
        <v/>
      </c>
      <c r="J374">
        <f>IF(F374&gt;=I374,"Action",IF(F374&gt;=H374,"Alert","Pass"))</f>
        <v/>
      </c>
      <c r="K374" s="4">
        <f>DATE(YEAR(B374),MONTH(B374),1)</f>
        <v/>
      </c>
    </row>
    <row r="375">
      <c r="A375" t="inlineStr">
        <is>
          <t>EM000374</t>
        </is>
      </c>
      <c r="B375" s="7" t="n">
        <v>46052</v>
      </c>
      <c r="C375" t="inlineStr">
        <is>
          <t>CR-202</t>
        </is>
      </c>
      <c r="D375" t="inlineStr">
        <is>
          <t>ISO 8</t>
        </is>
      </c>
      <c r="E375" t="inlineStr">
        <is>
          <t>Active air</t>
        </is>
      </c>
      <c r="F375" t="n">
        <v>1</v>
      </c>
      <c r="G375" t="inlineStr">
        <is>
          <t>Tech D</t>
        </is>
      </c>
      <c r="H375">
        <f>INDEX(Limits!$B$2:$B$5,MATCH(E375,Limits!$A$2:$A$5,0))</f>
        <v/>
      </c>
      <c r="I375">
        <f>INDEX(Limits!$C$2:$C$5,MATCH(E375,Limits!$A$2:$A$5,0))</f>
        <v/>
      </c>
      <c r="J375">
        <f>IF(F375&gt;=I375,"Action",IF(F375&gt;=H375,"Alert","Pass"))</f>
        <v/>
      </c>
      <c r="K375" s="4">
        <f>DATE(YEAR(B375),MONTH(B375),1)</f>
        <v/>
      </c>
    </row>
    <row r="376">
      <c r="A376" t="inlineStr">
        <is>
          <t>EM000375</t>
        </is>
      </c>
      <c r="B376" s="7" t="n">
        <v>46052</v>
      </c>
      <c r="C376" t="inlineStr">
        <is>
          <t>CR-202</t>
        </is>
      </c>
      <c r="D376" t="inlineStr">
        <is>
          <t>ISO 8</t>
        </is>
      </c>
      <c r="E376" t="inlineStr">
        <is>
          <t>Surface contact</t>
        </is>
      </c>
      <c r="F376" t="n">
        <v>1</v>
      </c>
      <c r="G376" t="inlineStr">
        <is>
          <t>Tech D</t>
        </is>
      </c>
      <c r="H376">
        <f>INDEX(Limits!$B$2:$B$5,MATCH(E376,Limits!$A$2:$A$5,0))</f>
        <v/>
      </c>
      <c r="I376">
        <f>INDEX(Limits!$C$2:$C$5,MATCH(E376,Limits!$A$2:$A$5,0))</f>
        <v/>
      </c>
      <c r="J376">
        <f>IF(F376&gt;=I376,"Action",IF(F376&gt;=H376,"Alert","Pass"))</f>
        <v/>
      </c>
      <c r="K376" s="4">
        <f>DATE(YEAR(B376),MONTH(B376),1)</f>
        <v/>
      </c>
    </row>
    <row r="377">
      <c r="A377" t="inlineStr">
        <is>
          <t>EM000376</t>
        </is>
      </c>
      <c r="B377" s="7" t="n">
        <v>46052</v>
      </c>
      <c r="C377" t="inlineStr">
        <is>
          <t>CR-202</t>
        </is>
      </c>
      <c r="D377" t="inlineStr">
        <is>
          <t>ISO 8</t>
        </is>
      </c>
      <c r="E377" t="inlineStr">
        <is>
          <t>Compressed air</t>
        </is>
      </c>
      <c r="F377" t="n">
        <v>0</v>
      </c>
      <c r="G377" t="inlineStr">
        <is>
          <t>Tech C</t>
        </is>
      </c>
      <c r="H377">
        <f>INDEX(Limits!$B$2:$B$5,MATCH(E377,Limits!$A$2:$A$5,0))</f>
        <v/>
      </c>
      <c r="I377">
        <f>INDEX(Limits!$C$2:$C$5,MATCH(E377,Limits!$A$2:$A$5,0))</f>
        <v/>
      </c>
      <c r="J377">
        <f>IF(F377&gt;=I377,"Action",IF(F377&gt;=H377,"Alert","Pass"))</f>
        <v/>
      </c>
      <c r="K377" s="4">
        <f>DATE(YEAR(B377),MONTH(B377),1)</f>
        <v/>
      </c>
    </row>
    <row r="378">
      <c r="A378" t="inlineStr">
        <is>
          <t>EM000377</t>
        </is>
      </c>
      <c r="B378" s="7" t="n">
        <v>46052</v>
      </c>
      <c r="C378" t="inlineStr">
        <is>
          <t>CR-202</t>
        </is>
      </c>
      <c r="D378" t="inlineStr">
        <is>
          <t>ISO 8</t>
        </is>
      </c>
      <c r="E378" t="inlineStr">
        <is>
          <t>Personnel glove</t>
        </is>
      </c>
      <c r="F378" t="n">
        <v>0</v>
      </c>
      <c r="G378" t="inlineStr">
        <is>
          <t>Tech C</t>
        </is>
      </c>
      <c r="H378">
        <f>INDEX(Limits!$B$2:$B$5,MATCH(E378,Limits!$A$2:$A$5,0))</f>
        <v/>
      </c>
      <c r="I378">
        <f>INDEX(Limits!$C$2:$C$5,MATCH(E378,Limits!$A$2:$A$5,0))</f>
        <v/>
      </c>
      <c r="J378">
        <f>IF(F378&gt;=I378,"Action",IF(F378&gt;=H378,"Alert","Pass"))</f>
        <v/>
      </c>
      <c r="K378" s="4">
        <f>DATE(YEAR(B378),MONTH(B378),1)</f>
        <v/>
      </c>
    </row>
    <row r="379">
      <c r="A379" t="inlineStr">
        <is>
          <t>EM000378</t>
        </is>
      </c>
      <c r="B379" s="7" t="n">
        <v>46052</v>
      </c>
      <c r="C379" t="inlineStr">
        <is>
          <t>Gowning</t>
        </is>
      </c>
      <c r="D379" t="inlineStr">
        <is>
          <t>ISO 8</t>
        </is>
      </c>
      <c r="E379" t="inlineStr">
        <is>
          <t>Active air</t>
        </is>
      </c>
      <c r="F379" t="n">
        <v>2</v>
      </c>
      <c r="G379" t="inlineStr">
        <is>
          <t>Tech D</t>
        </is>
      </c>
      <c r="H379">
        <f>INDEX(Limits!$B$2:$B$5,MATCH(E379,Limits!$A$2:$A$5,0))</f>
        <v/>
      </c>
      <c r="I379">
        <f>INDEX(Limits!$C$2:$C$5,MATCH(E379,Limits!$A$2:$A$5,0))</f>
        <v/>
      </c>
      <c r="J379">
        <f>IF(F379&gt;=I379,"Action",IF(F379&gt;=H379,"Alert","Pass"))</f>
        <v/>
      </c>
      <c r="K379" s="4">
        <f>DATE(YEAR(B379),MONTH(B379),1)</f>
        <v/>
      </c>
    </row>
    <row r="380">
      <c r="A380" t="inlineStr">
        <is>
          <t>EM000379</t>
        </is>
      </c>
      <c r="B380" s="7" t="n">
        <v>46052</v>
      </c>
      <c r="C380" t="inlineStr">
        <is>
          <t>Gowning</t>
        </is>
      </c>
      <c r="D380" t="inlineStr">
        <is>
          <t>ISO 8</t>
        </is>
      </c>
      <c r="E380" t="inlineStr">
        <is>
          <t>Surface contact</t>
        </is>
      </c>
      <c r="F380" t="n">
        <v>1</v>
      </c>
      <c r="G380" t="inlineStr">
        <is>
          <t>Tech B</t>
        </is>
      </c>
      <c r="H380">
        <f>INDEX(Limits!$B$2:$B$5,MATCH(E380,Limits!$A$2:$A$5,0))</f>
        <v/>
      </c>
      <c r="I380">
        <f>INDEX(Limits!$C$2:$C$5,MATCH(E380,Limits!$A$2:$A$5,0))</f>
        <v/>
      </c>
      <c r="J380">
        <f>IF(F380&gt;=I380,"Action",IF(F380&gt;=H380,"Alert","Pass"))</f>
        <v/>
      </c>
      <c r="K380" s="4">
        <f>DATE(YEAR(B380),MONTH(B380),1)</f>
        <v/>
      </c>
    </row>
    <row r="381">
      <c r="A381" t="inlineStr">
        <is>
          <t>EM000380</t>
        </is>
      </c>
      <c r="B381" s="7" t="n">
        <v>46052</v>
      </c>
      <c r="C381" t="inlineStr">
        <is>
          <t>Gowning</t>
        </is>
      </c>
      <c r="D381" t="inlineStr">
        <is>
          <t>ISO 8</t>
        </is>
      </c>
      <c r="E381" t="inlineStr">
        <is>
          <t>Personnel glove</t>
        </is>
      </c>
      <c r="F381" t="n">
        <v>0</v>
      </c>
      <c r="G381" t="inlineStr">
        <is>
          <t>Tech B</t>
        </is>
      </c>
      <c r="H381">
        <f>INDEX(Limits!$B$2:$B$5,MATCH(E381,Limits!$A$2:$A$5,0))</f>
        <v/>
      </c>
      <c r="I381">
        <f>INDEX(Limits!$C$2:$C$5,MATCH(E381,Limits!$A$2:$A$5,0))</f>
        <v/>
      </c>
      <c r="J381">
        <f>IF(F381&gt;=I381,"Action",IF(F381&gt;=H381,"Alert","Pass"))</f>
        <v/>
      </c>
      <c r="K381" s="4">
        <f>DATE(YEAR(B381),MONTH(B381),1)</f>
        <v/>
      </c>
    </row>
    <row r="382">
      <c r="A382" t="inlineStr">
        <is>
          <t>EM000381</t>
        </is>
      </c>
      <c r="B382" s="7" t="n">
        <v>46055</v>
      </c>
      <c r="C382" t="inlineStr">
        <is>
          <t>CR-101</t>
        </is>
      </c>
      <c r="D382" t="inlineStr">
        <is>
          <t>ISO 7</t>
        </is>
      </c>
      <c r="E382" t="inlineStr">
        <is>
          <t>Active air</t>
        </is>
      </c>
      <c r="F382" t="n">
        <v>2</v>
      </c>
      <c r="G382" t="inlineStr">
        <is>
          <t>Tech C</t>
        </is>
      </c>
      <c r="H382">
        <f>INDEX(Limits!$B$2:$B$5,MATCH(E382,Limits!$A$2:$A$5,0))</f>
        <v/>
      </c>
      <c r="I382">
        <f>INDEX(Limits!$C$2:$C$5,MATCH(E382,Limits!$A$2:$A$5,0))</f>
        <v/>
      </c>
      <c r="J382">
        <f>IF(F382&gt;=I382,"Action",IF(F382&gt;=H382,"Alert","Pass"))</f>
        <v/>
      </c>
      <c r="K382" s="4">
        <f>DATE(YEAR(B382),MONTH(B382),1)</f>
        <v/>
      </c>
    </row>
    <row r="383">
      <c r="A383" t="inlineStr">
        <is>
          <t>EM000382</t>
        </is>
      </c>
      <c r="B383" s="7" t="n">
        <v>46055</v>
      </c>
      <c r="C383" t="inlineStr">
        <is>
          <t>CR-101</t>
        </is>
      </c>
      <c r="D383" t="inlineStr">
        <is>
          <t>ISO 7</t>
        </is>
      </c>
      <c r="E383" t="inlineStr">
        <is>
          <t>Surface contact</t>
        </is>
      </c>
      <c r="F383" t="n">
        <v>0</v>
      </c>
      <c r="G383" t="inlineStr">
        <is>
          <t>Tech D</t>
        </is>
      </c>
      <c r="H383">
        <f>INDEX(Limits!$B$2:$B$5,MATCH(E383,Limits!$A$2:$A$5,0))</f>
        <v/>
      </c>
      <c r="I383">
        <f>INDEX(Limits!$C$2:$C$5,MATCH(E383,Limits!$A$2:$A$5,0))</f>
        <v/>
      </c>
      <c r="J383">
        <f>IF(F383&gt;=I383,"Action",IF(F383&gt;=H383,"Alert","Pass"))</f>
        <v/>
      </c>
      <c r="K383" s="4">
        <f>DATE(YEAR(B383),MONTH(B383),1)</f>
        <v/>
      </c>
    </row>
    <row r="384">
      <c r="A384" t="inlineStr">
        <is>
          <t>EM000383</t>
        </is>
      </c>
      <c r="B384" s="7" t="n">
        <v>46055</v>
      </c>
      <c r="C384" t="inlineStr">
        <is>
          <t>CR-101</t>
        </is>
      </c>
      <c r="D384" t="inlineStr">
        <is>
          <t>ISO 7</t>
        </is>
      </c>
      <c r="E384" t="inlineStr">
        <is>
          <t>Compressed air</t>
        </is>
      </c>
      <c r="F384" t="n">
        <v>0</v>
      </c>
      <c r="G384" t="inlineStr">
        <is>
          <t>Tech C</t>
        </is>
      </c>
      <c r="H384">
        <f>INDEX(Limits!$B$2:$B$5,MATCH(E384,Limits!$A$2:$A$5,0))</f>
        <v/>
      </c>
      <c r="I384">
        <f>INDEX(Limits!$C$2:$C$5,MATCH(E384,Limits!$A$2:$A$5,0))</f>
        <v/>
      </c>
      <c r="J384">
        <f>IF(F384&gt;=I384,"Action",IF(F384&gt;=H384,"Alert","Pass"))</f>
        <v/>
      </c>
      <c r="K384" s="4">
        <f>DATE(YEAR(B384),MONTH(B384),1)</f>
        <v/>
      </c>
    </row>
    <row r="385">
      <c r="A385" t="inlineStr">
        <is>
          <t>EM000384</t>
        </is>
      </c>
      <c r="B385" s="7" t="n">
        <v>46055</v>
      </c>
      <c r="C385" t="inlineStr">
        <is>
          <t>CR-101</t>
        </is>
      </c>
      <c r="D385" t="inlineStr">
        <is>
          <t>ISO 7</t>
        </is>
      </c>
      <c r="E385" t="inlineStr">
        <is>
          <t>Personnel glove</t>
        </is>
      </c>
      <c r="F385" t="n">
        <v>0</v>
      </c>
      <c r="G385" t="inlineStr">
        <is>
          <t>Tech A</t>
        </is>
      </c>
      <c r="H385">
        <f>INDEX(Limits!$B$2:$B$5,MATCH(E385,Limits!$A$2:$A$5,0))</f>
        <v/>
      </c>
      <c r="I385">
        <f>INDEX(Limits!$C$2:$C$5,MATCH(E385,Limits!$A$2:$A$5,0))</f>
        <v/>
      </c>
      <c r="J385">
        <f>IF(F385&gt;=I385,"Action",IF(F385&gt;=H385,"Alert","Pass"))</f>
        <v/>
      </c>
      <c r="K385" s="4">
        <f>DATE(YEAR(B385),MONTH(B385),1)</f>
        <v/>
      </c>
    </row>
    <row r="386">
      <c r="A386" t="inlineStr">
        <is>
          <t>EM000385</t>
        </is>
      </c>
      <c r="B386" s="7" t="n">
        <v>46055</v>
      </c>
      <c r="C386" t="inlineStr">
        <is>
          <t>CR-102</t>
        </is>
      </c>
      <c r="D386" t="inlineStr">
        <is>
          <t>ISO 7</t>
        </is>
      </c>
      <c r="E386" t="inlineStr">
        <is>
          <t>Active air</t>
        </is>
      </c>
      <c r="F386" t="n">
        <v>2</v>
      </c>
      <c r="G386" t="inlineStr">
        <is>
          <t>Tech A</t>
        </is>
      </c>
      <c r="H386">
        <f>INDEX(Limits!$B$2:$B$5,MATCH(E386,Limits!$A$2:$A$5,0))</f>
        <v/>
      </c>
      <c r="I386">
        <f>INDEX(Limits!$C$2:$C$5,MATCH(E386,Limits!$A$2:$A$5,0))</f>
        <v/>
      </c>
      <c r="J386">
        <f>IF(F386&gt;=I386,"Action",IF(F386&gt;=H386,"Alert","Pass"))</f>
        <v/>
      </c>
      <c r="K386" s="4">
        <f>DATE(YEAR(B386),MONTH(B386),1)</f>
        <v/>
      </c>
    </row>
    <row r="387">
      <c r="A387" t="inlineStr">
        <is>
          <t>EM000386</t>
        </is>
      </c>
      <c r="B387" s="7" t="n">
        <v>46055</v>
      </c>
      <c r="C387" t="inlineStr">
        <is>
          <t>CR-102</t>
        </is>
      </c>
      <c r="D387" t="inlineStr">
        <is>
          <t>ISO 7</t>
        </is>
      </c>
      <c r="E387" t="inlineStr">
        <is>
          <t>Surface contact</t>
        </is>
      </c>
      <c r="F387" t="n">
        <v>0</v>
      </c>
      <c r="G387" t="inlineStr">
        <is>
          <t>Tech C</t>
        </is>
      </c>
      <c r="H387">
        <f>INDEX(Limits!$B$2:$B$5,MATCH(E387,Limits!$A$2:$A$5,0))</f>
        <v/>
      </c>
      <c r="I387">
        <f>INDEX(Limits!$C$2:$C$5,MATCH(E387,Limits!$A$2:$A$5,0))</f>
        <v/>
      </c>
      <c r="J387">
        <f>IF(F387&gt;=I387,"Action",IF(F387&gt;=H387,"Alert","Pass"))</f>
        <v/>
      </c>
      <c r="K387" s="4">
        <f>DATE(YEAR(B387),MONTH(B387),1)</f>
        <v/>
      </c>
    </row>
    <row r="388">
      <c r="A388" t="inlineStr">
        <is>
          <t>EM000387</t>
        </is>
      </c>
      <c r="B388" s="7" t="n">
        <v>46055</v>
      </c>
      <c r="C388" t="inlineStr">
        <is>
          <t>CR-102</t>
        </is>
      </c>
      <c r="D388" t="inlineStr">
        <is>
          <t>ISO 7</t>
        </is>
      </c>
      <c r="E388" t="inlineStr">
        <is>
          <t>Compressed air</t>
        </is>
      </c>
      <c r="F388" t="n">
        <v>0</v>
      </c>
      <c r="G388" t="inlineStr">
        <is>
          <t>Tech A</t>
        </is>
      </c>
      <c r="H388">
        <f>INDEX(Limits!$B$2:$B$5,MATCH(E388,Limits!$A$2:$A$5,0))</f>
        <v/>
      </c>
      <c r="I388">
        <f>INDEX(Limits!$C$2:$C$5,MATCH(E388,Limits!$A$2:$A$5,0))</f>
        <v/>
      </c>
      <c r="J388">
        <f>IF(F388&gt;=I388,"Action",IF(F388&gt;=H388,"Alert","Pass"))</f>
        <v/>
      </c>
      <c r="K388" s="4">
        <f>DATE(YEAR(B388),MONTH(B388),1)</f>
        <v/>
      </c>
    </row>
    <row r="389">
      <c r="A389" t="inlineStr">
        <is>
          <t>EM000388</t>
        </is>
      </c>
      <c r="B389" s="7" t="n">
        <v>46055</v>
      </c>
      <c r="C389" t="inlineStr">
        <is>
          <t>CR-102</t>
        </is>
      </c>
      <c r="D389" t="inlineStr">
        <is>
          <t>ISO 7</t>
        </is>
      </c>
      <c r="E389" t="inlineStr">
        <is>
          <t>Personnel glove</t>
        </is>
      </c>
      <c r="F389" t="n">
        <v>0</v>
      </c>
      <c r="G389" t="inlineStr">
        <is>
          <t>Tech D</t>
        </is>
      </c>
      <c r="H389">
        <f>INDEX(Limits!$B$2:$B$5,MATCH(E389,Limits!$A$2:$A$5,0))</f>
        <v/>
      </c>
      <c r="I389">
        <f>INDEX(Limits!$C$2:$C$5,MATCH(E389,Limits!$A$2:$A$5,0))</f>
        <v/>
      </c>
      <c r="J389">
        <f>IF(F389&gt;=I389,"Action",IF(F389&gt;=H389,"Alert","Pass"))</f>
        <v/>
      </c>
      <c r="K389" s="4">
        <f>DATE(YEAR(B389),MONTH(B389),1)</f>
        <v/>
      </c>
    </row>
    <row r="390">
      <c r="A390" t="inlineStr">
        <is>
          <t>EM000389</t>
        </is>
      </c>
      <c r="B390" s="7" t="n">
        <v>46055</v>
      </c>
      <c r="C390" t="inlineStr">
        <is>
          <t>CR-201</t>
        </is>
      </c>
      <c r="D390" t="inlineStr">
        <is>
          <t>ISO 8</t>
        </is>
      </c>
      <c r="E390" t="inlineStr">
        <is>
          <t>Active air</t>
        </is>
      </c>
      <c r="F390" t="n">
        <v>2</v>
      </c>
      <c r="G390" t="inlineStr">
        <is>
          <t>Tech D</t>
        </is>
      </c>
      <c r="H390">
        <f>INDEX(Limits!$B$2:$B$5,MATCH(E390,Limits!$A$2:$A$5,0))</f>
        <v/>
      </c>
      <c r="I390">
        <f>INDEX(Limits!$C$2:$C$5,MATCH(E390,Limits!$A$2:$A$5,0))</f>
        <v/>
      </c>
      <c r="J390">
        <f>IF(F390&gt;=I390,"Action",IF(F390&gt;=H390,"Alert","Pass"))</f>
        <v/>
      </c>
      <c r="K390" s="4">
        <f>DATE(YEAR(B390),MONTH(B390),1)</f>
        <v/>
      </c>
    </row>
    <row r="391">
      <c r="A391" t="inlineStr">
        <is>
          <t>EM000390</t>
        </is>
      </c>
      <c r="B391" s="7" t="n">
        <v>46055</v>
      </c>
      <c r="C391" t="inlineStr">
        <is>
          <t>CR-201</t>
        </is>
      </c>
      <c r="D391" t="inlineStr">
        <is>
          <t>ISO 8</t>
        </is>
      </c>
      <c r="E391" t="inlineStr">
        <is>
          <t>Surface contact</t>
        </is>
      </c>
      <c r="F391" t="n">
        <v>1</v>
      </c>
      <c r="G391" t="inlineStr">
        <is>
          <t>Tech C</t>
        </is>
      </c>
      <c r="H391">
        <f>INDEX(Limits!$B$2:$B$5,MATCH(E391,Limits!$A$2:$A$5,0))</f>
        <v/>
      </c>
      <c r="I391">
        <f>INDEX(Limits!$C$2:$C$5,MATCH(E391,Limits!$A$2:$A$5,0))</f>
        <v/>
      </c>
      <c r="J391">
        <f>IF(F391&gt;=I391,"Action",IF(F391&gt;=H391,"Alert","Pass"))</f>
        <v/>
      </c>
      <c r="K391" s="4">
        <f>DATE(YEAR(B391),MONTH(B391),1)</f>
        <v/>
      </c>
    </row>
    <row r="392">
      <c r="A392" t="inlineStr">
        <is>
          <t>EM000391</t>
        </is>
      </c>
      <c r="B392" s="7" t="n">
        <v>46055</v>
      </c>
      <c r="C392" t="inlineStr">
        <is>
          <t>CR-201</t>
        </is>
      </c>
      <c r="D392" t="inlineStr">
        <is>
          <t>ISO 8</t>
        </is>
      </c>
      <c r="E392" t="inlineStr">
        <is>
          <t>Compressed air</t>
        </is>
      </c>
      <c r="F392" t="n">
        <v>0</v>
      </c>
      <c r="G392" t="inlineStr">
        <is>
          <t>Tech C</t>
        </is>
      </c>
      <c r="H392">
        <f>INDEX(Limits!$B$2:$B$5,MATCH(E392,Limits!$A$2:$A$5,0))</f>
        <v/>
      </c>
      <c r="I392">
        <f>INDEX(Limits!$C$2:$C$5,MATCH(E392,Limits!$A$2:$A$5,0))</f>
        <v/>
      </c>
      <c r="J392">
        <f>IF(F392&gt;=I392,"Action",IF(F392&gt;=H392,"Alert","Pass"))</f>
        <v/>
      </c>
      <c r="K392" s="4">
        <f>DATE(YEAR(B392),MONTH(B392),1)</f>
        <v/>
      </c>
    </row>
    <row r="393">
      <c r="A393" t="inlineStr">
        <is>
          <t>EM000392</t>
        </is>
      </c>
      <c r="B393" s="7" t="n">
        <v>46055</v>
      </c>
      <c r="C393" t="inlineStr">
        <is>
          <t>CR-201</t>
        </is>
      </c>
      <c r="D393" t="inlineStr">
        <is>
          <t>ISO 8</t>
        </is>
      </c>
      <c r="E393" t="inlineStr">
        <is>
          <t>Personnel glove</t>
        </is>
      </c>
      <c r="F393" t="n">
        <v>0</v>
      </c>
      <c r="G393" t="inlineStr">
        <is>
          <t>Tech D</t>
        </is>
      </c>
      <c r="H393">
        <f>INDEX(Limits!$B$2:$B$5,MATCH(E393,Limits!$A$2:$A$5,0))</f>
        <v/>
      </c>
      <c r="I393">
        <f>INDEX(Limits!$C$2:$C$5,MATCH(E393,Limits!$A$2:$A$5,0))</f>
        <v/>
      </c>
      <c r="J393">
        <f>IF(F393&gt;=I393,"Action",IF(F393&gt;=H393,"Alert","Pass"))</f>
        <v/>
      </c>
      <c r="K393" s="4">
        <f>DATE(YEAR(B393),MONTH(B393),1)</f>
        <v/>
      </c>
    </row>
    <row r="394">
      <c r="A394" t="inlineStr">
        <is>
          <t>EM000393</t>
        </is>
      </c>
      <c r="B394" s="7" t="n">
        <v>46055</v>
      </c>
      <c r="C394" t="inlineStr">
        <is>
          <t>CR-202</t>
        </is>
      </c>
      <c r="D394" t="inlineStr">
        <is>
          <t>ISO 8</t>
        </is>
      </c>
      <c r="E394" t="inlineStr">
        <is>
          <t>Active air</t>
        </is>
      </c>
      <c r="F394" t="n">
        <v>2</v>
      </c>
      <c r="G394" t="inlineStr">
        <is>
          <t>Tech C</t>
        </is>
      </c>
      <c r="H394">
        <f>INDEX(Limits!$B$2:$B$5,MATCH(E394,Limits!$A$2:$A$5,0))</f>
        <v/>
      </c>
      <c r="I394">
        <f>INDEX(Limits!$C$2:$C$5,MATCH(E394,Limits!$A$2:$A$5,0))</f>
        <v/>
      </c>
      <c r="J394">
        <f>IF(F394&gt;=I394,"Action",IF(F394&gt;=H394,"Alert","Pass"))</f>
        <v/>
      </c>
      <c r="K394" s="4">
        <f>DATE(YEAR(B394),MONTH(B394),1)</f>
        <v/>
      </c>
    </row>
    <row r="395">
      <c r="A395" t="inlineStr">
        <is>
          <t>EM000394</t>
        </is>
      </c>
      <c r="B395" s="7" t="n">
        <v>46055</v>
      </c>
      <c r="C395" t="inlineStr">
        <is>
          <t>CR-202</t>
        </is>
      </c>
      <c r="D395" t="inlineStr">
        <is>
          <t>ISO 8</t>
        </is>
      </c>
      <c r="E395" t="inlineStr">
        <is>
          <t>Surface contact</t>
        </is>
      </c>
      <c r="F395" t="n">
        <v>2</v>
      </c>
      <c r="G395" t="inlineStr">
        <is>
          <t>Tech B</t>
        </is>
      </c>
      <c r="H395">
        <f>INDEX(Limits!$B$2:$B$5,MATCH(E395,Limits!$A$2:$A$5,0))</f>
        <v/>
      </c>
      <c r="I395">
        <f>INDEX(Limits!$C$2:$C$5,MATCH(E395,Limits!$A$2:$A$5,0))</f>
        <v/>
      </c>
      <c r="J395">
        <f>IF(F395&gt;=I395,"Action",IF(F395&gt;=H395,"Alert","Pass"))</f>
        <v/>
      </c>
      <c r="K395" s="4">
        <f>DATE(YEAR(B395),MONTH(B395),1)</f>
        <v/>
      </c>
    </row>
    <row r="396">
      <c r="A396" t="inlineStr">
        <is>
          <t>EM000395</t>
        </is>
      </c>
      <c r="B396" s="7" t="n">
        <v>46055</v>
      </c>
      <c r="C396" t="inlineStr">
        <is>
          <t>CR-202</t>
        </is>
      </c>
      <c r="D396" t="inlineStr">
        <is>
          <t>ISO 8</t>
        </is>
      </c>
      <c r="E396" t="inlineStr">
        <is>
          <t>Compressed air</t>
        </is>
      </c>
      <c r="F396" t="n">
        <v>0</v>
      </c>
      <c r="G396" t="inlineStr">
        <is>
          <t>Tech A</t>
        </is>
      </c>
      <c r="H396">
        <f>INDEX(Limits!$B$2:$B$5,MATCH(E396,Limits!$A$2:$A$5,0))</f>
        <v/>
      </c>
      <c r="I396">
        <f>INDEX(Limits!$C$2:$C$5,MATCH(E396,Limits!$A$2:$A$5,0))</f>
        <v/>
      </c>
      <c r="J396">
        <f>IF(F396&gt;=I396,"Action",IF(F396&gt;=H396,"Alert","Pass"))</f>
        <v/>
      </c>
      <c r="K396" s="4">
        <f>DATE(YEAR(B396),MONTH(B396),1)</f>
        <v/>
      </c>
    </row>
    <row r="397">
      <c r="A397" t="inlineStr">
        <is>
          <t>EM000396</t>
        </is>
      </c>
      <c r="B397" s="7" t="n">
        <v>46055</v>
      </c>
      <c r="C397" t="inlineStr">
        <is>
          <t>CR-202</t>
        </is>
      </c>
      <c r="D397" t="inlineStr">
        <is>
          <t>ISO 8</t>
        </is>
      </c>
      <c r="E397" t="inlineStr">
        <is>
          <t>Personnel glove</t>
        </is>
      </c>
      <c r="F397" t="n">
        <v>0</v>
      </c>
      <c r="G397" t="inlineStr">
        <is>
          <t>Tech C</t>
        </is>
      </c>
      <c r="H397">
        <f>INDEX(Limits!$B$2:$B$5,MATCH(E397,Limits!$A$2:$A$5,0))</f>
        <v/>
      </c>
      <c r="I397">
        <f>INDEX(Limits!$C$2:$C$5,MATCH(E397,Limits!$A$2:$A$5,0))</f>
        <v/>
      </c>
      <c r="J397">
        <f>IF(F397&gt;=I397,"Action",IF(F397&gt;=H397,"Alert","Pass"))</f>
        <v/>
      </c>
      <c r="K397" s="4">
        <f>DATE(YEAR(B397),MONTH(B397),1)</f>
        <v/>
      </c>
    </row>
    <row r="398">
      <c r="A398" t="inlineStr">
        <is>
          <t>EM000397</t>
        </is>
      </c>
      <c r="B398" s="7" t="n">
        <v>46055</v>
      </c>
      <c r="C398" t="inlineStr">
        <is>
          <t>Gowning</t>
        </is>
      </c>
      <c r="D398" t="inlineStr">
        <is>
          <t>ISO 8</t>
        </is>
      </c>
      <c r="E398" t="inlineStr">
        <is>
          <t>Active air</t>
        </is>
      </c>
      <c r="F398" t="n">
        <v>0</v>
      </c>
      <c r="G398" t="inlineStr">
        <is>
          <t>Tech C</t>
        </is>
      </c>
      <c r="H398">
        <f>INDEX(Limits!$B$2:$B$5,MATCH(E398,Limits!$A$2:$A$5,0))</f>
        <v/>
      </c>
      <c r="I398">
        <f>INDEX(Limits!$C$2:$C$5,MATCH(E398,Limits!$A$2:$A$5,0))</f>
        <v/>
      </c>
      <c r="J398">
        <f>IF(F398&gt;=I398,"Action",IF(F398&gt;=H398,"Alert","Pass"))</f>
        <v/>
      </c>
      <c r="K398" s="4">
        <f>DATE(YEAR(B398),MONTH(B398),1)</f>
        <v/>
      </c>
    </row>
    <row r="399">
      <c r="A399" t="inlineStr">
        <is>
          <t>EM000398</t>
        </is>
      </c>
      <c r="B399" s="7" t="n">
        <v>46055</v>
      </c>
      <c r="C399" t="inlineStr">
        <is>
          <t>Gowning</t>
        </is>
      </c>
      <c r="D399" t="inlineStr">
        <is>
          <t>ISO 8</t>
        </is>
      </c>
      <c r="E399" t="inlineStr">
        <is>
          <t>Surface contact</t>
        </is>
      </c>
      <c r="F399" t="n">
        <v>0</v>
      </c>
      <c r="G399" t="inlineStr">
        <is>
          <t>Tech A</t>
        </is>
      </c>
      <c r="H399">
        <f>INDEX(Limits!$B$2:$B$5,MATCH(E399,Limits!$A$2:$A$5,0))</f>
        <v/>
      </c>
      <c r="I399">
        <f>INDEX(Limits!$C$2:$C$5,MATCH(E399,Limits!$A$2:$A$5,0))</f>
        <v/>
      </c>
      <c r="J399">
        <f>IF(F399&gt;=I399,"Action",IF(F399&gt;=H399,"Alert","Pass"))</f>
        <v/>
      </c>
      <c r="K399" s="4">
        <f>DATE(YEAR(B399),MONTH(B399),1)</f>
        <v/>
      </c>
    </row>
    <row r="400">
      <c r="A400" t="inlineStr">
        <is>
          <t>EM000399</t>
        </is>
      </c>
      <c r="B400" s="7" t="n">
        <v>46055</v>
      </c>
      <c r="C400" t="inlineStr">
        <is>
          <t>Gowning</t>
        </is>
      </c>
      <c r="D400" t="inlineStr">
        <is>
          <t>ISO 8</t>
        </is>
      </c>
      <c r="E400" t="inlineStr">
        <is>
          <t>Personnel glove</t>
        </is>
      </c>
      <c r="F400" t="n">
        <v>0</v>
      </c>
      <c r="G400" t="inlineStr">
        <is>
          <t>Tech D</t>
        </is>
      </c>
      <c r="H400">
        <f>INDEX(Limits!$B$2:$B$5,MATCH(E400,Limits!$A$2:$A$5,0))</f>
        <v/>
      </c>
      <c r="I400">
        <f>INDEX(Limits!$C$2:$C$5,MATCH(E400,Limits!$A$2:$A$5,0))</f>
        <v/>
      </c>
      <c r="J400">
        <f>IF(F400&gt;=I400,"Action",IF(F400&gt;=H400,"Alert","Pass"))</f>
        <v/>
      </c>
      <c r="K400" s="4">
        <f>DATE(YEAR(B400),MONTH(B400),1)</f>
        <v/>
      </c>
    </row>
    <row r="401">
      <c r="A401" t="inlineStr">
        <is>
          <t>EM000400</t>
        </is>
      </c>
      <c r="B401" s="7" t="n">
        <v>46056</v>
      </c>
      <c r="C401" t="inlineStr">
        <is>
          <t>CR-101</t>
        </is>
      </c>
      <c r="D401" t="inlineStr">
        <is>
          <t>ISO 7</t>
        </is>
      </c>
      <c r="E401" t="inlineStr">
        <is>
          <t>Active air</t>
        </is>
      </c>
      <c r="F401" t="n">
        <v>1</v>
      </c>
      <c r="G401" t="inlineStr">
        <is>
          <t>Tech C</t>
        </is>
      </c>
      <c r="H401">
        <f>INDEX(Limits!$B$2:$B$5,MATCH(E401,Limits!$A$2:$A$5,0))</f>
        <v/>
      </c>
      <c r="I401">
        <f>INDEX(Limits!$C$2:$C$5,MATCH(E401,Limits!$A$2:$A$5,0))</f>
        <v/>
      </c>
      <c r="J401">
        <f>IF(F401&gt;=I401,"Action",IF(F401&gt;=H401,"Alert","Pass"))</f>
        <v/>
      </c>
      <c r="K401" s="4">
        <f>DATE(YEAR(B401),MONTH(B401),1)</f>
        <v/>
      </c>
    </row>
    <row r="402">
      <c r="A402" t="inlineStr">
        <is>
          <t>EM000401</t>
        </is>
      </c>
      <c r="B402" s="7" t="n">
        <v>46056</v>
      </c>
      <c r="C402" t="inlineStr">
        <is>
          <t>CR-101</t>
        </is>
      </c>
      <c r="D402" t="inlineStr">
        <is>
          <t>ISO 7</t>
        </is>
      </c>
      <c r="E402" t="inlineStr">
        <is>
          <t>Surface contact</t>
        </is>
      </c>
      <c r="F402" t="n">
        <v>0</v>
      </c>
      <c r="G402" t="inlineStr">
        <is>
          <t>Tech C</t>
        </is>
      </c>
      <c r="H402">
        <f>INDEX(Limits!$B$2:$B$5,MATCH(E402,Limits!$A$2:$A$5,0))</f>
        <v/>
      </c>
      <c r="I402">
        <f>INDEX(Limits!$C$2:$C$5,MATCH(E402,Limits!$A$2:$A$5,0))</f>
        <v/>
      </c>
      <c r="J402">
        <f>IF(F402&gt;=I402,"Action",IF(F402&gt;=H402,"Alert","Pass"))</f>
        <v/>
      </c>
      <c r="K402" s="4">
        <f>DATE(YEAR(B402),MONTH(B402),1)</f>
        <v/>
      </c>
    </row>
    <row r="403">
      <c r="A403" t="inlineStr">
        <is>
          <t>EM000402</t>
        </is>
      </c>
      <c r="B403" s="7" t="n">
        <v>46056</v>
      </c>
      <c r="C403" t="inlineStr">
        <is>
          <t>CR-101</t>
        </is>
      </c>
      <c r="D403" t="inlineStr">
        <is>
          <t>ISO 7</t>
        </is>
      </c>
      <c r="E403" t="inlineStr">
        <is>
          <t>Compressed air</t>
        </is>
      </c>
      <c r="F403" t="n">
        <v>0</v>
      </c>
      <c r="G403" t="inlineStr">
        <is>
          <t>Tech A</t>
        </is>
      </c>
      <c r="H403">
        <f>INDEX(Limits!$B$2:$B$5,MATCH(E403,Limits!$A$2:$A$5,0))</f>
        <v/>
      </c>
      <c r="I403">
        <f>INDEX(Limits!$C$2:$C$5,MATCH(E403,Limits!$A$2:$A$5,0))</f>
        <v/>
      </c>
      <c r="J403">
        <f>IF(F403&gt;=I403,"Action",IF(F403&gt;=H403,"Alert","Pass"))</f>
        <v/>
      </c>
      <c r="K403" s="4">
        <f>DATE(YEAR(B403),MONTH(B403),1)</f>
        <v/>
      </c>
    </row>
    <row r="404">
      <c r="A404" t="inlineStr">
        <is>
          <t>EM000403</t>
        </is>
      </c>
      <c r="B404" s="7" t="n">
        <v>46056</v>
      </c>
      <c r="C404" t="inlineStr">
        <is>
          <t>CR-101</t>
        </is>
      </c>
      <c r="D404" t="inlineStr">
        <is>
          <t>ISO 7</t>
        </is>
      </c>
      <c r="E404" t="inlineStr">
        <is>
          <t>Personnel glove</t>
        </is>
      </c>
      <c r="F404" t="n">
        <v>0</v>
      </c>
      <c r="G404" t="inlineStr">
        <is>
          <t>Tech B</t>
        </is>
      </c>
      <c r="H404">
        <f>INDEX(Limits!$B$2:$B$5,MATCH(E404,Limits!$A$2:$A$5,0))</f>
        <v/>
      </c>
      <c r="I404">
        <f>INDEX(Limits!$C$2:$C$5,MATCH(E404,Limits!$A$2:$A$5,0))</f>
        <v/>
      </c>
      <c r="J404">
        <f>IF(F404&gt;=I404,"Action",IF(F404&gt;=H404,"Alert","Pass"))</f>
        <v/>
      </c>
      <c r="K404" s="4">
        <f>DATE(YEAR(B404),MONTH(B404),1)</f>
        <v/>
      </c>
    </row>
    <row r="405">
      <c r="A405" t="inlineStr">
        <is>
          <t>EM000404</t>
        </is>
      </c>
      <c r="B405" s="7" t="n">
        <v>46056</v>
      </c>
      <c r="C405" t="inlineStr">
        <is>
          <t>CR-102</t>
        </is>
      </c>
      <c r="D405" t="inlineStr">
        <is>
          <t>ISO 7</t>
        </is>
      </c>
      <c r="E405" t="inlineStr">
        <is>
          <t>Active air</t>
        </is>
      </c>
      <c r="F405" t="n">
        <v>0</v>
      </c>
      <c r="G405" t="inlineStr">
        <is>
          <t>Tech C</t>
        </is>
      </c>
      <c r="H405">
        <f>INDEX(Limits!$B$2:$B$5,MATCH(E405,Limits!$A$2:$A$5,0))</f>
        <v/>
      </c>
      <c r="I405">
        <f>INDEX(Limits!$C$2:$C$5,MATCH(E405,Limits!$A$2:$A$5,0))</f>
        <v/>
      </c>
      <c r="J405">
        <f>IF(F405&gt;=I405,"Action",IF(F405&gt;=H405,"Alert","Pass"))</f>
        <v/>
      </c>
      <c r="K405" s="4">
        <f>DATE(YEAR(B405),MONTH(B405),1)</f>
        <v/>
      </c>
    </row>
    <row r="406">
      <c r="A406" t="inlineStr">
        <is>
          <t>EM000405</t>
        </is>
      </c>
      <c r="B406" s="7" t="n">
        <v>46056</v>
      </c>
      <c r="C406" t="inlineStr">
        <is>
          <t>CR-102</t>
        </is>
      </c>
      <c r="D406" t="inlineStr">
        <is>
          <t>ISO 7</t>
        </is>
      </c>
      <c r="E406" t="inlineStr">
        <is>
          <t>Surface contact</t>
        </is>
      </c>
      <c r="F406" t="n">
        <v>0</v>
      </c>
      <c r="G406" t="inlineStr">
        <is>
          <t>Tech A</t>
        </is>
      </c>
      <c r="H406">
        <f>INDEX(Limits!$B$2:$B$5,MATCH(E406,Limits!$A$2:$A$5,0))</f>
        <v/>
      </c>
      <c r="I406">
        <f>INDEX(Limits!$C$2:$C$5,MATCH(E406,Limits!$A$2:$A$5,0))</f>
        <v/>
      </c>
      <c r="J406">
        <f>IF(F406&gt;=I406,"Action",IF(F406&gt;=H406,"Alert","Pass"))</f>
        <v/>
      </c>
      <c r="K406" s="4">
        <f>DATE(YEAR(B406),MONTH(B406),1)</f>
        <v/>
      </c>
    </row>
    <row r="407">
      <c r="A407" t="inlineStr">
        <is>
          <t>EM000406</t>
        </is>
      </c>
      <c r="B407" s="7" t="n">
        <v>46056</v>
      </c>
      <c r="C407" t="inlineStr">
        <is>
          <t>CR-102</t>
        </is>
      </c>
      <c r="D407" t="inlineStr">
        <is>
          <t>ISO 7</t>
        </is>
      </c>
      <c r="E407" t="inlineStr">
        <is>
          <t>Compressed air</t>
        </is>
      </c>
      <c r="F407" t="n">
        <v>0</v>
      </c>
      <c r="G407" t="inlineStr">
        <is>
          <t>Tech A</t>
        </is>
      </c>
      <c r="H407">
        <f>INDEX(Limits!$B$2:$B$5,MATCH(E407,Limits!$A$2:$A$5,0))</f>
        <v/>
      </c>
      <c r="I407">
        <f>INDEX(Limits!$C$2:$C$5,MATCH(E407,Limits!$A$2:$A$5,0))</f>
        <v/>
      </c>
      <c r="J407">
        <f>IF(F407&gt;=I407,"Action",IF(F407&gt;=H407,"Alert","Pass"))</f>
        <v/>
      </c>
      <c r="K407" s="4">
        <f>DATE(YEAR(B407),MONTH(B407),1)</f>
        <v/>
      </c>
    </row>
    <row r="408">
      <c r="A408" t="inlineStr">
        <is>
          <t>EM000407</t>
        </is>
      </c>
      <c r="B408" s="7" t="n">
        <v>46056</v>
      </c>
      <c r="C408" t="inlineStr">
        <is>
          <t>CR-102</t>
        </is>
      </c>
      <c r="D408" t="inlineStr">
        <is>
          <t>ISO 7</t>
        </is>
      </c>
      <c r="E408" t="inlineStr">
        <is>
          <t>Personnel glove</t>
        </is>
      </c>
      <c r="F408" t="n">
        <v>0</v>
      </c>
      <c r="G408" t="inlineStr">
        <is>
          <t>Tech D</t>
        </is>
      </c>
      <c r="H408">
        <f>INDEX(Limits!$B$2:$B$5,MATCH(E408,Limits!$A$2:$A$5,0))</f>
        <v/>
      </c>
      <c r="I408">
        <f>INDEX(Limits!$C$2:$C$5,MATCH(E408,Limits!$A$2:$A$5,0))</f>
        <v/>
      </c>
      <c r="J408">
        <f>IF(F408&gt;=I408,"Action",IF(F408&gt;=H408,"Alert","Pass"))</f>
        <v/>
      </c>
      <c r="K408" s="4">
        <f>DATE(YEAR(B408),MONTH(B408),1)</f>
        <v/>
      </c>
    </row>
    <row r="409">
      <c r="A409" t="inlineStr">
        <is>
          <t>EM000408</t>
        </is>
      </c>
      <c r="B409" s="7" t="n">
        <v>46056</v>
      </c>
      <c r="C409" t="inlineStr">
        <is>
          <t>CR-201</t>
        </is>
      </c>
      <c r="D409" t="inlineStr">
        <is>
          <t>ISO 8</t>
        </is>
      </c>
      <c r="E409" t="inlineStr">
        <is>
          <t>Active air</t>
        </is>
      </c>
      <c r="F409" t="n">
        <v>1</v>
      </c>
      <c r="G409" t="inlineStr">
        <is>
          <t>Tech C</t>
        </is>
      </c>
      <c r="H409">
        <f>INDEX(Limits!$B$2:$B$5,MATCH(E409,Limits!$A$2:$A$5,0))</f>
        <v/>
      </c>
      <c r="I409">
        <f>INDEX(Limits!$C$2:$C$5,MATCH(E409,Limits!$A$2:$A$5,0))</f>
        <v/>
      </c>
      <c r="J409">
        <f>IF(F409&gt;=I409,"Action",IF(F409&gt;=H409,"Alert","Pass"))</f>
        <v/>
      </c>
      <c r="K409" s="4">
        <f>DATE(YEAR(B409),MONTH(B409),1)</f>
        <v/>
      </c>
    </row>
    <row r="410">
      <c r="A410" t="inlineStr">
        <is>
          <t>EM000409</t>
        </is>
      </c>
      <c r="B410" s="7" t="n">
        <v>46056</v>
      </c>
      <c r="C410" t="inlineStr">
        <is>
          <t>CR-201</t>
        </is>
      </c>
      <c r="D410" t="inlineStr">
        <is>
          <t>ISO 8</t>
        </is>
      </c>
      <c r="E410" t="inlineStr">
        <is>
          <t>Surface contact</t>
        </is>
      </c>
      <c r="F410" t="n">
        <v>0</v>
      </c>
      <c r="G410" t="inlineStr">
        <is>
          <t>Tech A</t>
        </is>
      </c>
      <c r="H410">
        <f>INDEX(Limits!$B$2:$B$5,MATCH(E410,Limits!$A$2:$A$5,0))</f>
        <v/>
      </c>
      <c r="I410">
        <f>INDEX(Limits!$C$2:$C$5,MATCH(E410,Limits!$A$2:$A$5,0))</f>
        <v/>
      </c>
      <c r="J410">
        <f>IF(F410&gt;=I410,"Action",IF(F410&gt;=H410,"Alert","Pass"))</f>
        <v/>
      </c>
      <c r="K410" s="4">
        <f>DATE(YEAR(B410),MONTH(B410),1)</f>
        <v/>
      </c>
    </row>
    <row r="411">
      <c r="A411" t="inlineStr">
        <is>
          <t>EM000410</t>
        </is>
      </c>
      <c r="B411" s="7" t="n">
        <v>46056</v>
      </c>
      <c r="C411" t="inlineStr">
        <is>
          <t>CR-201</t>
        </is>
      </c>
      <c r="D411" t="inlineStr">
        <is>
          <t>ISO 8</t>
        </is>
      </c>
      <c r="E411" t="inlineStr">
        <is>
          <t>Compressed air</t>
        </is>
      </c>
      <c r="F411" t="n">
        <v>0</v>
      </c>
      <c r="G411" t="inlineStr">
        <is>
          <t>Tech C</t>
        </is>
      </c>
      <c r="H411">
        <f>INDEX(Limits!$B$2:$B$5,MATCH(E411,Limits!$A$2:$A$5,0))</f>
        <v/>
      </c>
      <c r="I411">
        <f>INDEX(Limits!$C$2:$C$5,MATCH(E411,Limits!$A$2:$A$5,0))</f>
        <v/>
      </c>
      <c r="J411">
        <f>IF(F411&gt;=I411,"Action",IF(F411&gt;=H411,"Alert","Pass"))</f>
        <v/>
      </c>
      <c r="K411" s="4">
        <f>DATE(YEAR(B411),MONTH(B411),1)</f>
        <v/>
      </c>
    </row>
    <row r="412">
      <c r="A412" t="inlineStr">
        <is>
          <t>EM000411</t>
        </is>
      </c>
      <c r="B412" s="7" t="n">
        <v>46056</v>
      </c>
      <c r="C412" t="inlineStr">
        <is>
          <t>CR-201</t>
        </is>
      </c>
      <c r="D412" t="inlineStr">
        <is>
          <t>ISO 8</t>
        </is>
      </c>
      <c r="E412" t="inlineStr">
        <is>
          <t>Personnel glove</t>
        </is>
      </c>
      <c r="F412" t="n">
        <v>0</v>
      </c>
      <c r="G412" t="inlineStr">
        <is>
          <t>Tech B</t>
        </is>
      </c>
      <c r="H412">
        <f>INDEX(Limits!$B$2:$B$5,MATCH(E412,Limits!$A$2:$A$5,0))</f>
        <v/>
      </c>
      <c r="I412">
        <f>INDEX(Limits!$C$2:$C$5,MATCH(E412,Limits!$A$2:$A$5,0))</f>
        <v/>
      </c>
      <c r="J412">
        <f>IF(F412&gt;=I412,"Action",IF(F412&gt;=H412,"Alert","Pass"))</f>
        <v/>
      </c>
      <c r="K412" s="4">
        <f>DATE(YEAR(B412),MONTH(B412),1)</f>
        <v/>
      </c>
    </row>
    <row r="413">
      <c r="A413" t="inlineStr">
        <is>
          <t>EM000412</t>
        </is>
      </c>
      <c r="B413" s="7" t="n">
        <v>46056</v>
      </c>
      <c r="C413" t="inlineStr">
        <is>
          <t>CR-202</t>
        </is>
      </c>
      <c r="D413" t="inlineStr">
        <is>
          <t>ISO 8</t>
        </is>
      </c>
      <c r="E413" t="inlineStr">
        <is>
          <t>Active air</t>
        </is>
      </c>
      <c r="F413" t="n">
        <v>1</v>
      </c>
      <c r="G413" t="inlineStr">
        <is>
          <t>Tech A</t>
        </is>
      </c>
      <c r="H413">
        <f>INDEX(Limits!$B$2:$B$5,MATCH(E413,Limits!$A$2:$A$5,0))</f>
        <v/>
      </c>
      <c r="I413">
        <f>INDEX(Limits!$C$2:$C$5,MATCH(E413,Limits!$A$2:$A$5,0))</f>
        <v/>
      </c>
      <c r="J413">
        <f>IF(F413&gt;=I413,"Action",IF(F413&gt;=H413,"Alert","Pass"))</f>
        <v/>
      </c>
      <c r="K413" s="4">
        <f>DATE(YEAR(B413),MONTH(B413),1)</f>
        <v/>
      </c>
    </row>
    <row r="414">
      <c r="A414" t="inlineStr">
        <is>
          <t>EM000413</t>
        </is>
      </c>
      <c r="B414" s="7" t="n">
        <v>46056</v>
      </c>
      <c r="C414" t="inlineStr">
        <is>
          <t>CR-202</t>
        </is>
      </c>
      <c r="D414" t="inlineStr">
        <is>
          <t>ISO 8</t>
        </is>
      </c>
      <c r="E414" t="inlineStr">
        <is>
          <t>Surface contact</t>
        </is>
      </c>
      <c r="F414" t="n">
        <v>3</v>
      </c>
      <c r="G414" t="inlineStr">
        <is>
          <t>Tech B</t>
        </is>
      </c>
      <c r="H414">
        <f>INDEX(Limits!$B$2:$B$5,MATCH(E414,Limits!$A$2:$A$5,0))</f>
        <v/>
      </c>
      <c r="I414">
        <f>INDEX(Limits!$C$2:$C$5,MATCH(E414,Limits!$A$2:$A$5,0))</f>
        <v/>
      </c>
      <c r="J414">
        <f>IF(F414&gt;=I414,"Action",IF(F414&gt;=H414,"Alert","Pass"))</f>
        <v/>
      </c>
      <c r="K414" s="4">
        <f>DATE(YEAR(B414),MONTH(B414),1)</f>
        <v/>
      </c>
    </row>
    <row r="415">
      <c r="A415" t="inlineStr">
        <is>
          <t>EM000414</t>
        </is>
      </c>
      <c r="B415" s="7" t="n">
        <v>46056</v>
      </c>
      <c r="C415" t="inlineStr">
        <is>
          <t>CR-202</t>
        </is>
      </c>
      <c r="D415" t="inlineStr">
        <is>
          <t>ISO 8</t>
        </is>
      </c>
      <c r="E415" t="inlineStr">
        <is>
          <t>Compressed air</t>
        </is>
      </c>
      <c r="F415" t="n">
        <v>0</v>
      </c>
      <c r="G415" t="inlineStr">
        <is>
          <t>Tech D</t>
        </is>
      </c>
      <c r="H415">
        <f>INDEX(Limits!$B$2:$B$5,MATCH(E415,Limits!$A$2:$A$5,0))</f>
        <v/>
      </c>
      <c r="I415">
        <f>INDEX(Limits!$C$2:$C$5,MATCH(E415,Limits!$A$2:$A$5,0))</f>
        <v/>
      </c>
      <c r="J415">
        <f>IF(F415&gt;=I415,"Action",IF(F415&gt;=H415,"Alert","Pass"))</f>
        <v/>
      </c>
      <c r="K415" s="4">
        <f>DATE(YEAR(B415),MONTH(B415),1)</f>
        <v/>
      </c>
    </row>
    <row r="416">
      <c r="A416" t="inlineStr">
        <is>
          <t>EM000415</t>
        </is>
      </c>
      <c r="B416" s="7" t="n">
        <v>46056</v>
      </c>
      <c r="C416" t="inlineStr">
        <is>
          <t>CR-202</t>
        </is>
      </c>
      <c r="D416" t="inlineStr">
        <is>
          <t>ISO 8</t>
        </is>
      </c>
      <c r="E416" t="inlineStr">
        <is>
          <t>Personnel glove</t>
        </is>
      </c>
      <c r="F416" t="n">
        <v>0</v>
      </c>
      <c r="G416" t="inlineStr">
        <is>
          <t>Tech B</t>
        </is>
      </c>
      <c r="H416">
        <f>INDEX(Limits!$B$2:$B$5,MATCH(E416,Limits!$A$2:$A$5,0))</f>
        <v/>
      </c>
      <c r="I416">
        <f>INDEX(Limits!$C$2:$C$5,MATCH(E416,Limits!$A$2:$A$5,0))</f>
        <v/>
      </c>
      <c r="J416">
        <f>IF(F416&gt;=I416,"Action",IF(F416&gt;=H416,"Alert","Pass"))</f>
        <v/>
      </c>
      <c r="K416" s="4">
        <f>DATE(YEAR(B416),MONTH(B416),1)</f>
        <v/>
      </c>
    </row>
    <row r="417">
      <c r="A417" t="inlineStr">
        <is>
          <t>EM000416</t>
        </is>
      </c>
      <c r="B417" s="7" t="n">
        <v>46056</v>
      </c>
      <c r="C417" t="inlineStr">
        <is>
          <t>Gowning</t>
        </is>
      </c>
      <c r="D417" t="inlineStr">
        <is>
          <t>ISO 8</t>
        </is>
      </c>
      <c r="E417" t="inlineStr">
        <is>
          <t>Active air</t>
        </is>
      </c>
      <c r="F417" t="n">
        <v>3</v>
      </c>
      <c r="G417" t="inlineStr">
        <is>
          <t>Tech B</t>
        </is>
      </c>
      <c r="H417">
        <f>INDEX(Limits!$B$2:$B$5,MATCH(E417,Limits!$A$2:$A$5,0))</f>
        <v/>
      </c>
      <c r="I417">
        <f>INDEX(Limits!$C$2:$C$5,MATCH(E417,Limits!$A$2:$A$5,0))</f>
        <v/>
      </c>
      <c r="J417">
        <f>IF(F417&gt;=I417,"Action",IF(F417&gt;=H417,"Alert","Pass"))</f>
        <v/>
      </c>
      <c r="K417" s="4">
        <f>DATE(YEAR(B417),MONTH(B417),1)</f>
        <v/>
      </c>
    </row>
    <row r="418">
      <c r="A418" t="inlineStr">
        <is>
          <t>EM000417</t>
        </is>
      </c>
      <c r="B418" s="7" t="n">
        <v>46056</v>
      </c>
      <c r="C418" t="inlineStr">
        <is>
          <t>Gowning</t>
        </is>
      </c>
      <c r="D418" t="inlineStr">
        <is>
          <t>ISO 8</t>
        </is>
      </c>
      <c r="E418" t="inlineStr">
        <is>
          <t>Surface contact</t>
        </is>
      </c>
      <c r="F418" t="n">
        <v>1</v>
      </c>
      <c r="G418" t="inlineStr">
        <is>
          <t>Tech C</t>
        </is>
      </c>
      <c r="H418">
        <f>INDEX(Limits!$B$2:$B$5,MATCH(E418,Limits!$A$2:$A$5,0))</f>
        <v/>
      </c>
      <c r="I418">
        <f>INDEX(Limits!$C$2:$C$5,MATCH(E418,Limits!$A$2:$A$5,0))</f>
        <v/>
      </c>
      <c r="J418">
        <f>IF(F418&gt;=I418,"Action",IF(F418&gt;=H418,"Alert","Pass"))</f>
        <v/>
      </c>
      <c r="K418" s="4">
        <f>DATE(YEAR(B418),MONTH(B418),1)</f>
        <v/>
      </c>
    </row>
    <row r="419">
      <c r="A419" t="inlineStr">
        <is>
          <t>EM000418</t>
        </is>
      </c>
      <c r="B419" s="7" t="n">
        <v>46056</v>
      </c>
      <c r="C419" t="inlineStr">
        <is>
          <t>Gowning</t>
        </is>
      </c>
      <c r="D419" t="inlineStr">
        <is>
          <t>ISO 8</t>
        </is>
      </c>
      <c r="E419" t="inlineStr">
        <is>
          <t>Personnel glove</t>
        </is>
      </c>
      <c r="F419" t="n">
        <v>0</v>
      </c>
      <c r="G419" t="inlineStr">
        <is>
          <t>Tech A</t>
        </is>
      </c>
      <c r="H419">
        <f>INDEX(Limits!$B$2:$B$5,MATCH(E419,Limits!$A$2:$A$5,0))</f>
        <v/>
      </c>
      <c r="I419">
        <f>INDEX(Limits!$C$2:$C$5,MATCH(E419,Limits!$A$2:$A$5,0))</f>
        <v/>
      </c>
      <c r="J419">
        <f>IF(F419&gt;=I419,"Action",IF(F419&gt;=H419,"Alert","Pass"))</f>
        <v/>
      </c>
      <c r="K419" s="4">
        <f>DATE(YEAR(B419),MONTH(B419),1)</f>
        <v/>
      </c>
    </row>
    <row r="420">
      <c r="A420" t="inlineStr">
        <is>
          <t>EM000419</t>
        </is>
      </c>
      <c r="B420" s="7" t="n">
        <v>46057</v>
      </c>
      <c r="C420" t="inlineStr">
        <is>
          <t>CR-101</t>
        </is>
      </c>
      <c r="D420" t="inlineStr">
        <is>
          <t>ISO 7</t>
        </is>
      </c>
      <c r="E420" t="inlineStr">
        <is>
          <t>Active air</t>
        </is>
      </c>
      <c r="F420" t="n">
        <v>1</v>
      </c>
      <c r="G420" t="inlineStr">
        <is>
          <t>Tech B</t>
        </is>
      </c>
      <c r="H420">
        <f>INDEX(Limits!$B$2:$B$5,MATCH(E420,Limits!$A$2:$A$5,0))</f>
        <v/>
      </c>
      <c r="I420">
        <f>INDEX(Limits!$C$2:$C$5,MATCH(E420,Limits!$A$2:$A$5,0))</f>
        <v/>
      </c>
      <c r="J420">
        <f>IF(F420&gt;=I420,"Action",IF(F420&gt;=H420,"Alert","Pass"))</f>
        <v/>
      </c>
      <c r="K420" s="4">
        <f>DATE(YEAR(B420),MONTH(B420),1)</f>
        <v/>
      </c>
    </row>
    <row r="421">
      <c r="A421" t="inlineStr">
        <is>
          <t>EM000420</t>
        </is>
      </c>
      <c r="B421" s="7" t="n">
        <v>46057</v>
      </c>
      <c r="C421" t="inlineStr">
        <is>
          <t>CR-101</t>
        </is>
      </c>
      <c r="D421" t="inlineStr">
        <is>
          <t>ISO 7</t>
        </is>
      </c>
      <c r="E421" t="inlineStr">
        <is>
          <t>Surface contact</t>
        </is>
      </c>
      <c r="F421" t="n">
        <v>0</v>
      </c>
      <c r="G421" t="inlineStr">
        <is>
          <t>Tech C</t>
        </is>
      </c>
      <c r="H421">
        <f>INDEX(Limits!$B$2:$B$5,MATCH(E421,Limits!$A$2:$A$5,0))</f>
        <v/>
      </c>
      <c r="I421">
        <f>INDEX(Limits!$C$2:$C$5,MATCH(E421,Limits!$A$2:$A$5,0))</f>
        <v/>
      </c>
      <c r="J421">
        <f>IF(F421&gt;=I421,"Action",IF(F421&gt;=H421,"Alert","Pass"))</f>
        <v/>
      </c>
      <c r="K421" s="4">
        <f>DATE(YEAR(B421),MONTH(B421),1)</f>
        <v/>
      </c>
    </row>
    <row r="422">
      <c r="A422" t="inlineStr">
        <is>
          <t>EM000421</t>
        </is>
      </c>
      <c r="B422" s="7" t="n">
        <v>46057</v>
      </c>
      <c r="C422" t="inlineStr">
        <is>
          <t>CR-101</t>
        </is>
      </c>
      <c r="D422" t="inlineStr">
        <is>
          <t>ISO 7</t>
        </is>
      </c>
      <c r="E422" t="inlineStr">
        <is>
          <t>Compressed air</t>
        </is>
      </c>
      <c r="F422" t="n">
        <v>0</v>
      </c>
      <c r="G422" t="inlineStr">
        <is>
          <t>Tech B</t>
        </is>
      </c>
      <c r="H422">
        <f>INDEX(Limits!$B$2:$B$5,MATCH(E422,Limits!$A$2:$A$5,0))</f>
        <v/>
      </c>
      <c r="I422">
        <f>INDEX(Limits!$C$2:$C$5,MATCH(E422,Limits!$A$2:$A$5,0))</f>
        <v/>
      </c>
      <c r="J422">
        <f>IF(F422&gt;=I422,"Action",IF(F422&gt;=H422,"Alert","Pass"))</f>
        <v/>
      </c>
      <c r="K422" s="4">
        <f>DATE(YEAR(B422),MONTH(B422),1)</f>
        <v/>
      </c>
    </row>
    <row r="423">
      <c r="A423" t="inlineStr">
        <is>
          <t>EM000422</t>
        </is>
      </c>
      <c r="B423" s="7" t="n">
        <v>46057</v>
      </c>
      <c r="C423" t="inlineStr">
        <is>
          <t>CR-101</t>
        </is>
      </c>
      <c r="D423" t="inlineStr">
        <is>
          <t>ISO 7</t>
        </is>
      </c>
      <c r="E423" t="inlineStr">
        <is>
          <t>Personnel glove</t>
        </is>
      </c>
      <c r="F423" t="n">
        <v>0</v>
      </c>
      <c r="G423" t="inlineStr">
        <is>
          <t>Tech C</t>
        </is>
      </c>
      <c r="H423">
        <f>INDEX(Limits!$B$2:$B$5,MATCH(E423,Limits!$A$2:$A$5,0))</f>
        <v/>
      </c>
      <c r="I423">
        <f>INDEX(Limits!$C$2:$C$5,MATCH(E423,Limits!$A$2:$A$5,0))</f>
        <v/>
      </c>
      <c r="J423">
        <f>IF(F423&gt;=I423,"Action",IF(F423&gt;=H423,"Alert","Pass"))</f>
        <v/>
      </c>
      <c r="K423" s="4">
        <f>DATE(YEAR(B423),MONTH(B423),1)</f>
        <v/>
      </c>
    </row>
    <row r="424">
      <c r="A424" t="inlineStr">
        <is>
          <t>EM000423</t>
        </is>
      </c>
      <c r="B424" s="7" t="n">
        <v>46057</v>
      </c>
      <c r="C424" t="inlineStr">
        <is>
          <t>CR-102</t>
        </is>
      </c>
      <c r="D424" t="inlineStr">
        <is>
          <t>ISO 7</t>
        </is>
      </c>
      <c r="E424" t="inlineStr">
        <is>
          <t>Active air</t>
        </is>
      </c>
      <c r="F424" t="n">
        <v>1</v>
      </c>
      <c r="G424" t="inlineStr">
        <is>
          <t>Tech C</t>
        </is>
      </c>
      <c r="H424">
        <f>INDEX(Limits!$B$2:$B$5,MATCH(E424,Limits!$A$2:$A$5,0))</f>
        <v/>
      </c>
      <c r="I424">
        <f>INDEX(Limits!$C$2:$C$5,MATCH(E424,Limits!$A$2:$A$5,0))</f>
        <v/>
      </c>
      <c r="J424">
        <f>IF(F424&gt;=I424,"Action",IF(F424&gt;=H424,"Alert","Pass"))</f>
        <v/>
      </c>
      <c r="K424" s="4">
        <f>DATE(YEAR(B424),MONTH(B424),1)</f>
        <v/>
      </c>
    </row>
    <row r="425">
      <c r="A425" t="inlineStr">
        <is>
          <t>EM000424</t>
        </is>
      </c>
      <c r="B425" s="7" t="n">
        <v>46057</v>
      </c>
      <c r="C425" t="inlineStr">
        <is>
          <t>CR-102</t>
        </is>
      </c>
      <c r="D425" t="inlineStr">
        <is>
          <t>ISO 7</t>
        </is>
      </c>
      <c r="E425" t="inlineStr">
        <is>
          <t>Surface contact</t>
        </is>
      </c>
      <c r="F425" t="n">
        <v>0</v>
      </c>
      <c r="G425" t="inlineStr">
        <is>
          <t>Tech D</t>
        </is>
      </c>
      <c r="H425">
        <f>INDEX(Limits!$B$2:$B$5,MATCH(E425,Limits!$A$2:$A$5,0))</f>
        <v/>
      </c>
      <c r="I425">
        <f>INDEX(Limits!$C$2:$C$5,MATCH(E425,Limits!$A$2:$A$5,0))</f>
        <v/>
      </c>
      <c r="J425">
        <f>IF(F425&gt;=I425,"Action",IF(F425&gt;=H425,"Alert","Pass"))</f>
        <v/>
      </c>
      <c r="K425" s="4">
        <f>DATE(YEAR(B425),MONTH(B425),1)</f>
        <v/>
      </c>
    </row>
    <row r="426">
      <c r="A426" t="inlineStr">
        <is>
          <t>EM000425</t>
        </is>
      </c>
      <c r="B426" s="7" t="n">
        <v>46057</v>
      </c>
      <c r="C426" t="inlineStr">
        <is>
          <t>CR-102</t>
        </is>
      </c>
      <c r="D426" t="inlineStr">
        <is>
          <t>ISO 7</t>
        </is>
      </c>
      <c r="E426" t="inlineStr">
        <is>
          <t>Compressed air</t>
        </is>
      </c>
      <c r="F426" t="n">
        <v>0</v>
      </c>
      <c r="G426" t="inlineStr">
        <is>
          <t>Tech C</t>
        </is>
      </c>
      <c r="H426">
        <f>INDEX(Limits!$B$2:$B$5,MATCH(E426,Limits!$A$2:$A$5,0))</f>
        <v/>
      </c>
      <c r="I426">
        <f>INDEX(Limits!$C$2:$C$5,MATCH(E426,Limits!$A$2:$A$5,0))</f>
        <v/>
      </c>
      <c r="J426">
        <f>IF(F426&gt;=I426,"Action",IF(F426&gt;=H426,"Alert","Pass"))</f>
        <v/>
      </c>
      <c r="K426" s="4">
        <f>DATE(YEAR(B426),MONTH(B426),1)</f>
        <v/>
      </c>
    </row>
    <row r="427">
      <c r="A427" t="inlineStr">
        <is>
          <t>EM000426</t>
        </is>
      </c>
      <c r="B427" s="7" t="n">
        <v>46057</v>
      </c>
      <c r="C427" t="inlineStr">
        <is>
          <t>CR-102</t>
        </is>
      </c>
      <c r="D427" t="inlineStr">
        <is>
          <t>ISO 7</t>
        </is>
      </c>
      <c r="E427" t="inlineStr">
        <is>
          <t>Personnel glove</t>
        </is>
      </c>
      <c r="F427" t="n">
        <v>0</v>
      </c>
      <c r="G427" t="inlineStr">
        <is>
          <t>Tech A</t>
        </is>
      </c>
      <c r="H427">
        <f>INDEX(Limits!$B$2:$B$5,MATCH(E427,Limits!$A$2:$A$5,0))</f>
        <v/>
      </c>
      <c r="I427">
        <f>INDEX(Limits!$C$2:$C$5,MATCH(E427,Limits!$A$2:$A$5,0))</f>
        <v/>
      </c>
      <c r="J427">
        <f>IF(F427&gt;=I427,"Action",IF(F427&gt;=H427,"Alert","Pass"))</f>
        <v/>
      </c>
      <c r="K427" s="4">
        <f>DATE(YEAR(B427),MONTH(B427),1)</f>
        <v/>
      </c>
    </row>
    <row r="428">
      <c r="A428" t="inlineStr">
        <is>
          <t>EM000427</t>
        </is>
      </c>
      <c r="B428" s="7" t="n">
        <v>46057</v>
      </c>
      <c r="C428" t="inlineStr">
        <is>
          <t>CR-201</t>
        </is>
      </c>
      <c r="D428" t="inlineStr">
        <is>
          <t>ISO 8</t>
        </is>
      </c>
      <c r="E428" t="inlineStr">
        <is>
          <t>Active air</t>
        </is>
      </c>
      <c r="F428" t="n">
        <v>2</v>
      </c>
      <c r="G428" t="inlineStr">
        <is>
          <t>Tech A</t>
        </is>
      </c>
      <c r="H428">
        <f>INDEX(Limits!$B$2:$B$5,MATCH(E428,Limits!$A$2:$A$5,0))</f>
        <v/>
      </c>
      <c r="I428">
        <f>INDEX(Limits!$C$2:$C$5,MATCH(E428,Limits!$A$2:$A$5,0))</f>
        <v/>
      </c>
      <c r="J428">
        <f>IF(F428&gt;=I428,"Action",IF(F428&gt;=H428,"Alert","Pass"))</f>
        <v/>
      </c>
      <c r="K428" s="4">
        <f>DATE(YEAR(B428),MONTH(B428),1)</f>
        <v/>
      </c>
    </row>
    <row r="429">
      <c r="A429" t="inlineStr">
        <is>
          <t>EM000428</t>
        </is>
      </c>
      <c r="B429" s="7" t="n">
        <v>46057</v>
      </c>
      <c r="C429" t="inlineStr">
        <is>
          <t>CR-201</t>
        </is>
      </c>
      <c r="D429" t="inlineStr">
        <is>
          <t>ISO 8</t>
        </is>
      </c>
      <c r="E429" t="inlineStr">
        <is>
          <t>Surface contact</t>
        </is>
      </c>
      <c r="F429" t="n">
        <v>0</v>
      </c>
      <c r="G429" t="inlineStr">
        <is>
          <t>Tech B</t>
        </is>
      </c>
      <c r="H429">
        <f>INDEX(Limits!$B$2:$B$5,MATCH(E429,Limits!$A$2:$A$5,0))</f>
        <v/>
      </c>
      <c r="I429">
        <f>INDEX(Limits!$C$2:$C$5,MATCH(E429,Limits!$A$2:$A$5,0))</f>
        <v/>
      </c>
      <c r="J429">
        <f>IF(F429&gt;=I429,"Action",IF(F429&gt;=H429,"Alert","Pass"))</f>
        <v/>
      </c>
      <c r="K429" s="4">
        <f>DATE(YEAR(B429),MONTH(B429),1)</f>
        <v/>
      </c>
    </row>
    <row r="430">
      <c r="A430" t="inlineStr">
        <is>
          <t>EM000429</t>
        </is>
      </c>
      <c r="B430" s="7" t="n">
        <v>46057</v>
      </c>
      <c r="C430" t="inlineStr">
        <is>
          <t>CR-201</t>
        </is>
      </c>
      <c r="D430" t="inlineStr">
        <is>
          <t>ISO 8</t>
        </is>
      </c>
      <c r="E430" t="inlineStr">
        <is>
          <t>Compressed air</t>
        </is>
      </c>
      <c r="F430" t="n">
        <v>0</v>
      </c>
      <c r="G430" t="inlineStr">
        <is>
          <t>Tech D</t>
        </is>
      </c>
      <c r="H430">
        <f>INDEX(Limits!$B$2:$B$5,MATCH(E430,Limits!$A$2:$A$5,0))</f>
        <v/>
      </c>
      <c r="I430">
        <f>INDEX(Limits!$C$2:$C$5,MATCH(E430,Limits!$A$2:$A$5,0))</f>
        <v/>
      </c>
      <c r="J430">
        <f>IF(F430&gt;=I430,"Action",IF(F430&gt;=H430,"Alert","Pass"))</f>
        <v/>
      </c>
      <c r="K430" s="4">
        <f>DATE(YEAR(B430),MONTH(B430),1)</f>
        <v/>
      </c>
    </row>
    <row r="431">
      <c r="A431" t="inlineStr">
        <is>
          <t>EM000430</t>
        </is>
      </c>
      <c r="B431" s="7" t="n">
        <v>46057</v>
      </c>
      <c r="C431" t="inlineStr">
        <is>
          <t>CR-201</t>
        </is>
      </c>
      <c r="D431" t="inlineStr">
        <is>
          <t>ISO 8</t>
        </is>
      </c>
      <c r="E431" t="inlineStr">
        <is>
          <t>Personnel glove</t>
        </is>
      </c>
      <c r="F431" t="n">
        <v>0</v>
      </c>
      <c r="G431" t="inlineStr">
        <is>
          <t>Tech D</t>
        </is>
      </c>
      <c r="H431">
        <f>INDEX(Limits!$B$2:$B$5,MATCH(E431,Limits!$A$2:$A$5,0))</f>
        <v/>
      </c>
      <c r="I431">
        <f>INDEX(Limits!$C$2:$C$5,MATCH(E431,Limits!$A$2:$A$5,0))</f>
        <v/>
      </c>
      <c r="J431">
        <f>IF(F431&gt;=I431,"Action",IF(F431&gt;=H431,"Alert","Pass"))</f>
        <v/>
      </c>
      <c r="K431" s="4">
        <f>DATE(YEAR(B431),MONTH(B431),1)</f>
        <v/>
      </c>
    </row>
    <row r="432">
      <c r="A432" t="inlineStr">
        <is>
          <t>EM000431</t>
        </is>
      </c>
      <c r="B432" s="7" t="n">
        <v>46057</v>
      </c>
      <c r="C432" t="inlineStr">
        <is>
          <t>CR-202</t>
        </is>
      </c>
      <c r="D432" t="inlineStr">
        <is>
          <t>ISO 8</t>
        </is>
      </c>
      <c r="E432" t="inlineStr">
        <is>
          <t>Active air</t>
        </is>
      </c>
      <c r="F432" t="n">
        <v>1</v>
      </c>
      <c r="G432" t="inlineStr">
        <is>
          <t>Tech D</t>
        </is>
      </c>
      <c r="H432">
        <f>INDEX(Limits!$B$2:$B$5,MATCH(E432,Limits!$A$2:$A$5,0))</f>
        <v/>
      </c>
      <c r="I432">
        <f>INDEX(Limits!$C$2:$C$5,MATCH(E432,Limits!$A$2:$A$5,0))</f>
        <v/>
      </c>
      <c r="J432">
        <f>IF(F432&gt;=I432,"Action",IF(F432&gt;=H432,"Alert","Pass"))</f>
        <v/>
      </c>
      <c r="K432" s="4">
        <f>DATE(YEAR(B432),MONTH(B432),1)</f>
        <v/>
      </c>
    </row>
    <row r="433">
      <c r="A433" t="inlineStr">
        <is>
          <t>EM000432</t>
        </is>
      </c>
      <c r="B433" s="7" t="n">
        <v>46057</v>
      </c>
      <c r="C433" t="inlineStr">
        <is>
          <t>CR-202</t>
        </is>
      </c>
      <c r="D433" t="inlineStr">
        <is>
          <t>ISO 8</t>
        </is>
      </c>
      <c r="E433" t="inlineStr">
        <is>
          <t>Surface contact</t>
        </is>
      </c>
      <c r="F433" t="n">
        <v>2</v>
      </c>
      <c r="G433" t="inlineStr">
        <is>
          <t>Tech C</t>
        </is>
      </c>
      <c r="H433">
        <f>INDEX(Limits!$B$2:$B$5,MATCH(E433,Limits!$A$2:$A$5,0))</f>
        <v/>
      </c>
      <c r="I433">
        <f>INDEX(Limits!$C$2:$C$5,MATCH(E433,Limits!$A$2:$A$5,0))</f>
        <v/>
      </c>
      <c r="J433">
        <f>IF(F433&gt;=I433,"Action",IF(F433&gt;=H433,"Alert","Pass"))</f>
        <v/>
      </c>
      <c r="K433" s="4">
        <f>DATE(YEAR(B433),MONTH(B433),1)</f>
        <v/>
      </c>
    </row>
    <row r="434">
      <c r="A434" t="inlineStr">
        <is>
          <t>EM000433</t>
        </is>
      </c>
      <c r="B434" s="7" t="n">
        <v>46057</v>
      </c>
      <c r="C434" t="inlineStr">
        <is>
          <t>CR-202</t>
        </is>
      </c>
      <c r="D434" t="inlineStr">
        <is>
          <t>ISO 8</t>
        </is>
      </c>
      <c r="E434" t="inlineStr">
        <is>
          <t>Compressed air</t>
        </is>
      </c>
      <c r="F434" t="n">
        <v>0</v>
      </c>
      <c r="G434" t="inlineStr">
        <is>
          <t>Tech A</t>
        </is>
      </c>
      <c r="H434">
        <f>INDEX(Limits!$B$2:$B$5,MATCH(E434,Limits!$A$2:$A$5,0))</f>
        <v/>
      </c>
      <c r="I434">
        <f>INDEX(Limits!$C$2:$C$5,MATCH(E434,Limits!$A$2:$A$5,0))</f>
        <v/>
      </c>
      <c r="J434">
        <f>IF(F434&gt;=I434,"Action",IF(F434&gt;=H434,"Alert","Pass"))</f>
        <v/>
      </c>
      <c r="K434" s="4">
        <f>DATE(YEAR(B434),MONTH(B434),1)</f>
        <v/>
      </c>
    </row>
    <row r="435">
      <c r="A435" t="inlineStr">
        <is>
          <t>EM000434</t>
        </is>
      </c>
      <c r="B435" s="7" t="n">
        <v>46057</v>
      </c>
      <c r="C435" t="inlineStr">
        <is>
          <t>CR-202</t>
        </is>
      </c>
      <c r="D435" t="inlineStr">
        <is>
          <t>ISO 8</t>
        </is>
      </c>
      <c r="E435" t="inlineStr">
        <is>
          <t>Personnel glove</t>
        </is>
      </c>
      <c r="F435" t="n">
        <v>0</v>
      </c>
      <c r="G435" t="inlineStr">
        <is>
          <t>Tech A</t>
        </is>
      </c>
      <c r="H435">
        <f>INDEX(Limits!$B$2:$B$5,MATCH(E435,Limits!$A$2:$A$5,0))</f>
        <v/>
      </c>
      <c r="I435">
        <f>INDEX(Limits!$C$2:$C$5,MATCH(E435,Limits!$A$2:$A$5,0))</f>
        <v/>
      </c>
      <c r="J435">
        <f>IF(F435&gt;=I435,"Action",IF(F435&gt;=H435,"Alert","Pass"))</f>
        <v/>
      </c>
      <c r="K435" s="4">
        <f>DATE(YEAR(B435),MONTH(B435),1)</f>
        <v/>
      </c>
    </row>
    <row r="436">
      <c r="A436" t="inlineStr">
        <is>
          <t>EM000435</t>
        </is>
      </c>
      <c r="B436" s="7" t="n">
        <v>46057</v>
      </c>
      <c r="C436" t="inlineStr">
        <is>
          <t>Gowning</t>
        </is>
      </c>
      <c r="D436" t="inlineStr">
        <is>
          <t>ISO 8</t>
        </is>
      </c>
      <c r="E436" t="inlineStr">
        <is>
          <t>Active air</t>
        </is>
      </c>
      <c r="F436" t="n">
        <v>2</v>
      </c>
      <c r="G436" t="inlineStr">
        <is>
          <t>Tech C</t>
        </is>
      </c>
      <c r="H436">
        <f>INDEX(Limits!$B$2:$B$5,MATCH(E436,Limits!$A$2:$A$5,0))</f>
        <v/>
      </c>
      <c r="I436">
        <f>INDEX(Limits!$C$2:$C$5,MATCH(E436,Limits!$A$2:$A$5,0))</f>
        <v/>
      </c>
      <c r="J436">
        <f>IF(F436&gt;=I436,"Action",IF(F436&gt;=H436,"Alert","Pass"))</f>
        <v/>
      </c>
      <c r="K436" s="4">
        <f>DATE(YEAR(B436),MONTH(B436),1)</f>
        <v/>
      </c>
    </row>
    <row r="437">
      <c r="A437" t="inlineStr">
        <is>
          <t>EM000436</t>
        </is>
      </c>
      <c r="B437" s="7" t="n">
        <v>46057</v>
      </c>
      <c r="C437" t="inlineStr">
        <is>
          <t>Gowning</t>
        </is>
      </c>
      <c r="D437" t="inlineStr">
        <is>
          <t>ISO 8</t>
        </is>
      </c>
      <c r="E437" t="inlineStr">
        <is>
          <t>Surface contact</t>
        </is>
      </c>
      <c r="F437" t="n">
        <v>0</v>
      </c>
      <c r="G437" t="inlineStr">
        <is>
          <t>Tech B</t>
        </is>
      </c>
      <c r="H437">
        <f>INDEX(Limits!$B$2:$B$5,MATCH(E437,Limits!$A$2:$A$5,0))</f>
        <v/>
      </c>
      <c r="I437">
        <f>INDEX(Limits!$C$2:$C$5,MATCH(E437,Limits!$A$2:$A$5,0))</f>
        <v/>
      </c>
      <c r="J437">
        <f>IF(F437&gt;=I437,"Action",IF(F437&gt;=H437,"Alert","Pass"))</f>
        <v/>
      </c>
      <c r="K437" s="4">
        <f>DATE(YEAR(B437),MONTH(B437),1)</f>
        <v/>
      </c>
    </row>
    <row r="438">
      <c r="A438" t="inlineStr">
        <is>
          <t>EM000437</t>
        </is>
      </c>
      <c r="B438" s="7" t="n">
        <v>46057</v>
      </c>
      <c r="C438" t="inlineStr">
        <is>
          <t>Gowning</t>
        </is>
      </c>
      <c r="D438" t="inlineStr">
        <is>
          <t>ISO 8</t>
        </is>
      </c>
      <c r="E438" t="inlineStr">
        <is>
          <t>Personnel glove</t>
        </is>
      </c>
      <c r="F438" t="n">
        <v>0</v>
      </c>
      <c r="G438" t="inlineStr">
        <is>
          <t>Tech C</t>
        </is>
      </c>
      <c r="H438">
        <f>INDEX(Limits!$B$2:$B$5,MATCH(E438,Limits!$A$2:$A$5,0))</f>
        <v/>
      </c>
      <c r="I438">
        <f>INDEX(Limits!$C$2:$C$5,MATCH(E438,Limits!$A$2:$A$5,0))</f>
        <v/>
      </c>
      <c r="J438">
        <f>IF(F438&gt;=I438,"Action",IF(F438&gt;=H438,"Alert","Pass"))</f>
        <v/>
      </c>
      <c r="K438" s="4">
        <f>DATE(YEAR(B438),MONTH(B438),1)</f>
        <v/>
      </c>
    </row>
    <row r="439">
      <c r="A439" t="inlineStr">
        <is>
          <t>EM000438</t>
        </is>
      </c>
      <c r="B439" s="7" t="n">
        <v>46058</v>
      </c>
      <c r="C439" t="inlineStr">
        <is>
          <t>CR-101</t>
        </is>
      </c>
      <c r="D439" t="inlineStr">
        <is>
          <t>ISO 7</t>
        </is>
      </c>
      <c r="E439" t="inlineStr">
        <is>
          <t>Active air</t>
        </is>
      </c>
      <c r="F439" t="n">
        <v>3</v>
      </c>
      <c r="G439" t="inlineStr">
        <is>
          <t>Tech B</t>
        </is>
      </c>
      <c r="H439">
        <f>INDEX(Limits!$B$2:$B$5,MATCH(E439,Limits!$A$2:$A$5,0))</f>
        <v/>
      </c>
      <c r="I439">
        <f>INDEX(Limits!$C$2:$C$5,MATCH(E439,Limits!$A$2:$A$5,0))</f>
        <v/>
      </c>
      <c r="J439">
        <f>IF(F439&gt;=I439,"Action",IF(F439&gt;=H439,"Alert","Pass"))</f>
        <v/>
      </c>
      <c r="K439" s="4">
        <f>DATE(YEAR(B439),MONTH(B439),1)</f>
        <v/>
      </c>
    </row>
    <row r="440">
      <c r="A440" t="inlineStr">
        <is>
          <t>EM000439</t>
        </is>
      </c>
      <c r="B440" s="7" t="n">
        <v>46058</v>
      </c>
      <c r="C440" t="inlineStr">
        <is>
          <t>CR-101</t>
        </is>
      </c>
      <c r="D440" t="inlineStr">
        <is>
          <t>ISO 7</t>
        </is>
      </c>
      <c r="E440" t="inlineStr">
        <is>
          <t>Surface contact</t>
        </is>
      </c>
      <c r="F440" t="n">
        <v>0</v>
      </c>
      <c r="G440" t="inlineStr">
        <is>
          <t>Tech C</t>
        </is>
      </c>
      <c r="H440">
        <f>INDEX(Limits!$B$2:$B$5,MATCH(E440,Limits!$A$2:$A$5,0))</f>
        <v/>
      </c>
      <c r="I440">
        <f>INDEX(Limits!$C$2:$C$5,MATCH(E440,Limits!$A$2:$A$5,0))</f>
        <v/>
      </c>
      <c r="J440">
        <f>IF(F440&gt;=I440,"Action",IF(F440&gt;=H440,"Alert","Pass"))</f>
        <v/>
      </c>
      <c r="K440" s="4">
        <f>DATE(YEAR(B440),MONTH(B440),1)</f>
        <v/>
      </c>
    </row>
    <row r="441">
      <c r="A441" t="inlineStr">
        <is>
          <t>EM000440</t>
        </is>
      </c>
      <c r="B441" s="7" t="n">
        <v>46058</v>
      </c>
      <c r="C441" t="inlineStr">
        <is>
          <t>CR-101</t>
        </is>
      </c>
      <c r="D441" t="inlineStr">
        <is>
          <t>ISO 7</t>
        </is>
      </c>
      <c r="E441" t="inlineStr">
        <is>
          <t>Compressed air</t>
        </is>
      </c>
      <c r="F441" t="n">
        <v>0</v>
      </c>
      <c r="G441" t="inlineStr">
        <is>
          <t>Tech A</t>
        </is>
      </c>
      <c r="H441">
        <f>INDEX(Limits!$B$2:$B$5,MATCH(E441,Limits!$A$2:$A$5,0))</f>
        <v/>
      </c>
      <c r="I441">
        <f>INDEX(Limits!$C$2:$C$5,MATCH(E441,Limits!$A$2:$A$5,0))</f>
        <v/>
      </c>
      <c r="J441">
        <f>IF(F441&gt;=I441,"Action",IF(F441&gt;=H441,"Alert","Pass"))</f>
        <v/>
      </c>
      <c r="K441" s="4">
        <f>DATE(YEAR(B441),MONTH(B441),1)</f>
        <v/>
      </c>
    </row>
    <row r="442">
      <c r="A442" t="inlineStr">
        <is>
          <t>EM000441</t>
        </is>
      </c>
      <c r="B442" s="7" t="n">
        <v>46058</v>
      </c>
      <c r="C442" t="inlineStr">
        <is>
          <t>CR-101</t>
        </is>
      </c>
      <c r="D442" t="inlineStr">
        <is>
          <t>ISO 7</t>
        </is>
      </c>
      <c r="E442" t="inlineStr">
        <is>
          <t>Personnel glove</t>
        </is>
      </c>
      <c r="F442" t="n">
        <v>0</v>
      </c>
      <c r="G442" t="inlineStr">
        <is>
          <t>Tech A</t>
        </is>
      </c>
      <c r="H442">
        <f>INDEX(Limits!$B$2:$B$5,MATCH(E442,Limits!$A$2:$A$5,0))</f>
        <v/>
      </c>
      <c r="I442">
        <f>INDEX(Limits!$C$2:$C$5,MATCH(E442,Limits!$A$2:$A$5,0))</f>
        <v/>
      </c>
      <c r="J442">
        <f>IF(F442&gt;=I442,"Action",IF(F442&gt;=H442,"Alert","Pass"))</f>
        <v/>
      </c>
      <c r="K442" s="4">
        <f>DATE(YEAR(B442),MONTH(B442),1)</f>
        <v/>
      </c>
    </row>
    <row r="443">
      <c r="A443" t="inlineStr">
        <is>
          <t>EM000442</t>
        </is>
      </c>
      <c r="B443" s="7" t="n">
        <v>46058</v>
      </c>
      <c r="C443" t="inlineStr">
        <is>
          <t>CR-102</t>
        </is>
      </c>
      <c r="D443" t="inlineStr">
        <is>
          <t>ISO 7</t>
        </is>
      </c>
      <c r="E443" t="inlineStr">
        <is>
          <t>Active air</t>
        </is>
      </c>
      <c r="F443" t="n">
        <v>0</v>
      </c>
      <c r="G443" t="inlineStr">
        <is>
          <t>Tech C</t>
        </is>
      </c>
      <c r="H443">
        <f>INDEX(Limits!$B$2:$B$5,MATCH(E443,Limits!$A$2:$A$5,0))</f>
        <v/>
      </c>
      <c r="I443">
        <f>INDEX(Limits!$C$2:$C$5,MATCH(E443,Limits!$A$2:$A$5,0))</f>
        <v/>
      </c>
      <c r="J443">
        <f>IF(F443&gt;=I443,"Action",IF(F443&gt;=H443,"Alert","Pass"))</f>
        <v/>
      </c>
      <c r="K443" s="4">
        <f>DATE(YEAR(B443),MONTH(B443),1)</f>
        <v/>
      </c>
    </row>
    <row r="444">
      <c r="A444" t="inlineStr">
        <is>
          <t>EM000443</t>
        </is>
      </c>
      <c r="B444" s="7" t="n">
        <v>46058</v>
      </c>
      <c r="C444" t="inlineStr">
        <is>
          <t>CR-102</t>
        </is>
      </c>
      <c r="D444" t="inlineStr">
        <is>
          <t>ISO 7</t>
        </is>
      </c>
      <c r="E444" t="inlineStr">
        <is>
          <t>Surface contact</t>
        </is>
      </c>
      <c r="F444" t="n">
        <v>0</v>
      </c>
      <c r="G444" t="inlineStr">
        <is>
          <t>Tech C</t>
        </is>
      </c>
      <c r="H444">
        <f>INDEX(Limits!$B$2:$B$5,MATCH(E444,Limits!$A$2:$A$5,0))</f>
        <v/>
      </c>
      <c r="I444">
        <f>INDEX(Limits!$C$2:$C$5,MATCH(E444,Limits!$A$2:$A$5,0))</f>
        <v/>
      </c>
      <c r="J444">
        <f>IF(F444&gt;=I444,"Action",IF(F444&gt;=H444,"Alert","Pass"))</f>
        <v/>
      </c>
      <c r="K444" s="4">
        <f>DATE(YEAR(B444),MONTH(B444),1)</f>
        <v/>
      </c>
    </row>
    <row r="445">
      <c r="A445" t="inlineStr">
        <is>
          <t>EM000444</t>
        </is>
      </c>
      <c r="B445" s="7" t="n">
        <v>46058</v>
      </c>
      <c r="C445" t="inlineStr">
        <is>
          <t>CR-102</t>
        </is>
      </c>
      <c r="D445" t="inlineStr">
        <is>
          <t>ISO 7</t>
        </is>
      </c>
      <c r="E445" t="inlineStr">
        <is>
          <t>Compressed air</t>
        </is>
      </c>
      <c r="F445" t="n">
        <v>0</v>
      </c>
      <c r="G445" t="inlineStr">
        <is>
          <t>Tech B</t>
        </is>
      </c>
      <c r="H445">
        <f>INDEX(Limits!$B$2:$B$5,MATCH(E445,Limits!$A$2:$A$5,0))</f>
        <v/>
      </c>
      <c r="I445">
        <f>INDEX(Limits!$C$2:$C$5,MATCH(E445,Limits!$A$2:$A$5,0))</f>
        <v/>
      </c>
      <c r="J445">
        <f>IF(F445&gt;=I445,"Action",IF(F445&gt;=H445,"Alert","Pass"))</f>
        <v/>
      </c>
      <c r="K445" s="4">
        <f>DATE(YEAR(B445),MONTH(B445),1)</f>
        <v/>
      </c>
    </row>
    <row r="446">
      <c r="A446" t="inlineStr">
        <is>
          <t>EM000445</t>
        </is>
      </c>
      <c r="B446" s="7" t="n">
        <v>46058</v>
      </c>
      <c r="C446" t="inlineStr">
        <is>
          <t>CR-102</t>
        </is>
      </c>
      <c r="D446" t="inlineStr">
        <is>
          <t>ISO 7</t>
        </is>
      </c>
      <c r="E446" t="inlineStr">
        <is>
          <t>Personnel glove</t>
        </is>
      </c>
      <c r="F446" t="n">
        <v>0</v>
      </c>
      <c r="G446" t="inlineStr">
        <is>
          <t>Tech D</t>
        </is>
      </c>
      <c r="H446">
        <f>INDEX(Limits!$B$2:$B$5,MATCH(E446,Limits!$A$2:$A$5,0))</f>
        <v/>
      </c>
      <c r="I446">
        <f>INDEX(Limits!$C$2:$C$5,MATCH(E446,Limits!$A$2:$A$5,0))</f>
        <v/>
      </c>
      <c r="J446">
        <f>IF(F446&gt;=I446,"Action",IF(F446&gt;=H446,"Alert","Pass"))</f>
        <v/>
      </c>
      <c r="K446" s="4">
        <f>DATE(YEAR(B446),MONTH(B446),1)</f>
        <v/>
      </c>
    </row>
    <row r="447">
      <c r="A447" t="inlineStr">
        <is>
          <t>EM000446</t>
        </is>
      </c>
      <c r="B447" s="7" t="n">
        <v>46058</v>
      </c>
      <c r="C447" t="inlineStr">
        <is>
          <t>CR-201</t>
        </is>
      </c>
      <c r="D447" t="inlineStr">
        <is>
          <t>ISO 8</t>
        </is>
      </c>
      <c r="E447" t="inlineStr">
        <is>
          <t>Active air</t>
        </is>
      </c>
      <c r="F447" t="n">
        <v>2</v>
      </c>
      <c r="G447" t="inlineStr">
        <is>
          <t>Tech A</t>
        </is>
      </c>
      <c r="H447">
        <f>INDEX(Limits!$B$2:$B$5,MATCH(E447,Limits!$A$2:$A$5,0))</f>
        <v/>
      </c>
      <c r="I447">
        <f>INDEX(Limits!$C$2:$C$5,MATCH(E447,Limits!$A$2:$A$5,0))</f>
        <v/>
      </c>
      <c r="J447">
        <f>IF(F447&gt;=I447,"Action",IF(F447&gt;=H447,"Alert","Pass"))</f>
        <v/>
      </c>
      <c r="K447" s="4">
        <f>DATE(YEAR(B447),MONTH(B447),1)</f>
        <v/>
      </c>
    </row>
    <row r="448">
      <c r="A448" t="inlineStr">
        <is>
          <t>EM000447</t>
        </is>
      </c>
      <c r="B448" s="7" t="n">
        <v>46058</v>
      </c>
      <c r="C448" t="inlineStr">
        <is>
          <t>CR-201</t>
        </is>
      </c>
      <c r="D448" t="inlineStr">
        <is>
          <t>ISO 8</t>
        </is>
      </c>
      <c r="E448" t="inlineStr">
        <is>
          <t>Surface contact</t>
        </is>
      </c>
      <c r="F448" t="n">
        <v>0</v>
      </c>
      <c r="G448" t="inlineStr">
        <is>
          <t>Tech B</t>
        </is>
      </c>
      <c r="H448">
        <f>INDEX(Limits!$B$2:$B$5,MATCH(E448,Limits!$A$2:$A$5,0))</f>
        <v/>
      </c>
      <c r="I448">
        <f>INDEX(Limits!$C$2:$C$5,MATCH(E448,Limits!$A$2:$A$5,0))</f>
        <v/>
      </c>
      <c r="J448">
        <f>IF(F448&gt;=I448,"Action",IF(F448&gt;=H448,"Alert","Pass"))</f>
        <v/>
      </c>
      <c r="K448" s="4">
        <f>DATE(YEAR(B448),MONTH(B448),1)</f>
        <v/>
      </c>
    </row>
    <row r="449">
      <c r="A449" t="inlineStr">
        <is>
          <t>EM000448</t>
        </is>
      </c>
      <c r="B449" s="7" t="n">
        <v>46058</v>
      </c>
      <c r="C449" t="inlineStr">
        <is>
          <t>CR-201</t>
        </is>
      </c>
      <c r="D449" t="inlineStr">
        <is>
          <t>ISO 8</t>
        </is>
      </c>
      <c r="E449" t="inlineStr">
        <is>
          <t>Compressed air</t>
        </is>
      </c>
      <c r="F449" t="n">
        <v>0</v>
      </c>
      <c r="G449" t="inlineStr">
        <is>
          <t>Tech D</t>
        </is>
      </c>
      <c r="H449">
        <f>INDEX(Limits!$B$2:$B$5,MATCH(E449,Limits!$A$2:$A$5,0))</f>
        <v/>
      </c>
      <c r="I449">
        <f>INDEX(Limits!$C$2:$C$5,MATCH(E449,Limits!$A$2:$A$5,0))</f>
        <v/>
      </c>
      <c r="J449">
        <f>IF(F449&gt;=I449,"Action",IF(F449&gt;=H449,"Alert","Pass"))</f>
        <v/>
      </c>
      <c r="K449" s="4">
        <f>DATE(YEAR(B449),MONTH(B449),1)</f>
        <v/>
      </c>
    </row>
    <row r="450">
      <c r="A450" t="inlineStr">
        <is>
          <t>EM000449</t>
        </is>
      </c>
      <c r="B450" s="7" t="n">
        <v>46058</v>
      </c>
      <c r="C450" t="inlineStr">
        <is>
          <t>CR-201</t>
        </is>
      </c>
      <c r="D450" t="inlineStr">
        <is>
          <t>ISO 8</t>
        </is>
      </c>
      <c r="E450" t="inlineStr">
        <is>
          <t>Personnel glove</t>
        </is>
      </c>
      <c r="F450" t="n">
        <v>0</v>
      </c>
      <c r="G450" t="inlineStr">
        <is>
          <t>Tech A</t>
        </is>
      </c>
      <c r="H450">
        <f>INDEX(Limits!$B$2:$B$5,MATCH(E450,Limits!$A$2:$A$5,0))</f>
        <v/>
      </c>
      <c r="I450">
        <f>INDEX(Limits!$C$2:$C$5,MATCH(E450,Limits!$A$2:$A$5,0))</f>
        <v/>
      </c>
      <c r="J450">
        <f>IF(F450&gt;=I450,"Action",IF(F450&gt;=H450,"Alert","Pass"))</f>
        <v/>
      </c>
      <c r="K450" s="4">
        <f>DATE(YEAR(B450),MONTH(B450),1)</f>
        <v/>
      </c>
    </row>
    <row r="451">
      <c r="A451" t="inlineStr">
        <is>
          <t>EM000450</t>
        </is>
      </c>
      <c r="B451" s="7" t="n">
        <v>46058</v>
      </c>
      <c r="C451" t="inlineStr">
        <is>
          <t>CR-202</t>
        </is>
      </c>
      <c r="D451" t="inlineStr">
        <is>
          <t>ISO 8</t>
        </is>
      </c>
      <c r="E451" t="inlineStr">
        <is>
          <t>Active air</t>
        </is>
      </c>
      <c r="F451" t="n">
        <v>2</v>
      </c>
      <c r="G451" t="inlineStr">
        <is>
          <t>Tech A</t>
        </is>
      </c>
      <c r="H451">
        <f>INDEX(Limits!$B$2:$B$5,MATCH(E451,Limits!$A$2:$A$5,0))</f>
        <v/>
      </c>
      <c r="I451">
        <f>INDEX(Limits!$C$2:$C$5,MATCH(E451,Limits!$A$2:$A$5,0))</f>
        <v/>
      </c>
      <c r="J451">
        <f>IF(F451&gt;=I451,"Action",IF(F451&gt;=H451,"Alert","Pass"))</f>
        <v/>
      </c>
      <c r="K451" s="4">
        <f>DATE(YEAR(B451),MONTH(B451),1)</f>
        <v/>
      </c>
    </row>
    <row r="452">
      <c r="A452" t="inlineStr">
        <is>
          <t>EM000451</t>
        </is>
      </c>
      <c r="B452" s="7" t="n">
        <v>46058</v>
      </c>
      <c r="C452" t="inlineStr">
        <is>
          <t>CR-202</t>
        </is>
      </c>
      <c r="D452" t="inlineStr">
        <is>
          <t>ISO 8</t>
        </is>
      </c>
      <c r="E452" t="inlineStr">
        <is>
          <t>Surface contact</t>
        </is>
      </c>
      <c r="F452" t="n">
        <v>0</v>
      </c>
      <c r="G452" t="inlineStr">
        <is>
          <t>Tech C</t>
        </is>
      </c>
      <c r="H452">
        <f>INDEX(Limits!$B$2:$B$5,MATCH(E452,Limits!$A$2:$A$5,0))</f>
        <v/>
      </c>
      <c r="I452">
        <f>INDEX(Limits!$C$2:$C$5,MATCH(E452,Limits!$A$2:$A$5,0))</f>
        <v/>
      </c>
      <c r="J452">
        <f>IF(F452&gt;=I452,"Action",IF(F452&gt;=H452,"Alert","Pass"))</f>
        <v/>
      </c>
      <c r="K452" s="4">
        <f>DATE(YEAR(B452),MONTH(B452),1)</f>
        <v/>
      </c>
    </row>
    <row r="453">
      <c r="A453" t="inlineStr">
        <is>
          <t>EM000452</t>
        </is>
      </c>
      <c r="B453" s="7" t="n">
        <v>46058</v>
      </c>
      <c r="C453" t="inlineStr">
        <is>
          <t>CR-202</t>
        </is>
      </c>
      <c r="D453" t="inlineStr">
        <is>
          <t>ISO 8</t>
        </is>
      </c>
      <c r="E453" t="inlineStr">
        <is>
          <t>Compressed air</t>
        </is>
      </c>
      <c r="F453" t="n">
        <v>0</v>
      </c>
      <c r="G453" t="inlineStr">
        <is>
          <t>Tech C</t>
        </is>
      </c>
      <c r="H453">
        <f>INDEX(Limits!$B$2:$B$5,MATCH(E453,Limits!$A$2:$A$5,0))</f>
        <v/>
      </c>
      <c r="I453">
        <f>INDEX(Limits!$C$2:$C$5,MATCH(E453,Limits!$A$2:$A$5,0))</f>
        <v/>
      </c>
      <c r="J453">
        <f>IF(F453&gt;=I453,"Action",IF(F453&gt;=H453,"Alert","Pass"))</f>
        <v/>
      </c>
      <c r="K453" s="4">
        <f>DATE(YEAR(B453),MONTH(B453),1)</f>
        <v/>
      </c>
    </row>
    <row r="454">
      <c r="A454" t="inlineStr">
        <is>
          <t>EM000453</t>
        </is>
      </c>
      <c r="B454" s="7" t="n">
        <v>46058</v>
      </c>
      <c r="C454" t="inlineStr">
        <is>
          <t>CR-202</t>
        </is>
      </c>
      <c r="D454" t="inlineStr">
        <is>
          <t>ISO 8</t>
        </is>
      </c>
      <c r="E454" t="inlineStr">
        <is>
          <t>Personnel glove</t>
        </is>
      </c>
      <c r="F454" t="n">
        <v>0</v>
      </c>
      <c r="G454" t="inlineStr">
        <is>
          <t>Tech D</t>
        </is>
      </c>
      <c r="H454">
        <f>INDEX(Limits!$B$2:$B$5,MATCH(E454,Limits!$A$2:$A$5,0))</f>
        <v/>
      </c>
      <c r="I454">
        <f>INDEX(Limits!$C$2:$C$5,MATCH(E454,Limits!$A$2:$A$5,0))</f>
        <v/>
      </c>
      <c r="J454">
        <f>IF(F454&gt;=I454,"Action",IF(F454&gt;=H454,"Alert","Pass"))</f>
        <v/>
      </c>
      <c r="K454" s="4">
        <f>DATE(YEAR(B454),MONTH(B454),1)</f>
        <v/>
      </c>
    </row>
    <row r="455">
      <c r="A455" t="inlineStr">
        <is>
          <t>EM000454</t>
        </is>
      </c>
      <c r="B455" s="7" t="n">
        <v>46058</v>
      </c>
      <c r="C455" t="inlineStr">
        <is>
          <t>Gowning</t>
        </is>
      </c>
      <c r="D455" t="inlineStr">
        <is>
          <t>ISO 8</t>
        </is>
      </c>
      <c r="E455" t="inlineStr">
        <is>
          <t>Active air</t>
        </is>
      </c>
      <c r="F455" t="n">
        <v>0</v>
      </c>
      <c r="G455" t="inlineStr">
        <is>
          <t>Tech A</t>
        </is>
      </c>
      <c r="H455">
        <f>INDEX(Limits!$B$2:$B$5,MATCH(E455,Limits!$A$2:$A$5,0))</f>
        <v/>
      </c>
      <c r="I455">
        <f>INDEX(Limits!$C$2:$C$5,MATCH(E455,Limits!$A$2:$A$5,0))</f>
        <v/>
      </c>
      <c r="J455">
        <f>IF(F455&gt;=I455,"Action",IF(F455&gt;=H455,"Alert","Pass"))</f>
        <v/>
      </c>
      <c r="K455" s="4">
        <f>DATE(YEAR(B455),MONTH(B455),1)</f>
        <v/>
      </c>
    </row>
    <row r="456">
      <c r="A456" t="inlineStr">
        <is>
          <t>EM000455</t>
        </is>
      </c>
      <c r="B456" s="7" t="n">
        <v>46058</v>
      </c>
      <c r="C456" t="inlineStr">
        <is>
          <t>Gowning</t>
        </is>
      </c>
      <c r="D456" t="inlineStr">
        <is>
          <t>ISO 8</t>
        </is>
      </c>
      <c r="E456" t="inlineStr">
        <is>
          <t>Surface contact</t>
        </is>
      </c>
      <c r="F456" t="n">
        <v>2</v>
      </c>
      <c r="G456" t="inlineStr">
        <is>
          <t>Tech A</t>
        </is>
      </c>
      <c r="H456">
        <f>INDEX(Limits!$B$2:$B$5,MATCH(E456,Limits!$A$2:$A$5,0))</f>
        <v/>
      </c>
      <c r="I456">
        <f>INDEX(Limits!$C$2:$C$5,MATCH(E456,Limits!$A$2:$A$5,0))</f>
        <v/>
      </c>
      <c r="J456">
        <f>IF(F456&gt;=I456,"Action",IF(F456&gt;=H456,"Alert","Pass"))</f>
        <v/>
      </c>
      <c r="K456" s="4">
        <f>DATE(YEAR(B456),MONTH(B456),1)</f>
        <v/>
      </c>
    </row>
    <row r="457">
      <c r="A457" t="inlineStr">
        <is>
          <t>EM000456</t>
        </is>
      </c>
      <c r="B457" s="7" t="n">
        <v>46058</v>
      </c>
      <c r="C457" t="inlineStr">
        <is>
          <t>Gowning</t>
        </is>
      </c>
      <c r="D457" t="inlineStr">
        <is>
          <t>ISO 8</t>
        </is>
      </c>
      <c r="E457" t="inlineStr">
        <is>
          <t>Personnel glove</t>
        </is>
      </c>
      <c r="F457" t="n">
        <v>0</v>
      </c>
      <c r="G457" t="inlineStr">
        <is>
          <t>Tech D</t>
        </is>
      </c>
      <c r="H457">
        <f>INDEX(Limits!$B$2:$B$5,MATCH(E457,Limits!$A$2:$A$5,0))</f>
        <v/>
      </c>
      <c r="I457">
        <f>INDEX(Limits!$C$2:$C$5,MATCH(E457,Limits!$A$2:$A$5,0))</f>
        <v/>
      </c>
      <c r="J457">
        <f>IF(F457&gt;=I457,"Action",IF(F457&gt;=H457,"Alert","Pass"))</f>
        <v/>
      </c>
      <c r="K457" s="4">
        <f>DATE(YEAR(B457),MONTH(B457),1)</f>
        <v/>
      </c>
    </row>
    <row r="458">
      <c r="A458" t="inlineStr">
        <is>
          <t>EM000457</t>
        </is>
      </c>
      <c r="B458" s="7" t="n">
        <v>46059</v>
      </c>
      <c r="C458" t="inlineStr">
        <is>
          <t>CR-101</t>
        </is>
      </c>
      <c r="D458" t="inlineStr">
        <is>
          <t>ISO 7</t>
        </is>
      </c>
      <c r="E458" t="inlineStr">
        <is>
          <t>Active air</t>
        </is>
      </c>
      <c r="F458" t="n">
        <v>1</v>
      </c>
      <c r="G458" t="inlineStr">
        <is>
          <t>Tech B</t>
        </is>
      </c>
      <c r="H458">
        <f>INDEX(Limits!$B$2:$B$5,MATCH(E458,Limits!$A$2:$A$5,0))</f>
        <v/>
      </c>
      <c r="I458">
        <f>INDEX(Limits!$C$2:$C$5,MATCH(E458,Limits!$A$2:$A$5,0))</f>
        <v/>
      </c>
      <c r="J458">
        <f>IF(F458&gt;=I458,"Action",IF(F458&gt;=H458,"Alert","Pass"))</f>
        <v/>
      </c>
      <c r="K458" s="4">
        <f>DATE(YEAR(B458),MONTH(B458),1)</f>
        <v/>
      </c>
    </row>
    <row r="459">
      <c r="A459" t="inlineStr">
        <is>
          <t>EM000458</t>
        </is>
      </c>
      <c r="B459" s="7" t="n">
        <v>46059</v>
      </c>
      <c r="C459" t="inlineStr">
        <is>
          <t>CR-101</t>
        </is>
      </c>
      <c r="D459" t="inlineStr">
        <is>
          <t>ISO 7</t>
        </is>
      </c>
      <c r="E459" t="inlineStr">
        <is>
          <t>Surface contact</t>
        </is>
      </c>
      <c r="F459" t="n">
        <v>0</v>
      </c>
      <c r="G459" t="inlineStr">
        <is>
          <t>Tech A</t>
        </is>
      </c>
      <c r="H459">
        <f>INDEX(Limits!$B$2:$B$5,MATCH(E459,Limits!$A$2:$A$5,0))</f>
        <v/>
      </c>
      <c r="I459">
        <f>INDEX(Limits!$C$2:$C$5,MATCH(E459,Limits!$A$2:$A$5,0))</f>
        <v/>
      </c>
      <c r="J459">
        <f>IF(F459&gt;=I459,"Action",IF(F459&gt;=H459,"Alert","Pass"))</f>
        <v/>
      </c>
      <c r="K459" s="4">
        <f>DATE(YEAR(B459),MONTH(B459),1)</f>
        <v/>
      </c>
    </row>
    <row r="460">
      <c r="A460" t="inlineStr">
        <is>
          <t>EM000459</t>
        </is>
      </c>
      <c r="B460" s="7" t="n">
        <v>46059</v>
      </c>
      <c r="C460" t="inlineStr">
        <is>
          <t>CR-101</t>
        </is>
      </c>
      <c r="D460" t="inlineStr">
        <is>
          <t>ISO 7</t>
        </is>
      </c>
      <c r="E460" t="inlineStr">
        <is>
          <t>Compressed air</t>
        </is>
      </c>
      <c r="F460" t="n">
        <v>0</v>
      </c>
      <c r="G460" t="inlineStr">
        <is>
          <t>Tech D</t>
        </is>
      </c>
      <c r="H460">
        <f>INDEX(Limits!$B$2:$B$5,MATCH(E460,Limits!$A$2:$A$5,0))</f>
        <v/>
      </c>
      <c r="I460">
        <f>INDEX(Limits!$C$2:$C$5,MATCH(E460,Limits!$A$2:$A$5,0))</f>
        <v/>
      </c>
      <c r="J460">
        <f>IF(F460&gt;=I460,"Action",IF(F460&gt;=H460,"Alert","Pass"))</f>
        <v/>
      </c>
      <c r="K460" s="4">
        <f>DATE(YEAR(B460),MONTH(B460),1)</f>
        <v/>
      </c>
    </row>
    <row r="461">
      <c r="A461" t="inlineStr">
        <is>
          <t>EM000460</t>
        </is>
      </c>
      <c r="B461" s="7" t="n">
        <v>46059</v>
      </c>
      <c r="C461" t="inlineStr">
        <is>
          <t>CR-101</t>
        </is>
      </c>
      <c r="D461" t="inlineStr">
        <is>
          <t>ISO 7</t>
        </is>
      </c>
      <c r="E461" t="inlineStr">
        <is>
          <t>Personnel glove</t>
        </is>
      </c>
      <c r="F461" t="n">
        <v>0</v>
      </c>
      <c r="G461" t="inlineStr">
        <is>
          <t>Tech B</t>
        </is>
      </c>
      <c r="H461">
        <f>INDEX(Limits!$B$2:$B$5,MATCH(E461,Limits!$A$2:$A$5,0))</f>
        <v/>
      </c>
      <c r="I461">
        <f>INDEX(Limits!$C$2:$C$5,MATCH(E461,Limits!$A$2:$A$5,0))</f>
        <v/>
      </c>
      <c r="J461">
        <f>IF(F461&gt;=I461,"Action",IF(F461&gt;=H461,"Alert","Pass"))</f>
        <v/>
      </c>
      <c r="K461" s="4">
        <f>DATE(YEAR(B461),MONTH(B461),1)</f>
        <v/>
      </c>
    </row>
    <row r="462">
      <c r="A462" t="inlineStr">
        <is>
          <t>EM000461</t>
        </is>
      </c>
      <c r="B462" s="7" t="n">
        <v>46059</v>
      </c>
      <c r="C462" t="inlineStr">
        <is>
          <t>CR-102</t>
        </is>
      </c>
      <c r="D462" t="inlineStr">
        <is>
          <t>ISO 7</t>
        </is>
      </c>
      <c r="E462" t="inlineStr">
        <is>
          <t>Active air</t>
        </is>
      </c>
      <c r="F462" t="n">
        <v>1</v>
      </c>
      <c r="G462" t="inlineStr">
        <is>
          <t>Tech A</t>
        </is>
      </c>
      <c r="H462">
        <f>INDEX(Limits!$B$2:$B$5,MATCH(E462,Limits!$A$2:$A$5,0))</f>
        <v/>
      </c>
      <c r="I462">
        <f>INDEX(Limits!$C$2:$C$5,MATCH(E462,Limits!$A$2:$A$5,0))</f>
        <v/>
      </c>
      <c r="J462">
        <f>IF(F462&gt;=I462,"Action",IF(F462&gt;=H462,"Alert","Pass"))</f>
        <v/>
      </c>
      <c r="K462" s="4">
        <f>DATE(YEAR(B462),MONTH(B462),1)</f>
        <v/>
      </c>
    </row>
    <row r="463">
      <c r="A463" t="inlineStr">
        <is>
          <t>EM000462</t>
        </is>
      </c>
      <c r="B463" s="7" t="n">
        <v>46059</v>
      </c>
      <c r="C463" t="inlineStr">
        <is>
          <t>CR-102</t>
        </is>
      </c>
      <c r="D463" t="inlineStr">
        <is>
          <t>ISO 7</t>
        </is>
      </c>
      <c r="E463" t="inlineStr">
        <is>
          <t>Surface contact</t>
        </is>
      </c>
      <c r="F463" t="n">
        <v>0</v>
      </c>
      <c r="G463" t="inlineStr">
        <is>
          <t>Tech C</t>
        </is>
      </c>
      <c r="H463">
        <f>INDEX(Limits!$B$2:$B$5,MATCH(E463,Limits!$A$2:$A$5,0))</f>
        <v/>
      </c>
      <c r="I463">
        <f>INDEX(Limits!$C$2:$C$5,MATCH(E463,Limits!$A$2:$A$5,0))</f>
        <v/>
      </c>
      <c r="J463">
        <f>IF(F463&gt;=I463,"Action",IF(F463&gt;=H463,"Alert","Pass"))</f>
        <v/>
      </c>
      <c r="K463" s="4">
        <f>DATE(YEAR(B463),MONTH(B463),1)</f>
        <v/>
      </c>
    </row>
    <row r="464">
      <c r="A464" t="inlineStr">
        <is>
          <t>EM000463</t>
        </is>
      </c>
      <c r="B464" s="7" t="n">
        <v>46059</v>
      </c>
      <c r="C464" t="inlineStr">
        <is>
          <t>CR-102</t>
        </is>
      </c>
      <c r="D464" t="inlineStr">
        <is>
          <t>ISO 7</t>
        </is>
      </c>
      <c r="E464" t="inlineStr">
        <is>
          <t>Compressed air</t>
        </is>
      </c>
      <c r="F464" t="n">
        <v>0</v>
      </c>
      <c r="G464" t="inlineStr">
        <is>
          <t>Tech D</t>
        </is>
      </c>
      <c r="H464">
        <f>INDEX(Limits!$B$2:$B$5,MATCH(E464,Limits!$A$2:$A$5,0))</f>
        <v/>
      </c>
      <c r="I464">
        <f>INDEX(Limits!$C$2:$C$5,MATCH(E464,Limits!$A$2:$A$5,0))</f>
        <v/>
      </c>
      <c r="J464">
        <f>IF(F464&gt;=I464,"Action",IF(F464&gt;=H464,"Alert","Pass"))</f>
        <v/>
      </c>
      <c r="K464" s="4">
        <f>DATE(YEAR(B464),MONTH(B464),1)</f>
        <v/>
      </c>
    </row>
    <row r="465">
      <c r="A465" t="inlineStr">
        <is>
          <t>EM000464</t>
        </is>
      </c>
      <c r="B465" s="7" t="n">
        <v>46059</v>
      </c>
      <c r="C465" t="inlineStr">
        <is>
          <t>CR-102</t>
        </is>
      </c>
      <c r="D465" t="inlineStr">
        <is>
          <t>ISO 7</t>
        </is>
      </c>
      <c r="E465" t="inlineStr">
        <is>
          <t>Personnel glove</t>
        </is>
      </c>
      <c r="F465" t="n">
        <v>0</v>
      </c>
      <c r="G465" t="inlineStr">
        <is>
          <t>Tech B</t>
        </is>
      </c>
      <c r="H465">
        <f>INDEX(Limits!$B$2:$B$5,MATCH(E465,Limits!$A$2:$A$5,0))</f>
        <v/>
      </c>
      <c r="I465">
        <f>INDEX(Limits!$C$2:$C$5,MATCH(E465,Limits!$A$2:$A$5,0))</f>
        <v/>
      </c>
      <c r="J465">
        <f>IF(F465&gt;=I465,"Action",IF(F465&gt;=H465,"Alert","Pass"))</f>
        <v/>
      </c>
      <c r="K465" s="4">
        <f>DATE(YEAR(B465),MONTH(B465),1)</f>
        <v/>
      </c>
    </row>
    <row r="466">
      <c r="A466" t="inlineStr">
        <is>
          <t>EM000465</t>
        </is>
      </c>
      <c r="B466" s="7" t="n">
        <v>46059</v>
      </c>
      <c r="C466" t="inlineStr">
        <is>
          <t>CR-201</t>
        </is>
      </c>
      <c r="D466" t="inlineStr">
        <is>
          <t>ISO 8</t>
        </is>
      </c>
      <c r="E466" t="inlineStr">
        <is>
          <t>Active air</t>
        </is>
      </c>
      <c r="F466" t="n">
        <v>2</v>
      </c>
      <c r="G466" t="inlineStr">
        <is>
          <t>Tech C</t>
        </is>
      </c>
      <c r="H466">
        <f>INDEX(Limits!$B$2:$B$5,MATCH(E466,Limits!$A$2:$A$5,0))</f>
        <v/>
      </c>
      <c r="I466">
        <f>INDEX(Limits!$C$2:$C$5,MATCH(E466,Limits!$A$2:$A$5,0))</f>
        <v/>
      </c>
      <c r="J466">
        <f>IF(F466&gt;=I466,"Action",IF(F466&gt;=H466,"Alert","Pass"))</f>
        <v/>
      </c>
      <c r="K466" s="4">
        <f>DATE(YEAR(B466),MONTH(B466),1)</f>
        <v/>
      </c>
    </row>
    <row r="467">
      <c r="A467" t="inlineStr">
        <is>
          <t>EM000466</t>
        </is>
      </c>
      <c r="B467" s="7" t="n">
        <v>46059</v>
      </c>
      <c r="C467" t="inlineStr">
        <is>
          <t>CR-201</t>
        </is>
      </c>
      <c r="D467" t="inlineStr">
        <is>
          <t>ISO 8</t>
        </is>
      </c>
      <c r="E467" t="inlineStr">
        <is>
          <t>Surface contact</t>
        </is>
      </c>
      <c r="F467" t="n">
        <v>0</v>
      </c>
      <c r="G467" t="inlineStr">
        <is>
          <t>Tech A</t>
        </is>
      </c>
      <c r="H467">
        <f>INDEX(Limits!$B$2:$B$5,MATCH(E467,Limits!$A$2:$A$5,0))</f>
        <v/>
      </c>
      <c r="I467">
        <f>INDEX(Limits!$C$2:$C$5,MATCH(E467,Limits!$A$2:$A$5,0))</f>
        <v/>
      </c>
      <c r="J467">
        <f>IF(F467&gt;=I467,"Action",IF(F467&gt;=H467,"Alert","Pass"))</f>
        <v/>
      </c>
      <c r="K467" s="4">
        <f>DATE(YEAR(B467),MONTH(B467),1)</f>
        <v/>
      </c>
    </row>
    <row r="468">
      <c r="A468" t="inlineStr">
        <is>
          <t>EM000467</t>
        </is>
      </c>
      <c r="B468" s="7" t="n">
        <v>46059</v>
      </c>
      <c r="C468" t="inlineStr">
        <is>
          <t>CR-201</t>
        </is>
      </c>
      <c r="D468" t="inlineStr">
        <is>
          <t>ISO 8</t>
        </is>
      </c>
      <c r="E468" t="inlineStr">
        <is>
          <t>Compressed air</t>
        </is>
      </c>
      <c r="F468" t="n">
        <v>0</v>
      </c>
      <c r="G468" t="inlineStr">
        <is>
          <t>Tech B</t>
        </is>
      </c>
      <c r="H468">
        <f>INDEX(Limits!$B$2:$B$5,MATCH(E468,Limits!$A$2:$A$5,0))</f>
        <v/>
      </c>
      <c r="I468">
        <f>INDEX(Limits!$C$2:$C$5,MATCH(E468,Limits!$A$2:$A$5,0))</f>
        <v/>
      </c>
      <c r="J468">
        <f>IF(F468&gt;=I468,"Action",IF(F468&gt;=H468,"Alert","Pass"))</f>
        <v/>
      </c>
      <c r="K468" s="4">
        <f>DATE(YEAR(B468),MONTH(B468),1)</f>
        <v/>
      </c>
    </row>
    <row r="469">
      <c r="A469" t="inlineStr">
        <is>
          <t>EM000468</t>
        </is>
      </c>
      <c r="B469" s="7" t="n">
        <v>46059</v>
      </c>
      <c r="C469" t="inlineStr">
        <is>
          <t>CR-201</t>
        </is>
      </c>
      <c r="D469" t="inlineStr">
        <is>
          <t>ISO 8</t>
        </is>
      </c>
      <c r="E469" t="inlineStr">
        <is>
          <t>Personnel glove</t>
        </is>
      </c>
      <c r="F469" t="n">
        <v>0</v>
      </c>
      <c r="G469" t="inlineStr">
        <is>
          <t>Tech D</t>
        </is>
      </c>
      <c r="H469">
        <f>INDEX(Limits!$B$2:$B$5,MATCH(E469,Limits!$A$2:$A$5,0))</f>
        <v/>
      </c>
      <c r="I469">
        <f>INDEX(Limits!$C$2:$C$5,MATCH(E469,Limits!$A$2:$A$5,0))</f>
        <v/>
      </c>
      <c r="J469">
        <f>IF(F469&gt;=I469,"Action",IF(F469&gt;=H469,"Alert","Pass"))</f>
        <v/>
      </c>
      <c r="K469" s="4">
        <f>DATE(YEAR(B469),MONTH(B469),1)</f>
        <v/>
      </c>
    </row>
    <row r="470">
      <c r="A470" t="inlineStr">
        <is>
          <t>EM000469</t>
        </is>
      </c>
      <c r="B470" s="7" t="n">
        <v>46059</v>
      </c>
      <c r="C470" t="inlineStr">
        <is>
          <t>CR-202</t>
        </is>
      </c>
      <c r="D470" t="inlineStr">
        <is>
          <t>ISO 8</t>
        </is>
      </c>
      <c r="E470" t="inlineStr">
        <is>
          <t>Active air</t>
        </is>
      </c>
      <c r="F470" t="n">
        <v>3</v>
      </c>
      <c r="G470" t="inlineStr">
        <is>
          <t>Tech D</t>
        </is>
      </c>
      <c r="H470">
        <f>INDEX(Limits!$B$2:$B$5,MATCH(E470,Limits!$A$2:$A$5,0))</f>
        <v/>
      </c>
      <c r="I470">
        <f>INDEX(Limits!$C$2:$C$5,MATCH(E470,Limits!$A$2:$A$5,0))</f>
        <v/>
      </c>
      <c r="J470">
        <f>IF(F470&gt;=I470,"Action",IF(F470&gt;=H470,"Alert","Pass"))</f>
        <v/>
      </c>
      <c r="K470" s="4">
        <f>DATE(YEAR(B470),MONTH(B470),1)</f>
        <v/>
      </c>
    </row>
    <row r="471">
      <c r="A471" t="inlineStr">
        <is>
          <t>EM000470</t>
        </is>
      </c>
      <c r="B471" s="7" t="n">
        <v>46059</v>
      </c>
      <c r="C471" t="inlineStr">
        <is>
          <t>CR-202</t>
        </is>
      </c>
      <c r="D471" t="inlineStr">
        <is>
          <t>ISO 8</t>
        </is>
      </c>
      <c r="E471" t="inlineStr">
        <is>
          <t>Surface contact</t>
        </is>
      </c>
      <c r="F471" t="n">
        <v>4</v>
      </c>
      <c r="G471" t="inlineStr">
        <is>
          <t>Tech C</t>
        </is>
      </c>
      <c r="H471">
        <f>INDEX(Limits!$B$2:$B$5,MATCH(E471,Limits!$A$2:$A$5,0))</f>
        <v/>
      </c>
      <c r="I471">
        <f>INDEX(Limits!$C$2:$C$5,MATCH(E471,Limits!$A$2:$A$5,0))</f>
        <v/>
      </c>
      <c r="J471">
        <f>IF(F471&gt;=I471,"Action",IF(F471&gt;=H471,"Alert","Pass"))</f>
        <v/>
      </c>
      <c r="K471" s="4">
        <f>DATE(YEAR(B471),MONTH(B471),1)</f>
        <v/>
      </c>
    </row>
    <row r="472">
      <c r="A472" t="inlineStr">
        <is>
          <t>EM000471</t>
        </is>
      </c>
      <c r="B472" s="7" t="n">
        <v>46059</v>
      </c>
      <c r="C472" t="inlineStr">
        <is>
          <t>CR-202</t>
        </is>
      </c>
      <c r="D472" t="inlineStr">
        <is>
          <t>ISO 8</t>
        </is>
      </c>
      <c r="E472" t="inlineStr">
        <is>
          <t>Compressed air</t>
        </is>
      </c>
      <c r="F472" t="n">
        <v>0</v>
      </c>
      <c r="G472" t="inlineStr">
        <is>
          <t>Tech A</t>
        </is>
      </c>
      <c r="H472">
        <f>INDEX(Limits!$B$2:$B$5,MATCH(E472,Limits!$A$2:$A$5,0))</f>
        <v/>
      </c>
      <c r="I472">
        <f>INDEX(Limits!$C$2:$C$5,MATCH(E472,Limits!$A$2:$A$5,0))</f>
        <v/>
      </c>
      <c r="J472">
        <f>IF(F472&gt;=I472,"Action",IF(F472&gt;=H472,"Alert","Pass"))</f>
        <v/>
      </c>
      <c r="K472" s="4">
        <f>DATE(YEAR(B472),MONTH(B472),1)</f>
        <v/>
      </c>
    </row>
    <row r="473">
      <c r="A473" t="inlineStr">
        <is>
          <t>EM000472</t>
        </is>
      </c>
      <c r="B473" s="7" t="n">
        <v>46059</v>
      </c>
      <c r="C473" t="inlineStr">
        <is>
          <t>CR-202</t>
        </is>
      </c>
      <c r="D473" t="inlineStr">
        <is>
          <t>ISO 8</t>
        </is>
      </c>
      <c r="E473" t="inlineStr">
        <is>
          <t>Personnel glove</t>
        </is>
      </c>
      <c r="F473" t="n">
        <v>1</v>
      </c>
      <c r="G473" t="inlineStr">
        <is>
          <t>Tech A</t>
        </is>
      </c>
      <c r="H473">
        <f>INDEX(Limits!$B$2:$B$5,MATCH(E473,Limits!$A$2:$A$5,0))</f>
        <v/>
      </c>
      <c r="I473">
        <f>INDEX(Limits!$C$2:$C$5,MATCH(E473,Limits!$A$2:$A$5,0))</f>
        <v/>
      </c>
      <c r="J473">
        <f>IF(F473&gt;=I473,"Action",IF(F473&gt;=H473,"Alert","Pass"))</f>
        <v/>
      </c>
      <c r="K473" s="4">
        <f>DATE(YEAR(B473),MONTH(B473),1)</f>
        <v/>
      </c>
    </row>
    <row r="474">
      <c r="A474" t="inlineStr">
        <is>
          <t>EM000473</t>
        </is>
      </c>
      <c r="B474" s="7" t="n">
        <v>46059</v>
      </c>
      <c r="C474" t="inlineStr">
        <is>
          <t>Gowning</t>
        </is>
      </c>
      <c r="D474" t="inlineStr">
        <is>
          <t>ISO 8</t>
        </is>
      </c>
      <c r="E474" t="inlineStr">
        <is>
          <t>Active air</t>
        </is>
      </c>
      <c r="F474" t="n">
        <v>2</v>
      </c>
      <c r="G474" t="inlineStr">
        <is>
          <t>Tech B</t>
        </is>
      </c>
      <c r="H474">
        <f>INDEX(Limits!$B$2:$B$5,MATCH(E474,Limits!$A$2:$A$5,0))</f>
        <v/>
      </c>
      <c r="I474">
        <f>INDEX(Limits!$C$2:$C$5,MATCH(E474,Limits!$A$2:$A$5,0))</f>
        <v/>
      </c>
      <c r="J474">
        <f>IF(F474&gt;=I474,"Action",IF(F474&gt;=H474,"Alert","Pass"))</f>
        <v/>
      </c>
      <c r="K474" s="4">
        <f>DATE(YEAR(B474),MONTH(B474),1)</f>
        <v/>
      </c>
    </row>
    <row r="475">
      <c r="A475" t="inlineStr">
        <is>
          <t>EM000474</t>
        </is>
      </c>
      <c r="B475" s="7" t="n">
        <v>46059</v>
      </c>
      <c r="C475" t="inlineStr">
        <is>
          <t>Gowning</t>
        </is>
      </c>
      <c r="D475" t="inlineStr">
        <is>
          <t>ISO 8</t>
        </is>
      </c>
      <c r="E475" t="inlineStr">
        <is>
          <t>Surface contact</t>
        </is>
      </c>
      <c r="F475" t="n">
        <v>0</v>
      </c>
      <c r="G475" t="inlineStr">
        <is>
          <t>Tech C</t>
        </is>
      </c>
      <c r="H475">
        <f>INDEX(Limits!$B$2:$B$5,MATCH(E475,Limits!$A$2:$A$5,0))</f>
        <v/>
      </c>
      <c r="I475">
        <f>INDEX(Limits!$C$2:$C$5,MATCH(E475,Limits!$A$2:$A$5,0))</f>
        <v/>
      </c>
      <c r="J475">
        <f>IF(F475&gt;=I475,"Action",IF(F475&gt;=H475,"Alert","Pass"))</f>
        <v/>
      </c>
      <c r="K475" s="4">
        <f>DATE(YEAR(B475),MONTH(B475),1)</f>
        <v/>
      </c>
    </row>
    <row r="476">
      <c r="A476" t="inlineStr">
        <is>
          <t>EM000475</t>
        </is>
      </c>
      <c r="B476" s="7" t="n">
        <v>46059</v>
      </c>
      <c r="C476" t="inlineStr">
        <is>
          <t>Gowning</t>
        </is>
      </c>
      <c r="D476" t="inlineStr">
        <is>
          <t>ISO 8</t>
        </is>
      </c>
      <c r="E476" t="inlineStr">
        <is>
          <t>Personnel glove</t>
        </is>
      </c>
      <c r="F476" t="n">
        <v>0</v>
      </c>
      <c r="G476" t="inlineStr">
        <is>
          <t>Tech C</t>
        </is>
      </c>
      <c r="H476">
        <f>INDEX(Limits!$B$2:$B$5,MATCH(E476,Limits!$A$2:$A$5,0))</f>
        <v/>
      </c>
      <c r="I476">
        <f>INDEX(Limits!$C$2:$C$5,MATCH(E476,Limits!$A$2:$A$5,0))</f>
        <v/>
      </c>
      <c r="J476">
        <f>IF(F476&gt;=I476,"Action",IF(F476&gt;=H476,"Alert","Pass"))</f>
        <v/>
      </c>
      <c r="K476" s="4">
        <f>DATE(YEAR(B476),MONTH(B476),1)</f>
        <v/>
      </c>
    </row>
    <row r="477">
      <c r="A477" t="inlineStr">
        <is>
          <t>EM000476</t>
        </is>
      </c>
      <c r="B477" s="7" t="n">
        <v>46062</v>
      </c>
      <c r="C477" t="inlineStr">
        <is>
          <t>CR-101</t>
        </is>
      </c>
      <c r="D477" t="inlineStr">
        <is>
          <t>ISO 7</t>
        </is>
      </c>
      <c r="E477" t="inlineStr">
        <is>
          <t>Active air</t>
        </is>
      </c>
      <c r="F477" t="n">
        <v>0</v>
      </c>
      <c r="G477" t="inlineStr">
        <is>
          <t>Tech A</t>
        </is>
      </c>
      <c r="H477">
        <f>INDEX(Limits!$B$2:$B$5,MATCH(E477,Limits!$A$2:$A$5,0))</f>
        <v/>
      </c>
      <c r="I477">
        <f>INDEX(Limits!$C$2:$C$5,MATCH(E477,Limits!$A$2:$A$5,0))</f>
        <v/>
      </c>
      <c r="J477">
        <f>IF(F477&gt;=I477,"Action",IF(F477&gt;=H477,"Alert","Pass"))</f>
        <v/>
      </c>
      <c r="K477" s="4">
        <f>DATE(YEAR(B477),MONTH(B477),1)</f>
        <v/>
      </c>
    </row>
    <row r="478">
      <c r="A478" t="inlineStr">
        <is>
          <t>EM000477</t>
        </is>
      </c>
      <c r="B478" s="7" t="n">
        <v>46062</v>
      </c>
      <c r="C478" t="inlineStr">
        <is>
          <t>CR-101</t>
        </is>
      </c>
      <c r="D478" t="inlineStr">
        <is>
          <t>ISO 7</t>
        </is>
      </c>
      <c r="E478" t="inlineStr">
        <is>
          <t>Surface contact</t>
        </is>
      </c>
      <c r="F478" t="n">
        <v>1</v>
      </c>
      <c r="G478" t="inlineStr">
        <is>
          <t>Tech D</t>
        </is>
      </c>
      <c r="H478">
        <f>INDEX(Limits!$B$2:$B$5,MATCH(E478,Limits!$A$2:$A$5,0))</f>
        <v/>
      </c>
      <c r="I478">
        <f>INDEX(Limits!$C$2:$C$5,MATCH(E478,Limits!$A$2:$A$5,0))</f>
        <v/>
      </c>
      <c r="J478">
        <f>IF(F478&gt;=I478,"Action",IF(F478&gt;=H478,"Alert","Pass"))</f>
        <v/>
      </c>
      <c r="K478" s="4">
        <f>DATE(YEAR(B478),MONTH(B478),1)</f>
        <v/>
      </c>
    </row>
    <row r="479">
      <c r="A479" t="inlineStr">
        <is>
          <t>EM000478</t>
        </is>
      </c>
      <c r="B479" s="7" t="n">
        <v>46062</v>
      </c>
      <c r="C479" t="inlineStr">
        <is>
          <t>CR-101</t>
        </is>
      </c>
      <c r="D479" t="inlineStr">
        <is>
          <t>ISO 7</t>
        </is>
      </c>
      <c r="E479" t="inlineStr">
        <is>
          <t>Compressed air</t>
        </is>
      </c>
      <c r="F479" t="n">
        <v>0</v>
      </c>
      <c r="G479" t="inlineStr">
        <is>
          <t>Tech A</t>
        </is>
      </c>
      <c r="H479">
        <f>INDEX(Limits!$B$2:$B$5,MATCH(E479,Limits!$A$2:$A$5,0))</f>
        <v/>
      </c>
      <c r="I479">
        <f>INDEX(Limits!$C$2:$C$5,MATCH(E479,Limits!$A$2:$A$5,0))</f>
        <v/>
      </c>
      <c r="J479">
        <f>IF(F479&gt;=I479,"Action",IF(F479&gt;=H479,"Alert","Pass"))</f>
        <v/>
      </c>
      <c r="K479" s="4">
        <f>DATE(YEAR(B479),MONTH(B479),1)</f>
        <v/>
      </c>
    </row>
    <row r="480">
      <c r="A480" t="inlineStr">
        <is>
          <t>EM000479</t>
        </is>
      </c>
      <c r="B480" s="7" t="n">
        <v>46062</v>
      </c>
      <c r="C480" t="inlineStr">
        <is>
          <t>CR-101</t>
        </is>
      </c>
      <c r="D480" t="inlineStr">
        <is>
          <t>ISO 7</t>
        </is>
      </c>
      <c r="E480" t="inlineStr">
        <is>
          <t>Personnel glove</t>
        </is>
      </c>
      <c r="F480" t="n">
        <v>0</v>
      </c>
      <c r="G480" t="inlineStr">
        <is>
          <t>Tech C</t>
        </is>
      </c>
      <c r="H480">
        <f>INDEX(Limits!$B$2:$B$5,MATCH(E480,Limits!$A$2:$A$5,0))</f>
        <v/>
      </c>
      <c r="I480">
        <f>INDEX(Limits!$C$2:$C$5,MATCH(E480,Limits!$A$2:$A$5,0))</f>
        <v/>
      </c>
      <c r="J480">
        <f>IF(F480&gt;=I480,"Action",IF(F480&gt;=H480,"Alert","Pass"))</f>
        <v/>
      </c>
      <c r="K480" s="4">
        <f>DATE(YEAR(B480),MONTH(B480),1)</f>
        <v/>
      </c>
    </row>
    <row r="481">
      <c r="A481" t="inlineStr">
        <is>
          <t>EM000480</t>
        </is>
      </c>
      <c r="B481" s="7" t="n">
        <v>46062</v>
      </c>
      <c r="C481" t="inlineStr">
        <is>
          <t>CR-102</t>
        </is>
      </c>
      <c r="D481" t="inlineStr">
        <is>
          <t>ISO 7</t>
        </is>
      </c>
      <c r="E481" t="inlineStr">
        <is>
          <t>Active air</t>
        </is>
      </c>
      <c r="F481" t="n">
        <v>1</v>
      </c>
      <c r="G481" t="inlineStr">
        <is>
          <t>Tech C</t>
        </is>
      </c>
      <c r="H481">
        <f>INDEX(Limits!$B$2:$B$5,MATCH(E481,Limits!$A$2:$A$5,0))</f>
        <v/>
      </c>
      <c r="I481">
        <f>INDEX(Limits!$C$2:$C$5,MATCH(E481,Limits!$A$2:$A$5,0))</f>
        <v/>
      </c>
      <c r="J481">
        <f>IF(F481&gt;=I481,"Action",IF(F481&gt;=H481,"Alert","Pass"))</f>
        <v/>
      </c>
      <c r="K481" s="4">
        <f>DATE(YEAR(B481),MONTH(B481),1)</f>
        <v/>
      </c>
    </row>
    <row r="482">
      <c r="A482" t="inlineStr">
        <is>
          <t>EM000481</t>
        </is>
      </c>
      <c r="B482" s="7" t="n">
        <v>46062</v>
      </c>
      <c r="C482" t="inlineStr">
        <is>
          <t>CR-102</t>
        </is>
      </c>
      <c r="D482" t="inlineStr">
        <is>
          <t>ISO 7</t>
        </is>
      </c>
      <c r="E482" t="inlineStr">
        <is>
          <t>Surface contact</t>
        </is>
      </c>
      <c r="F482" t="n">
        <v>0</v>
      </c>
      <c r="G482" t="inlineStr">
        <is>
          <t>Tech A</t>
        </is>
      </c>
      <c r="H482">
        <f>INDEX(Limits!$B$2:$B$5,MATCH(E482,Limits!$A$2:$A$5,0))</f>
        <v/>
      </c>
      <c r="I482">
        <f>INDEX(Limits!$C$2:$C$5,MATCH(E482,Limits!$A$2:$A$5,0))</f>
        <v/>
      </c>
      <c r="J482">
        <f>IF(F482&gt;=I482,"Action",IF(F482&gt;=H482,"Alert","Pass"))</f>
        <v/>
      </c>
      <c r="K482" s="4">
        <f>DATE(YEAR(B482),MONTH(B482),1)</f>
        <v/>
      </c>
    </row>
    <row r="483">
      <c r="A483" t="inlineStr">
        <is>
          <t>EM000482</t>
        </is>
      </c>
      <c r="B483" s="7" t="n">
        <v>46062</v>
      </c>
      <c r="C483" t="inlineStr">
        <is>
          <t>CR-102</t>
        </is>
      </c>
      <c r="D483" t="inlineStr">
        <is>
          <t>ISO 7</t>
        </is>
      </c>
      <c r="E483" t="inlineStr">
        <is>
          <t>Compressed air</t>
        </is>
      </c>
      <c r="F483" t="n">
        <v>0</v>
      </c>
      <c r="G483" t="inlineStr">
        <is>
          <t>Tech B</t>
        </is>
      </c>
      <c r="H483">
        <f>INDEX(Limits!$B$2:$B$5,MATCH(E483,Limits!$A$2:$A$5,0))</f>
        <v/>
      </c>
      <c r="I483">
        <f>INDEX(Limits!$C$2:$C$5,MATCH(E483,Limits!$A$2:$A$5,0))</f>
        <v/>
      </c>
      <c r="J483">
        <f>IF(F483&gt;=I483,"Action",IF(F483&gt;=H483,"Alert","Pass"))</f>
        <v/>
      </c>
      <c r="K483" s="4">
        <f>DATE(YEAR(B483),MONTH(B483),1)</f>
        <v/>
      </c>
    </row>
    <row r="484">
      <c r="A484" t="inlineStr">
        <is>
          <t>EM000483</t>
        </is>
      </c>
      <c r="B484" s="7" t="n">
        <v>46062</v>
      </c>
      <c r="C484" t="inlineStr">
        <is>
          <t>CR-102</t>
        </is>
      </c>
      <c r="D484" t="inlineStr">
        <is>
          <t>ISO 7</t>
        </is>
      </c>
      <c r="E484" t="inlineStr">
        <is>
          <t>Personnel glove</t>
        </is>
      </c>
      <c r="F484" t="n">
        <v>0</v>
      </c>
      <c r="G484" t="inlineStr">
        <is>
          <t>Tech C</t>
        </is>
      </c>
      <c r="H484">
        <f>INDEX(Limits!$B$2:$B$5,MATCH(E484,Limits!$A$2:$A$5,0))</f>
        <v/>
      </c>
      <c r="I484">
        <f>INDEX(Limits!$C$2:$C$5,MATCH(E484,Limits!$A$2:$A$5,0))</f>
        <v/>
      </c>
      <c r="J484">
        <f>IF(F484&gt;=I484,"Action",IF(F484&gt;=H484,"Alert","Pass"))</f>
        <v/>
      </c>
      <c r="K484" s="4">
        <f>DATE(YEAR(B484),MONTH(B484),1)</f>
        <v/>
      </c>
    </row>
    <row r="485">
      <c r="A485" t="inlineStr">
        <is>
          <t>EM000484</t>
        </is>
      </c>
      <c r="B485" s="7" t="n">
        <v>46062</v>
      </c>
      <c r="C485" t="inlineStr">
        <is>
          <t>CR-201</t>
        </is>
      </c>
      <c r="D485" t="inlineStr">
        <is>
          <t>ISO 8</t>
        </is>
      </c>
      <c r="E485" t="inlineStr">
        <is>
          <t>Active air</t>
        </is>
      </c>
      <c r="F485" t="n">
        <v>1</v>
      </c>
      <c r="G485" t="inlineStr">
        <is>
          <t>Tech D</t>
        </is>
      </c>
      <c r="H485">
        <f>INDEX(Limits!$B$2:$B$5,MATCH(E485,Limits!$A$2:$A$5,0))</f>
        <v/>
      </c>
      <c r="I485">
        <f>INDEX(Limits!$C$2:$C$5,MATCH(E485,Limits!$A$2:$A$5,0))</f>
        <v/>
      </c>
      <c r="J485">
        <f>IF(F485&gt;=I485,"Action",IF(F485&gt;=H485,"Alert","Pass"))</f>
        <v/>
      </c>
      <c r="K485" s="4">
        <f>DATE(YEAR(B485),MONTH(B485),1)</f>
        <v/>
      </c>
    </row>
    <row r="486">
      <c r="A486" t="inlineStr">
        <is>
          <t>EM000485</t>
        </is>
      </c>
      <c r="B486" s="7" t="n">
        <v>46062</v>
      </c>
      <c r="C486" t="inlineStr">
        <is>
          <t>CR-201</t>
        </is>
      </c>
      <c r="D486" t="inlineStr">
        <is>
          <t>ISO 8</t>
        </is>
      </c>
      <c r="E486" t="inlineStr">
        <is>
          <t>Surface contact</t>
        </is>
      </c>
      <c r="F486" t="n">
        <v>0</v>
      </c>
      <c r="G486" t="inlineStr">
        <is>
          <t>Tech A</t>
        </is>
      </c>
      <c r="H486">
        <f>INDEX(Limits!$B$2:$B$5,MATCH(E486,Limits!$A$2:$A$5,0))</f>
        <v/>
      </c>
      <c r="I486">
        <f>INDEX(Limits!$C$2:$C$5,MATCH(E486,Limits!$A$2:$A$5,0))</f>
        <v/>
      </c>
      <c r="J486">
        <f>IF(F486&gt;=I486,"Action",IF(F486&gt;=H486,"Alert","Pass"))</f>
        <v/>
      </c>
      <c r="K486" s="4">
        <f>DATE(YEAR(B486),MONTH(B486),1)</f>
        <v/>
      </c>
    </row>
    <row r="487">
      <c r="A487" t="inlineStr">
        <is>
          <t>EM000486</t>
        </is>
      </c>
      <c r="B487" s="7" t="n">
        <v>46062</v>
      </c>
      <c r="C487" t="inlineStr">
        <is>
          <t>CR-201</t>
        </is>
      </c>
      <c r="D487" t="inlineStr">
        <is>
          <t>ISO 8</t>
        </is>
      </c>
      <c r="E487" t="inlineStr">
        <is>
          <t>Compressed air</t>
        </is>
      </c>
      <c r="F487" t="n">
        <v>0</v>
      </c>
      <c r="G487" t="inlineStr">
        <is>
          <t>Tech B</t>
        </is>
      </c>
      <c r="H487">
        <f>INDEX(Limits!$B$2:$B$5,MATCH(E487,Limits!$A$2:$A$5,0))</f>
        <v/>
      </c>
      <c r="I487">
        <f>INDEX(Limits!$C$2:$C$5,MATCH(E487,Limits!$A$2:$A$5,0))</f>
        <v/>
      </c>
      <c r="J487">
        <f>IF(F487&gt;=I487,"Action",IF(F487&gt;=H487,"Alert","Pass"))</f>
        <v/>
      </c>
      <c r="K487" s="4">
        <f>DATE(YEAR(B487),MONTH(B487),1)</f>
        <v/>
      </c>
    </row>
    <row r="488">
      <c r="A488" t="inlineStr">
        <is>
          <t>EM000487</t>
        </is>
      </c>
      <c r="B488" s="7" t="n">
        <v>46062</v>
      </c>
      <c r="C488" t="inlineStr">
        <is>
          <t>CR-201</t>
        </is>
      </c>
      <c r="D488" t="inlineStr">
        <is>
          <t>ISO 8</t>
        </is>
      </c>
      <c r="E488" t="inlineStr">
        <is>
          <t>Personnel glove</t>
        </is>
      </c>
      <c r="F488" t="n">
        <v>0</v>
      </c>
      <c r="G488" t="inlineStr">
        <is>
          <t>Tech C</t>
        </is>
      </c>
      <c r="H488">
        <f>INDEX(Limits!$B$2:$B$5,MATCH(E488,Limits!$A$2:$A$5,0))</f>
        <v/>
      </c>
      <c r="I488">
        <f>INDEX(Limits!$C$2:$C$5,MATCH(E488,Limits!$A$2:$A$5,0))</f>
        <v/>
      </c>
      <c r="J488">
        <f>IF(F488&gt;=I488,"Action",IF(F488&gt;=H488,"Alert","Pass"))</f>
        <v/>
      </c>
      <c r="K488" s="4">
        <f>DATE(YEAR(B488),MONTH(B488),1)</f>
        <v/>
      </c>
    </row>
    <row r="489">
      <c r="A489" t="inlineStr">
        <is>
          <t>EM000488</t>
        </is>
      </c>
      <c r="B489" s="7" t="n">
        <v>46062</v>
      </c>
      <c r="C489" t="inlineStr">
        <is>
          <t>CR-202</t>
        </is>
      </c>
      <c r="D489" t="inlineStr">
        <is>
          <t>ISO 8</t>
        </is>
      </c>
      <c r="E489" t="inlineStr">
        <is>
          <t>Active air</t>
        </is>
      </c>
      <c r="F489" t="n">
        <v>0</v>
      </c>
      <c r="G489" t="inlineStr">
        <is>
          <t>Tech B</t>
        </is>
      </c>
      <c r="H489">
        <f>INDEX(Limits!$B$2:$B$5,MATCH(E489,Limits!$A$2:$A$5,0))</f>
        <v/>
      </c>
      <c r="I489">
        <f>INDEX(Limits!$C$2:$C$5,MATCH(E489,Limits!$A$2:$A$5,0))</f>
        <v/>
      </c>
      <c r="J489">
        <f>IF(F489&gt;=I489,"Action",IF(F489&gt;=H489,"Alert","Pass"))</f>
        <v/>
      </c>
      <c r="K489" s="4">
        <f>DATE(YEAR(B489),MONTH(B489),1)</f>
        <v/>
      </c>
    </row>
    <row r="490">
      <c r="A490" t="inlineStr">
        <is>
          <t>EM000489</t>
        </is>
      </c>
      <c r="B490" s="7" t="n">
        <v>46062</v>
      </c>
      <c r="C490" t="inlineStr">
        <is>
          <t>CR-202</t>
        </is>
      </c>
      <c r="D490" t="inlineStr">
        <is>
          <t>ISO 8</t>
        </is>
      </c>
      <c r="E490" t="inlineStr">
        <is>
          <t>Surface contact</t>
        </is>
      </c>
      <c r="F490" t="n">
        <v>2</v>
      </c>
      <c r="G490" t="inlineStr">
        <is>
          <t>Tech D</t>
        </is>
      </c>
      <c r="H490">
        <f>INDEX(Limits!$B$2:$B$5,MATCH(E490,Limits!$A$2:$A$5,0))</f>
        <v/>
      </c>
      <c r="I490">
        <f>INDEX(Limits!$C$2:$C$5,MATCH(E490,Limits!$A$2:$A$5,0))</f>
        <v/>
      </c>
      <c r="J490">
        <f>IF(F490&gt;=I490,"Action",IF(F490&gt;=H490,"Alert","Pass"))</f>
        <v/>
      </c>
      <c r="K490" s="4">
        <f>DATE(YEAR(B490),MONTH(B490),1)</f>
        <v/>
      </c>
    </row>
    <row r="491">
      <c r="A491" t="inlineStr">
        <is>
          <t>EM000490</t>
        </is>
      </c>
      <c r="B491" s="7" t="n">
        <v>46062</v>
      </c>
      <c r="C491" t="inlineStr">
        <is>
          <t>CR-202</t>
        </is>
      </c>
      <c r="D491" t="inlineStr">
        <is>
          <t>ISO 8</t>
        </is>
      </c>
      <c r="E491" t="inlineStr">
        <is>
          <t>Compressed air</t>
        </is>
      </c>
      <c r="F491" t="n">
        <v>0</v>
      </c>
      <c r="G491" t="inlineStr">
        <is>
          <t>Tech A</t>
        </is>
      </c>
      <c r="H491">
        <f>INDEX(Limits!$B$2:$B$5,MATCH(E491,Limits!$A$2:$A$5,0))</f>
        <v/>
      </c>
      <c r="I491">
        <f>INDEX(Limits!$C$2:$C$5,MATCH(E491,Limits!$A$2:$A$5,0))</f>
        <v/>
      </c>
      <c r="J491">
        <f>IF(F491&gt;=I491,"Action",IF(F491&gt;=H491,"Alert","Pass"))</f>
        <v/>
      </c>
      <c r="K491" s="4">
        <f>DATE(YEAR(B491),MONTH(B491),1)</f>
        <v/>
      </c>
    </row>
    <row r="492">
      <c r="A492" t="inlineStr">
        <is>
          <t>EM000491</t>
        </is>
      </c>
      <c r="B492" s="7" t="n">
        <v>46062</v>
      </c>
      <c r="C492" t="inlineStr">
        <is>
          <t>CR-202</t>
        </is>
      </c>
      <c r="D492" t="inlineStr">
        <is>
          <t>ISO 8</t>
        </is>
      </c>
      <c r="E492" t="inlineStr">
        <is>
          <t>Personnel glove</t>
        </is>
      </c>
      <c r="F492" t="n">
        <v>0</v>
      </c>
      <c r="G492" t="inlineStr">
        <is>
          <t>Tech A</t>
        </is>
      </c>
      <c r="H492">
        <f>INDEX(Limits!$B$2:$B$5,MATCH(E492,Limits!$A$2:$A$5,0))</f>
        <v/>
      </c>
      <c r="I492">
        <f>INDEX(Limits!$C$2:$C$5,MATCH(E492,Limits!$A$2:$A$5,0))</f>
        <v/>
      </c>
      <c r="J492">
        <f>IF(F492&gt;=I492,"Action",IF(F492&gt;=H492,"Alert","Pass"))</f>
        <v/>
      </c>
      <c r="K492" s="4">
        <f>DATE(YEAR(B492),MONTH(B492),1)</f>
        <v/>
      </c>
    </row>
    <row r="493">
      <c r="A493" t="inlineStr">
        <is>
          <t>EM000492</t>
        </is>
      </c>
      <c r="B493" s="7" t="n">
        <v>46062</v>
      </c>
      <c r="C493" t="inlineStr">
        <is>
          <t>Gowning</t>
        </is>
      </c>
      <c r="D493" t="inlineStr">
        <is>
          <t>ISO 8</t>
        </is>
      </c>
      <c r="E493" t="inlineStr">
        <is>
          <t>Active air</t>
        </is>
      </c>
      <c r="F493" t="n">
        <v>1</v>
      </c>
      <c r="G493" t="inlineStr">
        <is>
          <t>Tech D</t>
        </is>
      </c>
      <c r="H493">
        <f>INDEX(Limits!$B$2:$B$5,MATCH(E493,Limits!$A$2:$A$5,0))</f>
        <v/>
      </c>
      <c r="I493">
        <f>INDEX(Limits!$C$2:$C$5,MATCH(E493,Limits!$A$2:$A$5,0))</f>
        <v/>
      </c>
      <c r="J493">
        <f>IF(F493&gt;=I493,"Action",IF(F493&gt;=H493,"Alert","Pass"))</f>
        <v/>
      </c>
      <c r="K493" s="4">
        <f>DATE(YEAR(B493),MONTH(B493),1)</f>
        <v/>
      </c>
    </row>
    <row r="494">
      <c r="A494" t="inlineStr">
        <is>
          <t>EM000493</t>
        </is>
      </c>
      <c r="B494" s="7" t="n">
        <v>46062</v>
      </c>
      <c r="C494" t="inlineStr">
        <is>
          <t>Gowning</t>
        </is>
      </c>
      <c r="D494" t="inlineStr">
        <is>
          <t>ISO 8</t>
        </is>
      </c>
      <c r="E494" t="inlineStr">
        <is>
          <t>Surface contact</t>
        </is>
      </c>
      <c r="F494" t="n">
        <v>1</v>
      </c>
      <c r="G494" t="inlineStr">
        <is>
          <t>Tech D</t>
        </is>
      </c>
      <c r="H494">
        <f>INDEX(Limits!$B$2:$B$5,MATCH(E494,Limits!$A$2:$A$5,0))</f>
        <v/>
      </c>
      <c r="I494">
        <f>INDEX(Limits!$C$2:$C$5,MATCH(E494,Limits!$A$2:$A$5,0))</f>
        <v/>
      </c>
      <c r="J494">
        <f>IF(F494&gt;=I494,"Action",IF(F494&gt;=H494,"Alert","Pass"))</f>
        <v/>
      </c>
      <c r="K494" s="4">
        <f>DATE(YEAR(B494),MONTH(B494),1)</f>
        <v/>
      </c>
    </row>
    <row r="495">
      <c r="A495" t="inlineStr">
        <is>
          <t>EM000494</t>
        </is>
      </c>
      <c r="B495" s="7" t="n">
        <v>46062</v>
      </c>
      <c r="C495" t="inlineStr">
        <is>
          <t>Gowning</t>
        </is>
      </c>
      <c r="D495" t="inlineStr">
        <is>
          <t>ISO 8</t>
        </is>
      </c>
      <c r="E495" t="inlineStr">
        <is>
          <t>Personnel glove</t>
        </is>
      </c>
      <c r="F495" t="n">
        <v>0</v>
      </c>
      <c r="G495" t="inlineStr">
        <is>
          <t>Tech C</t>
        </is>
      </c>
      <c r="H495">
        <f>INDEX(Limits!$B$2:$B$5,MATCH(E495,Limits!$A$2:$A$5,0))</f>
        <v/>
      </c>
      <c r="I495">
        <f>INDEX(Limits!$C$2:$C$5,MATCH(E495,Limits!$A$2:$A$5,0))</f>
        <v/>
      </c>
      <c r="J495">
        <f>IF(F495&gt;=I495,"Action",IF(F495&gt;=H495,"Alert","Pass"))</f>
        <v/>
      </c>
      <c r="K495" s="4">
        <f>DATE(YEAR(B495),MONTH(B495),1)</f>
        <v/>
      </c>
    </row>
    <row r="496">
      <c r="A496" t="inlineStr">
        <is>
          <t>EM000495</t>
        </is>
      </c>
      <c r="B496" s="7" t="n">
        <v>46063</v>
      </c>
      <c r="C496" t="inlineStr">
        <is>
          <t>CR-101</t>
        </is>
      </c>
      <c r="D496" t="inlineStr">
        <is>
          <t>ISO 7</t>
        </is>
      </c>
      <c r="E496" t="inlineStr">
        <is>
          <t>Active air</t>
        </is>
      </c>
      <c r="F496" t="n">
        <v>0</v>
      </c>
      <c r="G496" t="inlineStr">
        <is>
          <t>Tech D</t>
        </is>
      </c>
      <c r="H496">
        <f>INDEX(Limits!$B$2:$B$5,MATCH(E496,Limits!$A$2:$A$5,0))</f>
        <v/>
      </c>
      <c r="I496">
        <f>INDEX(Limits!$C$2:$C$5,MATCH(E496,Limits!$A$2:$A$5,0))</f>
        <v/>
      </c>
      <c r="J496">
        <f>IF(F496&gt;=I496,"Action",IF(F496&gt;=H496,"Alert","Pass"))</f>
        <v/>
      </c>
      <c r="K496" s="4">
        <f>DATE(YEAR(B496),MONTH(B496),1)</f>
        <v/>
      </c>
    </row>
    <row r="497">
      <c r="A497" t="inlineStr">
        <is>
          <t>EM000496</t>
        </is>
      </c>
      <c r="B497" s="7" t="n">
        <v>46063</v>
      </c>
      <c r="C497" t="inlineStr">
        <is>
          <t>CR-101</t>
        </is>
      </c>
      <c r="D497" t="inlineStr">
        <is>
          <t>ISO 7</t>
        </is>
      </c>
      <c r="E497" t="inlineStr">
        <is>
          <t>Surface contact</t>
        </is>
      </c>
      <c r="F497" t="n">
        <v>1</v>
      </c>
      <c r="G497" t="inlineStr">
        <is>
          <t>Tech A</t>
        </is>
      </c>
      <c r="H497">
        <f>INDEX(Limits!$B$2:$B$5,MATCH(E497,Limits!$A$2:$A$5,0))</f>
        <v/>
      </c>
      <c r="I497">
        <f>INDEX(Limits!$C$2:$C$5,MATCH(E497,Limits!$A$2:$A$5,0))</f>
        <v/>
      </c>
      <c r="J497">
        <f>IF(F497&gt;=I497,"Action",IF(F497&gt;=H497,"Alert","Pass"))</f>
        <v/>
      </c>
      <c r="K497" s="4">
        <f>DATE(YEAR(B497),MONTH(B497),1)</f>
        <v/>
      </c>
    </row>
    <row r="498">
      <c r="A498" t="inlineStr">
        <is>
          <t>EM000497</t>
        </is>
      </c>
      <c r="B498" s="7" t="n">
        <v>46063</v>
      </c>
      <c r="C498" t="inlineStr">
        <is>
          <t>CR-101</t>
        </is>
      </c>
      <c r="D498" t="inlineStr">
        <is>
          <t>ISO 7</t>
        </is>
      </c>
      <c r="E498" t="inlineStr">
        <is>
          <t>Compressed air</t>
        </is>
      </c>
      <c r="F498" t="n">
        <v>0</v>
      </c>
      <c r="G498" t="inlineStr">
        <is>
          <t>Tech C</t>
        </is>
      </c>
      <c r="H498">
        <f>INDEX(Limits!$B$2:$B$5,MATCH(E498,Limits!$A$2:$A$5,0))</f>
        <v/>
      </c>
      <c r="I498">
        <f>INDEX(Limits!$C$2:$C$5,MATCH(E498,Limits!$A$2:$A$5,0))</f>
        <v/>
      </c>
      <c r="J498">
        <f>IF(F498&gt;=I498,"Action",IF(F498&gt;=H498,"Alert","Pass"))</f>
        <v/>
      </c>
      <c r="K498" s="4">
        <f>DATE(YEAR(B498),MONTH(B498),1)</f>
        <v/>
      </c>
    </row>
    <row r="499">
      <c r="A499" t="inlineStr">
        <is>
          <t>EM000498</t>
        </is>
      </c>
      <c r="B499" s="7" t="n">
        <v>46063</v>
      </c>
      <c r="C499" t="inlineStr">
        <is>
          <t>CR-101</t>
        </is>
      </c>
      <c r="D499" t="inlineStr">
        <is>
          <t>ISO 7</t>
        </is>
      </c>
      <c r="E499" t="inlineStr">
        <is>
          <t>Personnel glove</t>
        </is>
      </c>
      <c r="F499" t="n">
        <v>0</v>
      </c>
      <c r="G499" t="inlineStr">
        <is>
          <t>Tech D</t>
        </is>
      </c>
      <c r="H499">
        <f>INDEX(Limits!$B$2:$B$5,MATCH(E499,Limits!$A$2:$A$5,0))</f>
        <v/>
      </c>
      <c r="I499">
        <f>INDEX(Limits!$C$2:$C$5,MATCH(E499,Limits!$A$2:$A$5,0))</f>
        <v/>
      </c>
      <c r="J499">
        <f>IF(F499&gt;=I499,"Action",IF(F499&gt;=H499,"Alert","Pass"))</f>
        <v/>
      </c>
      <c r="K499" s="4">
        <f>DATE(YEAR(B499),MONTH(B499),1)</f>
        <v/>
      </c>
    </row>
    <row r="500">
      <c r="A500" t="inlineStr">
        <is>
          <t>EM000499</t>
        </is>
      </c>
      <c r="B500" s="7" t="n">
        <v>46063</v>
      </c>
      <c r="C500" t="inlineStr">
        <is>
          <t>CR-102</t>
        </is>
      </c>
      <c r="D500" t="inlineStr">
        <is>
          <t>ISO 7</t>
        </is>
      </c>
      <c r="E500" t="inlineStr">
        <is>
          <t>Active air</t>
        </is>
      </c>
      <c r="F500" t="n">
        <v>1</v>
      </c>
      <c r="G500" t="inlineStr">
        <is>
          <t>Tech D</t>
        </is>
      </c>
      <c r="H500">
        <f>INDEX(Limits!$B$2:$B$5,MATCH(E500,Limits!$A$2:$A$5,0))</f>
        <v/>
      </c>
      <c r="I500">
        <f>INDEX(Limits!$C$2:$C$5,MATCH(E500,Limits!$A$2:$A$5,0))</f>
        <v/>
      </c>
      <c r="J500">
        <f>IF(F500&gt;=I500,"Action",IF(F500&gt;=H500,"Alert","Pass"))</f>
        <v/>
      </c>
      <c r="K500" s="4">
        <f>DATE(YEAR(B500),MONTH(B500),1)</f>
        <v/>
      </c>
    </row>
    <row r="501">
      <c r="A501" t="inlineStr">
        <is>
          <t>EM000500</t>
        </is>
      </c>
      <c r="B501" s="7" t="n">
        <v>46063</v>
      </c>
      <c r="C501" t="inlineStr">
        <is>
          <t>CR-102</t>
        </is>
      </c>
      <c r="D501" t="inlineStr">
        <is>
          <t>ISO 7</t>
        </is>
      </c>
      <c r="E501" t="inlineStr">
        <is>
          <t>Surface contact</t>
        </is>
      </c>
      <c r="F501" t="n">
        <v>0</v>
      </c>
      <c r="G501" t="inlineStr">
        <is>
          <t>Tech D</t>
        </is>
      </c>
      <c r="H501">
        <f>INDEX(Limits!$B$2:$B$5,MATCH(E501,Limits!$A$2:$A$5,0))</f>
        <v/>
      </c>
      <c r="I501">
        <f>INDEX(Limits!$C$2:$C$5,MATCH(E501,Limits!$A$2:$A$5,0))</f>
        <v/>
      </c>
      <c r="J501">
        <f>IF(F501&gt;=I501,"Action",IF(F501&gt;=H501,"Alert","Pass"))</f>
        <v/>
      </c>
      <c r="K501" s="4">
        <f>DATE(YEAR(B501),MONTH(B501),1)</f>
        <v/>
      </c>
    </row>
    <row r="502">
      <c r="A502" t="inlineStr">
        <is>
          <t>EM000501</t>
        </is>
      </c>
      <c r="B502" s="7" t="n">
        <v>46063</v>
      </c>
      <c r="C502" t="inlineStr">
        <is>
          <t>CR-102</t>
        </is>
      </c>
      <c r="D502" t="inlineStr">
        <is>
          <t>ISO 7</t>
        </is>
      </c>
      <c r="E502" t="inlineStr">
        <is>
          <t>Compressed air</t>
        </is>
      </c>
      <c r="F502" t="n">
        <v>0</v>
      </c>
      <c r="G502" t="inlineStr">
        <is>
          <t>Tech A</t>
        </is>
      </c>
      <c r="H502">
        <f>INDEX(Limits!$B$2:$B$5,MATCH(E502,Limits!$A$2:$A$5,0))</f>
        <v/>
      </c>
      <c r="I502">
        <f>INDEX(Limits!$C$2:$C$5,MATCH(E502,Limits!$A$2:$A$5,0))</f>
        <v/>
      </c>
      <c r="J502">
        <f>IF(F502&gt;=I502,"Action",IF(F502&gt;=H502,"Alert","Pass"))</f>
        <v/>
      </c>
      <c r="K502" s="4">
        <f>DATE(YEAR(B502),MONTH(B502),1)</f>
        <v/>
      </c>
    </row>
    <row r="503">
      <c r="A503" t="inlineStr">
        <is>
          <t>EM000502</t>
        </is>
      </c>
      <c r="B503" s="7" t="n">
        <v>46063</v>
      </c>
      <c r="C503" t="inlineStr">
        <is>
          <t>CR-102</t>
        </is>
      </c>
      <c r="D503" t="inlineStr">
        <is>
          <t>ISO 7</t>
        </is>
      </c>
      <c r="E503" t="inlineStr">
        <is>
          <t>Personnel glove</t>
        </is>
      </c>
      <c r="F503" t="n">
        <v>0</v>
      </c>
      <c r="G503" t="inlineStr">
        <is>
          <t>Tech A</t>
        </is>
      </c>
      <c r="H503">
        <f>INDEX(Limits!$B$2:$B$5,MATCH(E503,Limits!$A$2:$A$5,0))</f>
        <v/>
      </c>
      <c r="I503">
        <f>INDEX(Limits!$C$2:$C$5,MATCH(E503,Limits!$A$2:$A$5,0))</f>
        <v/>
      </c>
      <c r="J503">
        <f>IF(F503&gt;=I503,"Action",IF(F503&gt;=H503,"Alert","Pass"))</f>
        <v/>
      </c>
      <c r="K503" s="4">
        <f>DATE(YEAR(B503),MONTH(B503),1)</f>
        <v/>
      </c>
    </row>
    <row r="504">
      <c r="A504" t="inlineStr">
        <is>
          <t>EM000503</t>
        </is>
      </c>
      <c r="B504" s="7" t="n">
        <v>46063</v>
      </c>
      <c r="C504" t="inlineStr">
        <is>
          <t>CR-201</t>
        </is>
      </c>
      <c r="D504" t="inlineStr">
        <is>
          <t>ISO 8</t>
        </is>
      </c>
      <c r="E504" t="inlineStr">
        <is>
          <t>Active air</t>
        </is>
      </c>
      <c r="F504" t="n">
        <v>0</v>
      </c>
      <c r="G504" t="inlineStr">
        <is>
          <t>Tech C</t>
        </is>
      </c>
      <c r="H504">
        <f>INDEX(Limits!$B$2:$B$5,MATCH(E504,Limits!$A$2:$A$5,0))</f>
        <v/>
      </c>
      <c r="I504">
        <f>INDEX(Limits!$C$2:$C$5,MATCH(E504,Limits!$A$2:$A$5,0))</f>
        <v/>
      </c>
      <c r="J504">
        <f>IF(F504&gt;=I504,"Action",IF(F504&gt;=H504,"Alert","Pass"))</f>
        <v/>
      </c>
      <c r="K504" s="4">
        <f>DATE(YEAR(B504),MONTH(B504),1)</f>
        <v/>
      </c>
    </row>
    <row r="505">
      <c r="A505" t="inlineStr">
        <is>
          <t>EM000504</t>
        </is>
      </c>
      <c r="B505" s="7" t="n">
        <v>46063</v>
      </c>
      <c r="C505" t="inlineStr">
        <is>
          <t>CR-201</t>
        </is>
      </c>
      <c r="D505" t="inlineStr">
        <is>
          <t>ISO 8</t>
        </is>
      </c>
      <c r="E505" t="inlineStr">
        <is>
          <t>Surface contact</t>
        </is>
      </c>
      <c r="F505" t="n">
        <v>1</v>
      </c>
      <c r="G505" t="inlineStr">
        <is>
          <t>Tech D</t>
        </is>
      </c>
      <c r="H505">
        <f>INDEX(Limits!$B$2:$B$5,MATCH(E505,Limits!$A$2:$A$5,0))</f>
        <v/>
      </c>
      <c r="I505">
        <f>INDEX(Limits!$C$2:$C$5,MATCH(E505,Limits!$A$2:$A$5,0))</f>
        <v/>
      </c>
      <c r="J505">
        <f>IF(F505&gt;=I505,"Action",IF(F505&gt;=H505,"Alert","Pass"))</f>
        <v/>
      </c>
      <c r="K505" s="4">
        <f>DATE(YEAR(B505),MONTH(B505),1)</f>
        <v/>
      </c>
    </row>
    <row r="506">
      <c r="A506" t="inlineStr">
        <is>
          <t>EM000505</t>
        </is>
      </c>
      <c r="B506" s="7" t="n">
        <v>46063</v>
      </c>
      <c r="C506" t="inlineStr">
        <is>
          <t>CR-201</t>
        </is>
      </c>
      <c r="D506" t="inlineStr">
        <is>
          <t>ISO 8</t>
        </is>
      </c>
      <c r="E506" t="inlineStr">
        <is>
          <t>Compressed air</t>
        </is>
      </c>
      <c r="F506" t="n">
        <v>0</v>
      </c>
      <c r="G506" t="inlineStr">
        <is>
          <t>Tech D</t>
        </is>
      </c>
      <c r="H506">
        <f>INDEX(Limits!$B$2:$B$5,MATCH(E506,Limits!$A$2:$A$5,0))</f>
        <v/>
      </c>
      <c r="I506">
        <f>INDEX(Limits!$C$2:$C$5,MATCH(E506,Limits!$A$2:$A$5,0))</f>
        <v/>
      </c>
      <c r="J506">
        <f>IF(F506&gt;=I506,"Action",IF(F506&gt;=H506,"Alert","Pass"))</f>
        <v/>
      </c>
      <c r="K506" s="4">
        <f>DATE(YEAR(B506),MONTH(B506),1)</f>
        <v/>
      </c>
    </row>
    <row r="507">
      <c r="A507" t="inlineStr">
        <is>
          <t>EM000506</t>
        </is>
      </c>
      <c r="B507" s="7" t="n">
        <v>46063</v>
      </c>
      <c r="C507" t="inlineStr">
        <is>
          <t>CR-201</t>
        </is>
      </c>
      <c r="D507" t="inlineStr">
        <is>
          <t>ISO 8</t>
        </is>
      </c>
      <c r="E507" t="inlineStr">
        <is>
          <t>Personnel glove</t>
        </is>
      </c>
      <c r="F507" t="n">
        <v>0</v>
      </c>
      <c r="G507" t="inlineStr">
        <is>
          <t>Tech C</t>
        </is>
      </c>
      <c r="H507">
        <f>INDEX(Limits!$B$2:$B$5,MATCH(E507,Limits!$A$2:$A$5,0))</f>
        <v/>
      </c>
      <c r="I507">
        <f>INDEX(Limits!$C$2:$C$5,MATCH(E507,Limits!$A$2:$A$5,0))</f>
        <v/>
      </c>
      <c r="J507">
        <f>IF(F507&gt;=I507,"Action",IF(F507&gt;=H507,"Alert","Pass"))</f>
        <v/>
      </c>
      <c r="K507" s="4">
        <f>DATE(YEAR(B507),MONTH(B507),1)</f>
        <v/>
      </c>
    </row>
    <row r="508">
      <c r="A508" t="inlineStr">
        <is>
          <t>EM000507</t>
        </is>
      </c>
      <c r="B508" s="7" t="n">
        <v>46063</v>
      </c>
      <c r="C508" t="inlineStr">
        <is>
          <t>CR-202</t>
        </is>
      </c>
      <c r="D508" t="inlineStr">
        <is>
          <t>ISO 8</t>
        </is>
      </c>
      <c r="E508" t="inlineStr">
        <is>
          <t>Active air</t>
        </is>
      </c>
      <c r="F508" t="n">
        <v>3</v>
      </c>
      <c r="G508" t="inlineStr">
        <is>
          <t>Tech D</t>
        </is>
      </c>
      <c r="H508">
        <f>INDEX(Limits!$B$2:$B$5,MATCH(E508,Limits!$A$2:$A$5,0))</f>
        <v/>
      </c>
      <c r="I508">
        <f>INDEX(Limits!$C$2:$C$5,MATCH(E508,Limits!$A$2:$A$5,0))</f>
        <v/>
      </c>
      <c r="J508">
        <f>IF(F508&gt;=I508,"Action",IF(F508&gt;=H508,"Alert","Pass"))</f>
        <v/>
      </c>
      <c r="K508" s="4">
        <f>DATE(YEAR(B508),MONTH(B508),1)</f>
        <v/>
      </c>
    </row>
    <row r="509">
      <c r="A509" t="inlineStr">
        <is>
          <t>EM000508</t>
        </is>
      </c>
      <c r="B509" s="7" t="n">
        <v>46063</v>
      </c>
      <c r="C509" t="inlineStr">
        <is>
          <t>CR-202</t>
        </is>
      </c>
      <c r="D509" t="inlineStr">
        <is>
          <t>ISO 8</t>
        </is>
      </c>
      <c r="E509" t="inlineStr">
        <is>
          <t>Surface contact</t>
        </is>
      </c>
      <c r="F509" t="n">
        <v>3</v>
      </c>
      <c r="G509" t="inlineStr">
        <is>
          <t>Tech C</t>
        </is>
      </c>
      <c r="H509">
        <f>INDEX(Limits!$B$2:$B$5,MATCH(E509,Limits!$A$2:$A$5,0))</f>
        <v/>
      </c>
      <c r="I509">
        <f>INDEX(Limits!$C$2:$C$5,MATCH(E509,Limits!$A$2:$A$5,0))</f>
        <v/>
      </c>
      <c r="J509">
        <f>IF(F509&gt;=I509,"Action",IF(F509&gt;=H509,"Alert","Pass"))</f>
        <v/>
      </c>
      <c r="K509" s="4">
        <f>DATE(YEAR(B509),MONTH(B509),1)</f>
        <v/>
      </c>
    </row>
    <row r="510">
      <c r="A510" t="inlineStr">
        <is>
          <t>EM000509</t>
        </is>
      </c>
      <c r="B510" s="7" t="n">
        <v>46063</v>
      </c>
      <c r="C510" t="inlineStr">
        <is>
          <t>CR-202</t>
        </is>
      </c>
      <c r="D510" t="inlineStr">
        <is>
          <t>ISO 8</t>
        </is>
      </c>
      <c r="E510" t="inlineStr">
        <is>
          <t>Compressed air</t>
        </is>
      </c>
      <c r="F510" t="n">
        <v>0</v>
      </c>
      <c r="G510" t="inlineStr">
        <is>
          <t>Tech B</t>
        </is>
      </c>
      <c r="H510">
        <f>INDEX(Limits!$B$2:$B$5,MATCH(E510,Limits!$A$2:$A$5,0))</f>
        <v/>
      </c>
      <c r="I510">
        <f>INDEX(Limits!$C$2:$C$5,MATCH(E510,Limits!$A$2:$A$5,0))</f>
        <v/>
      </c>
      <c r="J510">
        <f>IF(F510&gt;=I510,"Action",IF(F510&gt;=H510,"Alert","Pass"))</f>
        <v/>
      </c>
      <c r="K510" s="4">
        <f>DATE(YEAR(B510),MONTH(B510),1)</f>
        <v/>
      </c>
    </row>
    <row r="511">
      <c r="A511" t="inlineStr">
        <is>
          <t>EM000510</t>
        </is>
      </c>
      <c r="B511" s="7" t="n">
        <v>46063</v>
      </c>
      <c r="C511" t="inlineStr">
        <is>
          <t>CR-202</t>
        </is>
      </c>
      <c r="D511" t="inlineStr">
        <is>
          <t>ISO 8</t>
        </is>
      </c>
      <c r="E511" t="inlineStr">
        <is>
          <t>Personnel glove</t>
        </is>
      </c>
      <c r="F511" t="n">
        <v>0</v>
      </c>
      <c r="G511" t="inlineStr">
        <is>
          <t>Tech C</t>
        </is>
      </c>
      <c r="H511">
        <f>INDEX(Limits!$B$2:$B$5,MATCH(E511,Limits!$A$2:$A$5,0))</f>
        <v/>
      </c>
      <c r="I511">
        <f>INDEX(Limits!$C$2:$C$5,MATCH(E511,Limits!$A$2:$A$5,0))</f>
        <v/>
      </c>
      <c r="J511">
        <f>IF(F511&gt;=I511,"Action",IF(F511&gt;=H511,"Alert","Pass"))</f>
        <v/>
      </c>
      <c r="K511" s="4">
        <f>DATE(YEAR(B511),MONTH(B511),1)</f>
        <v/>
      </c>
    </row>
    <row r="512">
      <c r="A512" t="inlineStr">
        <is>
          <t>EM000511</t>
        </is>
      </c>
      <c r="B512" s="7" t="n">
        <v>46063</v>
      </c>
      <c r="C512" t="inlineStr">
        <is>
          <t>Gowning</t>
        </is>
      </c>
      <c r="D512" t="inlineStr">
        <is>
          <t>ISO 8</t>
        </is>
      </c>
      <c r="E512" t="inlineStr">
        <is>
          <t>Active air</t>
        </is>
      </c>
      <c r="F512" t="n">
        <v>2</v>
      </c>
      <c r="G512" t="inlineStr">
        <is>
          <t>Tech D</t>
        </is>
      </c>
      <c r="H512">
        <f>INDEX(Limits!$B$2:$B$5,MATCH(E512,Limits!$A$2:$A$5,0))</f>
        <v/>
      </c>
      <c r="I512">
        <f>INDEX(Limits!$C$2:$C$5,MATCH(E512,Limits!$A$2:$A$5,0))</f>
        <v/>
      </c>
      <c r="J512">
        <f>IF(F512&gt;=I512,"Action",IF(F512&gt;=H512,"Alert","Pass"))</f>
        <v/>
      </c>
      <c r="K512" s="4">
        <f>DATE(YEAR(B512),MONTH(B512),1)</f>
        <v/>
      </c>
    </row>
    <row r="513">
      <c r="A513" t="inlineStr">
        <is>
          <t>EM000512</t>
        </is>
      </c>
      <c r="B513" s="7" t="n">
        <v>46063</v>
      </c>
      <c r="C513" t="inlineStr">
        <is>
          <t>Gowning</t>
        </is>
      </c>
      <c r="D513" t="inlineStr">
        <is>
          <t>ISO 8</t>
        </is>
      </c>
      <c r="E513" t="inlineStr">
        <is>
          <t>Surface contact</t>
        </is>
      </c>
      <c r="F513" t="n">
        <v>2</v>
      </c>
      <c r="G513" t="inlineStr">
        <is>
          <t>Tech A</t>
        </is>
      </c>
      <c r="H513">
        <f>INDEX(Limits!$B$2:$B$5,MATCH(E513,Limits!$A$2:$A$5,0))</f>
        <v/>
      </c>
      <c r="I513">
        <f>INDEX(Limits!$C$2:$C$5,MATCH(E513,Limits!$A$2:$A$5,0))</f>
        <v/>
      </c>
      <c r="J513">
        <f>IF(F513&gt;=I513,"Action",IF(F513&gt;=H513,"Alert","Pass"))</f>
        <v/>
      </c>
      <c r="K513" s="4">
        <f>DATE(YEAR(B513),MONTH(B513),1)</f>
        <v/>
      </c>
    </row>
    <row r="514">
      <c r="A514" t="inlineStr">
        <is>
          <t>EM000513</t>
        </is>
      </c>
      <c r="B514" s="7" t="n">
        <v>46063</v>
      </c>
      <c r="C514" t="inlineStr">
        <is>
          <t>Gowning</t>
        </is>
      </c>
      <c r="D514" t="inlineStr">
        <is>
          <t>ISO 8</t>
        </is>
      </c>
      <c r="E514" t="inlineStr">
        <is>
          <t>Personnel glove</t>
        </is>
      </c>
      <c r="F514" t="n">
        <v>0</v>
      </c>
      <c r="G514" t="inlineStr">
        <is>
          <t>Tech A</t>
        </is>
      </c>
      <c r="H514">
        <f>INDEX(Limits!$B$2:$B$5,MATCH(E514,Limits!$A$2:$A$5,0))</f>
        <v/>
      </c>
      <c r="I514">
        <f>INDEX(Limits!$C$2:$C$5,MATCH(E514,Limits!$A$2:$A$5,0))</f>
        <v/>
      </c>
      <c r="J514">
        <f>IF(F514&gt;=I514,"Action",IF(F514&gt;=H514,"Alert","Pass"))</f>
        <v/>
      </c>
      <c r="K514" s="4">
        <f>DATE(YEAR(B514),MONTH(B514),1)</f>
        <v/>
      </c>
    </row>
    <row r="515">
      <c r="A515" t="inlineStr">
        <is>
          <t>EM000514</t>
        </is>
      </c>
      <c r="B515" s="7" t="n">
        <v>46064</v>
      </c>
      <c r="C515" t="inlineStr">
        <is>
          <t>CR-101</t>
        </is>
      </c>
      <c r="D515" t="inlineStr">
        <is>
          <t>ISO 7</t>
        </is>
      </c>
      <c r="E515" t="inlineStr">
        <is>
          <t>Active air</t>
        </is>
      </c>
      <c r="F515" t="n">
        <v>0</v>
      </c>
      <c r="G515" t="inlineStr">
        <is>
          <t>Tech A</t>
        </is>
      </c>
      <c r="H515">
        <f>INDEX(Limits!$B$2:$B$5,MATCH(E515,Limits!$A$2:$A$5,0))</f>
        <v/>
      </c>
      <c r="I515">
        <f>INDEX(Limits!$C$2:$C$5,MATCH(E515,Limits!$A$2:$A$5,0))</f>
        <v/>
      </c>
      <c r="J515">
        <f>IF(F515&gt;=I515,"Action",IF(F515&gt;=H515,"Alert","Pass"))</f>
        <v/>
      </c>
      <c r="K515" s="4">
        <f>DATE(YEAR(B515),MONTH(B515),1)</f>
        <v/>
      </c>
    </row>
    <row r="516">
      <c r="A516" t="inlineStr">
        <is>
          <t>EM000515</t>
        </is>
      </c>
      <c r="B516" s="7" t="n">
        <v>46064</v>
      </c>
      <c r="C516" t="inlineStr">
        <is>
          <t>CR-101</t>
        </is>
      </c>
      <c r="D516" t="inlineStr">
        <is>
          <t>ISO 7</t>
        </is>
      </c>
      <c r="E516" t="inlineStr">
        <is>
          <t>Surface contact</t>
        </is>
      </c>
      <c r="F516" t="n">
        <v>0</v>
      </c>
      <c r="G516" t="inlineStr">
        <is>
          <t>Tech C</t>
        </is>
      </c>
      <c r="H516">
        <f>INDEX(Limits!$B$2:$B$5,MATCH(E516,Limits!$A$2:$A$5,0))</f>
        <v/>
      </c>
      <c r="I516">
        <f>INDEX(Limits!$C$2:$C$5,MATCH(E516,Limits!$A$2:$A$5,0))</f>
        <v/>
      </c>
      <c r="J516">
        <f>IF(F516&gt;=I516,"Action",IF(F516&gt;=H516,"Alert","Pass"))</f>
        <v/>
      </c>
      <c r="K516" s="4">
        <f>DATE(YEAR(B516),MONTH(B516),1)</f>
        <v/>
      </c>
    </row>
    <row r="517">
      <c r="A517" t="inlineStr">
        <is>
          <t>EM000516</t>
        </is>
      </c>
      <c r="B517" s="7" t="n">
        <v>46064</v>
      </c>
      <c r="C517" t="inlineStr">
        <is>
          <t>CR-101</t>
        </is>
      </c>
      <c r="D517" t="inlineStr">
        <is>
          <t>ISO 7</t>
        </is>
      </c>
      <c r="E517" t="inlineStr">
        <is>
          <t>Compressed air</t>
        </is>
      </c>
      <c r="F517" t="n">
        <v>0</v>
      </c>
      <c r="G517" t="inlineStr">
        <is>
          <t>Tech A</t>
        </is>
      </c>
      <c r="H517">
        <f>INDEX(Limits!$B$2:$B$5,MATCH(E517,Limits!$A$2:$A$5,0))</f>
        <v/>
      </c>
      <c r="I517">
        <f>INDEX(Limits!$C$2:$C$5,MATCH(E517,Limits!$A$2:$A$5,0))</f>
        <v/>
      </c>
      <c r="J517">
        <f>IF(F517&gt;=I517,"Action",IF(F517&gt;=H517,"Alert","Pass"))</f>
        <v/>
      </c>
      <c r="K517" s="4">
        <f>DATE(YEAR(B517),MONTH(B517),1)</f>
        <v/>
      </c>
    </row>
    <row r="518">
      <c r="A518" t="inlineStr">
        <is>
          <t>EM000517</t>
        </is>
      </c>
      <c r="B518" s="7" t="n">
        <v>46064</v>
      </c>
      <c r="C518" t="inlineStr">
        <is>
          <t>CR-101</t>
        </is>
      </c>
      <c r="D518" t="inlineStr">
        <is>
          <t>ISO 7</t>
        </is>
      </c>
      <c r="E518" t="inlineStr">
        <is>
          <t>Personnel glove</t>
        </is>
      </c>
      <c r="F518" t="n">
        <v>0</v>
      </c>
      <c r="G518" t="inlineStr">
        <is>
          <t>Tech A</t>
        </is>
      </c>
      <c r="H518">
        <f>INDEX(Limits!$B$2:$B$5,MATCH(E518,Limits!$A$2:$A$5,0))</f>
        <v/>
      </c>
      <c r="I518">
        <f>INDEX(Limits!$C$2:$C$5,MATCH(E518,Limits!$A$2:$A$5,0))</f>
        <v/>
      </c>
      <c r="J518">
        <f>IF(F518&gt;=I518,"Action",IF(F518&gt;=H518,"Alert","Pass"))</f>
        <v/>
      </c>
      <c r="K518" s="4">
        <f>DATE(YEAR(B518),MONTH(B518),1)</f>
        <v/>
      </c>
    </row>
    <row r="519">
      <c r="A519" t="inlineStr">
        <is>
          <t>EM000518</t>
        </is>
      </c>
      <c r="B519" s="7" t="n">
        <v>46064</v>
      </c>
      <c r="C519" t="inlineStr">
        <is>
          <t>CR-102</t>
        </is>
      </c>
      <c r="D519" t="inlineStr">
        <is>
          <t>ISO 7</t>
        </is>
      </c>
      <c r="E519" t="inlineStr">
        <is>
          <t>Active air</t>
        </is>
      </c>
      <c r="F519" t="n">
        <v>0</v>
      </c>
      <c r="G519" t="inlineStr">
        <is>
          <t>Tech C</t>
        </is>
      </c>
      <c r="H519">
        <f>INDEX(Limits!$B$2:$B$5,MATCH(E519,Limits!$A$2:$A$5,0))</f>
        <v/>
      </c>
      <c r="I519">
        <f>INDEX(Limits!$C$2:$C$5,MATCH(E519,Limits!$A$2:$A$5,0))</f>
        <v/>
      </c>
      <c r="J519">
        <f>IF(F519&gt;=I519,"Action",IF(F519&gt;=H519,"Alert","Pass"))</f>
        <v/>
      </c>
      <c r="K519" s="4">
        <f>DATE(YEAR(B519),MONTH(B519),1)</f>
        <v/>
      </c>
    </row>
    <row r="520">
      <c r="A520" t="inlineStr">
        <is>
          <t>EM000519</t>
        </is>
      </c>
      <c r="B520" s="7" t="n">
        <v>46064</v>
      </c>
      <c r="C520" t="inlineStr">
        <is>
          <t>CR-102</t>
        </is>
      </c>
      <c r="D520" t="inlineStr">
        <is>
          <t>ISO 7</t>
        </is>
      </c>
      <c r="E520" t="inlineStr">
        <is>
          <t>Surface contact</t>
        </is>
      </c>
      <c r="F520" t="n">
        <v>0</v>
      </c>
      <c r="G520" t="inlineStr">
        <is>
          <t>Tech D</t>
        </is>
      </c>
      <c r="H520">
        <f>INDEX(Limits!$B$2:$B$5,MATCH(E520,Limits!$A$2:$A$5,0))</f>
        <v/>
      </c>
      <c r="I520">
        <f>INDEX(Limits!$C$2:$C$5,MATCH(E520,Limits!$A$2:$A$5,0))</f>
        <v/>
      </c>
      <c r="J520">
        <f>IF(F520&gt;=I520,"Action",IF(F520&gt;=H520,"Alert","Pass"))</f>
        <v/>
      </c>
      <c r="K520" s="4">
        <f>DATE(YEAR(B520),MONTH(B520),1)</f>
        <v/>
      </c>
    </row>
    <row r="521">
      <c r="A521" t="inlineStr">
        <is>
          <t>EM000520</t>
        </is>
      </c>
      <c r="B521" s="7" t="n">
        <v>46064</v>
      </c>
      <c r="C521" t="inlineStr">
        <is>
          <t>CR-102</t>
        </is>
      </c>
      <c r="D521" t="inlineStr">
        <is>
          <t>ISO 7</t>
        </is>
      </c>
      <c r="E521" t="inlineStr">
        <is>
          <t>Compressed air</t>
        </is>
      </c>
      <c r="F521" t="n">
        <v>0</v>
      </c>
      <c r="G521" t="inlineStr">
        <is>
          <t>Tech A</t>
        </is>
      </c>
      <c r="H521">
        <f>INDEX(Limits!$B$2:$B$5,MATCH(E521,Limits!$A$2:$A$5,0))</f>
        <v/>
      </c>
      <c r="I521">
        <f>INDEX(Limits!$C$2:$C$5,MATCH(E521,Limits!$A$2:$A$5,0))</f>
        <v/>
      </c>
      <c r="J521">
        <f>IF(F521&gt;=I521,"Action",IF(F521&gt;=H521,"Alert","Pass"))</f>
        <v/>
      </c>
      <c r="K521" s="4">
        <f>DATE(YEAR(B521),MONTH(B521),1)</f>
        <v/>
      </c>
    </row>
    <row r="522">
      <c r="A522" t="inlineStr">
        <is>
          <t>EM000521</t>
        </is>
      </c>
      <c r="B522" s="7" t="n">
        <v>46064</v>
      </c>
      <c r="C522" t="inlineStr">
        <is>
          <t>CR-102</t>
        </is>
      </c>
      <c r="D522" t="inlineStr">
        <is>
          <t>ISO 7</t>
        </is>
      </c>
      <c r="E522" t="inlineStr">
        <is>
          <t>Personnel glove</t>
        </is>
      </c>
      <c r="F522" t="n">
        <v>0</v>
      </c>
      <c r="G522" t="inlineStr">
        <is>
          <t>Tech D</t>
        </is>
      </c>
      <c r="H522">
        <f>INDEX(Limits!$B$2:$B$5,MATCH(E522,Limits!$A$2:$A$5,0))</f>
        <v/>
      </c>
      <c r="I522">
        <f>INDEX(Limits!$C$2:$C$5,MATCH(E522,Limits!$A$2:$A$5,0))</f>
        <v/>
      </c>
      <c r="J522">
        <f>IF(F522&gt;=I522,"Action",IF(F522&gt;=H522,"Alert","Pass"))</f>
        <v/>
      </c>
      <c r="K522" s="4">
        <f>DATE(YEAR(B522),MONTH(B522),1)</f>
        <v/>
      </c>
    </row>
    <row r="523">
      <c r="A523" t="inlineStr">
        <is>
          <t>EM000522</t>
        </is>
      </c>
      <c r="B523" s="7" t="n">
        <v>46064</v>
      </c>
      <c r="C523" t="inlineStr">
        <is>
          <t>CR-201</t>
        </is>
      </c>
      <c r="D523" t="inlineStr">
        <is>
          <t>ISO 8</t>
        </is>
      </c>
      <c r="E523" t="inlineStr">
        <is>
          <t>Active air</t>
        </is>
      </c>
      <c r="F523" t="n">
        <v>3</v>
      </c>
      <c r="G523" t="inlineStr">
        <is>
          <t>Tech B</t>
        </is>
      </c>
      <c r="H523">
        <f>INDEX(Limits!$B$2:$B$5,MATCH(E523,Limits!$A$2:$A$5,0))</f>
        <v/>
      </c>
      <c r="I523">
        <f>INDEX(Limits!$C$2:$C$5,MATCH(E523,Limits!$A$2:$A$5,0))</f>
        <v/>
      </c>
      <c r="J523">
        <f>IF(F523&gt;=I523,"Action",IF(F523&gt;=H523,"Alert","Pass"))</f>
        <v/>
      </c>
      <c r="K523" s="4">
        <f>DATE(YEAR(B523),MONTH(B523),1)</f>
        <v/>
      </c>
    </row>
    <row r="524">
      <c r="A524" t="inlineStr">
        <is>
          <t>EM000523</t>
        </is>
      </c>
      <c r="B524" s="7" t="n">
        <v>46064</v>
      </c>
      <c r="C524" t="inlineStr">
        <is>
          <t>CR-201</t>
        </is>
      </c>
      <c r="D524" t="inlineStr">
        <is>
          <t>ISO 8</t>
        </is>
      </c>
      <c r="E524" t="inlineStr">
        <is>
          <t>Surface contact</t>
        </is>
      </c>
      <c r="F524" t="n">
        <v>0</v>
      </c>
      <c r="G524" t="inlineStr">
        <is>
          <t>Tech C</t>
        </is>
      </c>
      <c r="H524">
        <f>INDEX(Limits!$B$2:$B$5,MATCH(E524,Limits!$A$2:$A$5,0))</f>
        <v/>
      </c>
      <c r="I524">
        <f>INDEX(Limits!$C$2:$C$5,MATCH(E524,Limits!$A$2:$A$5,0))</f>
        <v/>
      </c>
      <c r="J524">
        <f>IF(F524&gt;=I524,"Action",IF(F524&gt;=H524,"Alert","Pass"))</f>
        <v/>
      </c>
      <c r="K524" s="4">
        <f>DATE(YEAR(B524),MONTH(B524),1)</f>
        <v/>
      </c>
    </row>
    <row r="525">
      <c r="A525" t="inlineStr">
        <is>
          <t>EM000524</t>
        </is>
      </c>
      <c r="B525" s="7" t="n">
        <v>46064</v>
      </c>
      <c r="C525" t="inlineStr">
        <is>
          <t>CR-201</t>
        </is>
      </c>
      <c r="D525" t="inlineStr">
        <is>
          <t>ISO 8</t>
        </is>
      </c>
      <c r="E525" t="inlineStr">
        <is>
          <t>Compressed air</t>
        </is>
      </c>
      <c r="F525" t="n">
        <v>0</v>
      </c>
      <c r="G525" t="inlineStr">
        <is>
          <t>Tech B</t>
        </is>
      </c>
      <c r="H525">
        <f>INDEX(Limits!$B$2:$B$5,MATCH(E525,Limits!$A$2:$A$5,0))</f>
        <v/>
      </c>
      <c r="I525">
        <f>INDEX(Limits!$C$2:$C$5,MATCH(E525,Limits!$A$2:$A$5,0))</f>
        <v/>
      </c>
      <c r="J525">
        <f>IF(F525&gt;=I525,"Action",IF(F525&gt;=H525,"Alert","Pass"))</f>
        <v/>
      </c>
      <c r="K525" s="4">
        <f>DATE(YEAR(B525),MONTH(B525),1)</f>
        <v/>
      </c>
    </row>
    <row r="526">
      <c r="A526" t="inlineStr">
        <is>
          <t>EM000525</t>
        </is>
      </c>
      <c r="B526" s="7" t="n">
        <v>46064</v>
      </c>
      <c r="C526" t="inlineStr">
        <is>
          <t>CR-201</t>
        </is>
      </c>
      <c r="D526" t="inlineStr">
        <is>
          <t>ISO 8</t>
        </is>
      </c>
      <c r="E526" t="inlineStr">
        <is>
          <t>Personnel glove</t>
        </is>
      </c>
      <c r="F526" t="n">
        <v>0</v>
      </c>
      <c r="G526" t="inlineStr">
        <is>
          <t>Tech D</t>
        </is>
      </c>
      <c r="H526">
        <f>INDEX(Limits!$B$2:$B$5,MATCH(E526,Limits!$A$2:$A$5,0))</f>
        <v/>
      </c>
      <c r="I526">
        <f>INDEX(Limits!$C$2:$C$5,MATCH(E526,Limits!$A$2:$A$5,0))</f>
        <v/>
      </c>
      <c r="J526">
        <f>IF(F526&gt;=I526,"Action",IF(F526&gt;=H526,"Alert","Pass"))</f>
        <v/>
      </c>
      <c r="K526" s="4">
        <f>DATE(YEAR(B526),MONTH(B526),1)</f>
        <v/>
      </c>
    </row>
    <row r="527">
      <c r="A527" t="inlineStr">
        <is>
          <t>EM000526</t>
        </is>
      </c>
      <c r="B527" s="7" t="n">
        <v>46064</v>
      </c>
      <c r="C527" t="inlineStr">
        <is>
          <t>CR-202</t>
        </is>
      </c>
      <c r="D527" t="inlineStr">
        <is>
          <t>ISO 8</t>
        </is>
      </c>
      <c r="E527" t="inlineStr">
        <is>
          <t>Active air</t>
        </is>
      </c>
      <c r="F527" t="n">
        <v>2</v>
      </c>
      <c r="G527" t="inlineStr">
        <is>
          <t>Tech D</t>
        </is>
      </c>
      <c r="H527">
        <f>INDEX(Limits!$B$2:$B$5,MATCH(E527,Limits!$A$2:$A$5,0))</f>
        <v/>
      </c>
      <c r="I527">
        <f>INDEX(Limits!$C$2:$C$5,MATCH(E527,Limits!$A$2:$A$5,0))</f>
        <v/>
      </c>
      <c r="J527">
        <f>IF(F527&gt;=I527,"Action",IF(F527&gt;=H527,"Alert","Pass"))</f>
        <v/>
      </c>
      <c r="K527" s="4">
        <f>DATE(YEAR(B527),MONTH(B527),1)</f>
        <v/>
      </c>
    </row>
    <row r="528">
      <c r="A528" t="inlineStr">
        <is>
          <t>EM000527</t>
        </is>
      </c>
      <c r="B528" s="7" t="n">
        <v>46064</v>
      </c>
      <c r="C528" t="inlineStr">
        <is>
          <t>CR-202</t>
        </is>
      </c>
      <c r="D528" t="inlineStr">
        <is>
          <t>ISO 8</t>
        </is>
      </c>
      <c r="E528" t="inlineStr">
        <is>
          <t>Surface contact</t>
        </is>
      </c>
      <c r="F528" t="n">
        <v>1</v>
      </c>
      <c r="G528" t="inlineStr">
        <is>
          <t>Tech D</t>
        </is>
      </c>
      <c r="H528">
        <f>INDEX(Limits!$B$2:$B$5,MATCH(E528,Limits!$A$2:$A$5,0))</f>
        <v/>
      </c>
      <c r="I528">
        <f>INDEX(Limits!$C$2:$C$5,MATCH(E528,Limits!$A$2:$A$5,0))</f>
        <v/>
      </c>
      <c r="J528">
        <f>IF(F528&gt;=I528,"Action",IF(F528&gt;=H528,"Alert","Pass"))</f>
        <v/>
      </c>
      <c r="K528" s="4">
        <f>DATE(YEAR(B528),MONTH(B528),1)</f>
        <v/>
      </c>
    </row>
    <row r="529">
      <c r="A529" t="inlineStr">
        <is>
          <t>EM000528</t>
        </is>
      </c>
      <c r="B529" s="7" t="n">
        <v>46064</v>
      </c>
      <c r="C529" t="inlineStr">
        <is>
          <t>CR-202</t>
        </is>
      </c>
      <c r="D529" t="inlineStr">
        <is>
          <t>ISO 8</t>
        </is>
      </c>
      <c r="E529" t="inlineStr">
        <is>
          <t>Compressed air</t>
        </is>
      </c>
      <c r="F529" t="n">
        <v>0</v>
      </c>
      <c r="G529" t="inlineStr">
        <is>
          <t>Tech A</t>
        </is>
      </c>
      <c r="H529">
        <f>INDEX(Limits!$B$2:$B$5,MATCH(E529,Limits!$A$2:$A$5,0))</f>
        <v/>
      </c>
      <c r="I529">
        <f>INDEX(Limits!$C$2:$C$5,MATCH(E529,Limits!$A$2:$A$5,0))</f>
        <v/>
      </c>
      <c r="J529">
        <f>IF(F529&gt;=I529,"Action",IF(F529&gt;=H529,"Alert","Pass"))</f>
        <v/>
      </c>
      <c r="K529" s="4">
        <f>DATE(YEAR(B529),MONTH(B529),1)</f>
        <v/>
      </c>
    </row>
    <row r="530">
      <c r="A530" t="inlineStr">
        <is>
          <t>EM000529</t>
        </is>
      </c>
      <c r="B530" s="7" t="n">
        <v>46064</v>
      </c>
      <c r="C530" t="inlineStr">
        <is>
          <t>CR-202</t>
        </is>
      </c>
      <c r="D530" t="inlineStr">
        <is>
          <t>ISO 8</t>
        </is>
      </c>
      <c r="E530" t="inlineStr">
        <is>
          <t>Personnel glove</t>
        </is>
      </c>
      <c r="F530" t="n">
        <v>0</v>
      </c>
      <c r="G530" t="inlineStr">
        <is>
          <t>Tech B</t>
        </is>
      </c>
      <c r="H530">
        <f>INDEX(Limits!$B$2:$B$5,MATCH(E530,Limits!$A$2:$A$5,0))</f>
        <v/>
      </c>
      <c r="I530">
        <f>INDEX(Limits!$C$2:$C$5,MATCH(E530,Limits!$A$2:$A$5,0))</f>
        <v/>
      </c>
      <c r="J530">
        <f>IF(F530&gt;=I530,"Action",IF(F530&gt;=H530,"Alert","Pass"))</f>
        <v/>
      </c>
      <c r="K530" s="4">
        <f>DATE(YEAR(B530),MONTH(B530),1)</f>
        <v/>
      </c>
    </row>
    <row r="531">
      <c r="A531" t="inlineStr">
        <is>
          <t>EM000530</t>
        </is>
      </c>
      <c r="B531" s="7" t="n">
        <v>46064</v>
      </c>
      <c r="C531" t="inlineStr">
        <is>
          <t>Gowning</t>
        </is>
      </c>
      <c r="D531" t="inlineStr">
        <is>
          <t>ISO 8</t>
        </is>
      </c>
      <c r="E531" t="inlineStr">
        <is>
          <t>Active air</t>
        </is>
      </c>
      <c r="F531" t="n">
        <v>2</v>
      </c>
      <c r="G531" t="inlineStr">
        <is>
          <t>Tech C</t>
        </is>
      </c>
      <c r="H531">
        <f>INDEX(Limits!$B$2:$B$5,MATCH(E531,Limits!$A$2:$A$5,0))</f>
        <v/>
      </c>
      <c r="I531">
        <f>INDEX(Limits!$C$2:$C$5,MATCH(E531,Limits!$A$2:$A$5,0))</f>
        <v/>
      </c>
      <c r="J531">
        <f>IF(F531&gt;=I531,"Action",IF(F531&gt;=H531,"Alert","Pass"))</f>
        <v/>
      </c>
      <c r="K531" s="4">
        <f>DATE(YEAR(B531),MONTH(B531),1)</f>
        <v/>
      </c>
    </row>
    <row r="532">
      <c r="A532" t="inlineStr">
        <is>
          <t>EM000531</t>
        </is>
      </c>
      <c r="B532" s="7" t="n">
        <v>46064</v>
      </c>
      <c r="C532" t="inlineStr">
        <is>
          <t>Gowning</t>
        </is>
      </c>
      <c r="D532" t="inlineStr">
        <is>
          <t>ISO 8</t>
        </is>
      </c>
      <c r="E532" t="inlineStr">
        <is>
          <t>Surface contact</t>
        </is>
      </c>
      <c r="F532" t="n">
        <v>0</v>
      </c>
      <c r="G532" t="inlineStr">
        <is>
          <t>Tech D</t>
        </is>
      </c>
      <c r="H532">
        <f>INDEX(Limits!$B$2:$B$5,MATCH(E532,Limits!$A$2:$A$5,0))</f>
        <v/>
      </c>
      <c r="I532">
        <f>INDEX(Limits!$C$2:$C$5,MATCH(E532,Limits!$A$2:$A$5,0))</f>
        <v/>
      </c>
      <c r="J532">
        <f>IF(F532&gt;=I532,"Action",IF(F532&gt;=H532,"Alert","Pass"))</f>
        <v/>
      </c>
      <c r="K532" s="4">
        <f>DATE(YEAR(B532),MONTH(B532),1)</f>
        <v/>
      </c>
    </row>
    <row r="533">
      <c r="A533" t="inlineStr">
        <is>
          <t>EM000532</t>
        </is>
      </c>
      <c r="B533" s="7" t="n">
        <v>46064</v>
      </c>
      <c r="C533" t="inlineStr">
        <is>
          <t>Gowning</t>
        </is>
      </c>
      <c r="D533" t="inlineStr">
        <is>
          <t>ISO 8</t>
        </is>
      </c>
      <c r="E533" t="inlineStr">
        <is>
          <t>Personnel glove</t>
        </is>
      </c>
      <c r="F533" t="n">
        <v>0</v>
      </c>
      <c r="G533" t="inlineStr">
        <is>
          <t>Tech D</t>
        </is>
      </c>
      <c r="H533">
        <f>INDEX(Limits!$B$2:$B$5,MATCH(E533,Limits!$A$2:$A$5,0))</f>
        <v/>
      </c>
      <c r="I533">
        <f>INDEX(Limits!$C$2:$C$5,MATCH(E533,Limits!$A$2:$A$5,0))</f>
        <v/>
      </c>
      <c r="J533">
        <f>IF(F533&gt;=I533,"Action",IF(F533&gt;=H533,"Alert","Pass"))</f>
        <v/>
      </c>
      <c r="K533" s="4">
        <f>DATE(YEAR(B533),MONTH(B533),1)</f>
        <v/>
      </c>
    </row>
    <row r="534">
      <c r="A534" t="inlineStr">
        <is>
          <t>EM000533</t>
        </is>
      </c>
      <c r="B534" s="7" t="n">
        <v>46065</v>
      </c>
      <c r="C534" t="inlineStr">
        <is>
          <t>CR-101</t>
        </is>
      </c>
      <c r="D534" t="inlineStr">
        <is>
          <t>ISO 7</t>
        </is>
      </c>
      <c r="E534" t="inlineStr">
        <is>
          <t>Active air</t>
        </is>
      </c>
      <c r="F534" t="n">
        <v>1</v>
      </c>
      <c r="G534" t="inlineStr">
        <is>
          <t>Tech A</t>
        </is>
      </c>
      <c r="H534">
        <f>INDEX(Limits!$B$2:$B$5,MATCH(E534,Limits!$A$2:$A$5,0))</f>
        <v/>
      </c>
      <c r="I534">
        <f>INDEX(Limits!$C$2:$C$5,MATCH(E534,Limits!$A$2:$A$5,0))</f>
        <v/>
      </c>
      <c r="J534">
        <f>IF(F534&gt;=I534,"Action",IF(F534&gt;=H534,"Alert","Pass"))</f>
        <v/>
      </c>
      <c r="K534" s="4">
        <f>DATE(YEAR(B534),MONTH(B534),1)</f>
        <v/>
      </c>
    </row>
    <row r="535">
      <c r="A535" t="inlineStr">
        <is>
          <t>EM000534</t>
        </is>
      </c>
      <c r="B535" s="7" t="n">
        <v>46065</v>
      </c>
      <c r="C535" t="inlineStr">
        <is>
          <t>CR-101</t>
        </is>
      </c>
      <c r="D535" t="inlineStr">
        <is>
          <t>ISO 7</t>
        </is>
      </c>
      <c r="E535" t="inlineStr">
        <is>
          <t>Surface contact</t>
        </is>
      </c>
      <c r="F535" t="n">
        <v>0</v>
      </c>
      <c r="G535" t="inlineStr">
        <is>
          <t>Tech B</t>
        </is>
      </c>
      <c r="H535">
        <f>INDEX(Limits!$B$2:$B$5,MATCH(E535,Limits!$A$2:$A$5,0))</f>
        <v/>
      </c>
      <c r="I535">
        <f>INDEX(Limits!$C$2:$C$5,MATCH(E535,Limits!$A$2:$A$5,0))</f>
        <v/>
      </c>
      <c r="J535">
        <f>IF(F535&gt;=I535,"Action",IF(F535&gt;=H535,"Alert","Pass"))</f>
        <v/>
      </c>
      <c r="K535" s="4">
        <f>DATE(YEAR(B535),MONTH(B535),1)</f>
        <v/>
      </c>
    </row>
    <row r="536">
      <c r="A536" t="inlineStr">
        <is>
          <t>EM000535</t>
        </is>
      </c>
      <c r="B536" s="7" t="n">
        <v>46065</v>
      </c>
      <c r="C536" t="inlineStr">
        <is>
          <t>CR-101</t>
        </is>
      </c>
      <c r="D536" t="inlineStr">
        <is>
          <t>ISO 7</t>
        </is>
      </c>
      <c r="E536" t="inlineStr">
        <is>
          <t>Compressed air</t>
        </is>
      </c>
      <c r="F536" t="n">
        <v>0</v>
      </c>
      <c r="G536" t="inlineStr">
        <is>
          <t>Tech C</t>
        </is>
      </c>
      <c r="H536">
        <f>INDEX(Limits!$B$2:$B$5,MATCH(E536,Limits!$A$2:$A$5,0))</f>
        <v/>
      </c>
      <c r="I536">
        <f>INDEX(Limits!$C$2:$C$5,MATCH(E536,Limits!$A$2:$A$5,0))</f>
        <v/>
      </c>
      <c r="J536">
        <f>IF(F536&gt;=I536,"Action",IF(F536&gt;=H536,"Alert","Pass"))</f>
        <v/>
      </c>
      <c r="K536" s="4">
        <f>DATE(YEAR(B536),MONTH(B536),1)</f>
        <v/>
      </c>
    </row>
    <row r="537">
      <c r="A537" t="inlineStr">
        <is>
          <t>EM000536</t>
        </is>
      </c>
      <c r="B537" s="7" t="n">
        <v>46065</v>
      </c>
      <c r="C537" t="inlineStr">
        <is>
          <t>CR-101</t>
        </is>
      </c>
      <c r="D537" t="inlineStr">
        <is>
          <t>ISO 7</t>
        </is>
      </c>
      <c r="E537" t="inlineStr">
        <is>
          <t>Personnel glove</t>
        </is>
      </c>
      <c r="F537" t="n">
        <v>0</v>
      </c>
      <c r="G537" t="inlineStr">
        <is>
          <t>Tech B</t>
        </is>
      </c>
      <c r="H537">
        <f>INDEX(Limits!$B$2:$B$5,MATCH(E537,Limits!$A$2:$A$5,0))</f>
        <v/>
      </c>
      <c r="I537">
        <f>INDEX(Limits!$C$2:$C$5,MATCH(E537,Limits!$A$2:$A$5,0))</f>
        <v/>
      </c>
      <c r="J537">
        <f>IF(F537&gt;=I537,"Action",IF(F537&gt;=H537,"Alert","Pass"))</f>
        <v/>
      </c>
      <c r="K537" s="4">
        <f>DATE(YEAR(B537),MONTH(B537),1)</f>
        <v/>
      </c>
    </row>
    <row r="538">
      <c r="A538" t="inlineStr">
        <is>
          <t>EM000537</t>
        </is>
      </c>
      <c r="B538" s="7" t="n">
        <v>46065</v>
      </c>
      <c r="C538" t="inlineStr">
        <is>
          <t>CR-102</t>
        </is>
      </c>
      <c r="D538" t="inlineStr">
        <is>
          <t>ISO 7</t>
        </is>
      </c>
      <c r="E538" t="inlineStr">
        <is>
          <t>Active air</t>
        </is>
      </c>
      <c r="F538" t="n">
        <v>2</v>
      </c>
      <c r="G538" t="inlineStr">
        <is>
          <t>Tech B</t>
        </is>
      </c>
      <c r="H538">
        <f>INDEX(Limits!$B$2:$B$5,MATCH(E538,Limits!$A$2:$A$5,0))</f>
        <v/>
      </c>
      <c r="I538">
        <f>INDEX(Limits!$C$2:$C$5,MATCH(E538,Limits!$A$2:$A$5,0))</f>
        <v/>
      </c>
      <c r="J538">
        <f>IF(F538&gt;=I538,"Action",IF(F538&gt;=H538,"Alert","Pass"))</f>
        <v/>
      </c>
      <c r="K538" s="4">
        <f>DATE(YEAR(B538),MONTH(B538),1)</f>
        <v/>
      </c>
    </row>
    <row r="539">
      <c r="A539" t="inlineStr">
        <is>
          <t>EM000538</t>
        </is>
      </c>
      <c r="B539" s="7" t="n">
        <v>46065</v>
      </c>
      <c r="C539" t="inlineStr">
        <is>
          <t>CR-102</t>
        </is>
      </c>
      <c r="D539" t="inlineStr">
        <is>
          <t>ISO 7</t>
        </is>
      </c>
      <c r="E539" t="inlineStr">
        <is>
          <t>Surface contact</t>
        </is>
      </c>
      <c r="F539" t="n">
        <v>0</v>
      </c>
      <c r="G539" t="inlineStr">
        <is>
          <t>Tech C</t>
        </is>
      </c>
      <c r="H539">
        <f>INDEX(Limits!$B$2:$B$5,MATCH(E539,Limits!$A$2:$A$5,0))</f>
        <v/>
      </c>
      <c r="I539">
        <f>INDEX(Limits!$C$2:$C$5,MATCH(E539,Limits!$A$2:$A$5,0))</f>
        <v/>
      </c>
      <c r="J539">
        <f>IF(F539&gt;=I539,"Action",IF(F539&gt;=H539,"Alert","Pass"))</f>
        <v/>
      </c>
      <c r="K539" s="4">
        <f>DATE(YEAR(B539),MONTH(B539),1)</f>
        <v/>
      </c>
    </row>
    <row r="540">
      <c r="A540" t="inlineStr">
        <is>
          <t>EM000539</t>
        </is>
      </c>
      <c r="B540" s="7" t="n">
        <v>46065</v>
      </c>
      <c r="C540" t="inlineStr">
        <is>
          <t>CR-102</t>
        </is>
      </c>
      <c r="D540" t="inlineStr">
        <is>
          <t>ISO 7</t>
        </is>
      </c>
      <c r="E540" t="inlineStr">
        <is>
          <t>Compressed air</t>
        </is>
      </c>
      <c r="F540" t="n">
        <v>0</v>
      </c>
      <c r="G540" t="inlineStr">
        <is>
          <t>Tech B</t>
        </is>
      </c>
      <c r="H540">
        <f>INDEX(Limits!$B$2:$B$5,MATCH(E540,Limits!$A$2:$A$5,0))</f>
        <v/>
      </c>
      <c r="I540">
        <f>INDEX(Limits!$C$2:$C$5,MATCH(E540,Limits!$A$2:$A$5,0))</f>
        <v/>
      </c>
      <c r="J540">
        <f>IF(F540&gt;=I540,"Action",IF(F540&gt;=H540,"Alert","Pass"))</f>
        <v/>
      </c>
      <c r="K540" s="4">
        <f>DATE(YEAR(B540),MONTH(B540),1)</f>
        <v/>
      </c>
    </row>
    <row r="541">
      <c r="A541" t="inlineStr">
        <is>
          <t>EM000540</t>
        </is>
      </c>
      <c r="B541" s="7" t="n">
        <v>46065</v>
      </c>
      <c r="C541" t="inlineStr">
        <is>
          <t>CR-102</t>
        </is>
      </c>
      <c r="D541" t="inlineStr">
        <is>
          <t>ISO 7</t>
        </is>
      </c>
      <c r="E541" t="inlineStr">
        <is>
          <t>Personnel glove</t>
        </is>
      </c>
      <c r="F541" t="n">
        <v>0</v>
      </c>
      <c r="G541" t="inlineStr">
        <is>
          <t>Tech D</t>
        </is>
      </c>
      <c r="H541">
        <f>INDEX(Limits!$B$2:$B$5,MATCH(E541,Limits!$A$2:$A$5,0))</f>
        <v/>
      </c>
      <c r="I541">
        <f>INDEX(Limits!$C$2:$C$5,MATCH(E541,Limits!$A$2:$A$5,0))</f>
        <v/>
      </c>
      <c r="J541">
        <f>IF(F541&gt;=I541,"Action",IF(F541&gt;=H541,"Alert","Pass"))</f>
        <v/>
      </c>
      <c r="K541" s="4">
        <f>DATE(YEAR(B541),MONTH(B541),1)</f>
        <v/>
      </c>
    </row>
    <row r="542">
      <c r="A542" t="inlineStr">
        <is>
          <t>EM000541</t>
        </is>
      </c>
      <c r="B542" s="7" t="n">
        <v>46065</v>
      </c>
      <c r="C542" t="inlineStr">
        <is>
          <t>CR-201</t>
        </is>
      </c>
      <c r="D542" t="inlineStr">
        <is>
          <t>ISO 8</t>
        </is>
      </c>
      <c r="E542" t="inlineStr">
        <is>
          <t>Active air</t>
        </is>
      </c>
      <c r="F542" t="n">
        <v>0</v>
      </c>
      <c r="G542" t="inlineStr">
        <is>
          <t>Tech D</t>
        </is>
      </c>
      <c r="H542">
        <f>INDEX(Limits!$B$2:$B$5,MATCH(E542,Limits!$A$2:$A$5,0))</f>
        <v/>
      </c>
      <c r="I542">
        <f>INDEX(Limits!$C$2:$C$5,MATCH(E542,Limits!$A$2:$A$5,0))</f>
        <v/>
      </c>
      <c r="J542">
        <f>IF(F542&gt;=I542,"Action",IF(F542&gt;=H542,"Alert","Pass"))</f>
        <v/>
      </c>
      <c r="K542" s="4">
        <f>DATE(YEAR(B542),MONTH(B542),1)</f>
        <v/>
      </c>
    </row>
    <row r="543">
      <c r="A543" t="inlineStr">
        <is>
          <t>EM000542</t>
        </is>
      </c>
      <c r="B543" s="7" t="n">
        <v>46065</v>
      </c>
      <c r="C543" t="inlineStr">
        <is>
          <t>CR-201</t>
        </is>
      </c>
      <c r="D543" t="inlineStr">
        <is>
          <t>ISO 8</t>
        </is>
      </c>
      <c r="E543" t="inlineStr">
        <is>
          <t>Surface contact</t>
        </is>
      </c>
      <c r="F543" t="n">
        <v>1</v>
      </c>
      <c r="G543" t="inlineStr">
        <is>
          <t>Tech B</t>
        </is>
      </c>
      <c r="H543">
        <f>INDEX(Limits!$B$2:$B$5,MATCH(E543,Limits!$A$2:$A$5,0))</f>
        <v/>
      </c>
      <c r="I543">
        <f>INDEX(Limits!$C$2:$C$5,MATCH(E543,Limits!$A$2:$A$5,0))</f>
        <v/>
      </c>
      <c r="J543">
        <f>IF(F543&gt;=I543,"Action",IF(F543&gt;=H543,"Alert","Pass"))</f>
        <v/>
      </c>
      <c r="K543" s="4">
        <f>DATE(YEAR(B543),MONTH(B543),1)</f>
        <v/>
      </c>
    </row>
    <row r="544">
      <c r="A544" t="inlineStr">
        <is>
          <t>EM000543</t>
        </is>
      </c>
      <c r="B544" s="7" t="n">
        <v>46065</v>
      </c>
      <c r="C544" t="inlineStr">
        <is>
          <t>CR-201</t>
        </is>
      </c>
      <c r="D544" t="inlineStr">
        <is>
          <t>ISO 8</t>
        </is>
      </c>
      <c r="E544" t="inlineStr">
        <is>
          <t>Compressed air</t>
        </is>
      </c>
      <c r="F544" t="n">
        <v>0</v>
      </c>
      <c r="G544" t="inlineStr">
        <is>
          <t>Tech A</t>
        </is>
      </c>
      <c r="H544">
        <f>INDEX(Limits!$B$2:$B$5,MATCH(E544,Limits!$A$2:$A$5,0))</f>
        <v/>
      </c>
      <c r="I544">
        <f>INDEX(Limits!$C$2:$C$5,MATCH(E544,Limits!$A$2:$A$5,0))</f>
        <v/>
      </c>
      <c r="J544">
        <f>IF(F544&gt;=I544,"Action",IF(F544&gt;=H544,"Alert","Pass"))</f>
        <v/>
      </c>
      <c r="K544" s="4">
        <f>DATE(YEAR(B544),MONTH(B544),1)</f>
        <v/>
      </c>
    </row>
    <row r="545">
      <c r="A545" t="inlineStr">
        <is>
          <t>EM000544</t>
        </is>
      </c>
      <c r="B545" s="7" t="n">
        <v>46065</v>
      </c>
      <c r="C545" t="inlineStr">
        <is>
          <t>CR-201</t>
        </is>
      </c>
      <c r="D545" t="inlineStr">
        <is>
          <t>ISO 8</t>
        </is>
      </c>
      <c r="E545" t="inlineStr">
        <is>
          <t>Personnel glove</t>
        </is>
      </c>
      <c r="F545" t="n">
        <v>0</v>
      </c>
      <c r="G545" t="inlineStr">
        <is>
          <t>Tech B</t>
        </is>
      </c>
      <c r="H545">
        <f>INDEX(Limits!$B$2:$B$5,MATCH(E545,Limits!$A$2:$A$5,0))</f>
        <v/>
      </c>
      <c r="I545">
        <f>INDEX(Limits!$C$2:$C$5,MATCH(E545,Limits!$A$2:$A$5,0))</f>
        <v/>
      </c>
      <c r="J545">
        <f>IF(F545&gt;=I545,"Action",IF(F545&gt;=H545,"Alert","Pass"))</f>
        <v/>
      </c>
      <c r="K545" s="4">
        <f>DATE(YEAR(B545),MONTH(B545),1)</f>
        <v/>
      </c>
    </row>
    <row r="546">
      <c r="A546" t="inlineStr">
        <is>
          <t>EM000545</t>
        </is>
      </c>
      <c r="B546" s="7" t="n">
        <v>46065</v>
      </c>
      <c r="C546" t="inlineStr">
        <is>
          <t>CR-202</t>
        </is>
      </c>
      <c r="D546" t="inlineStr">
        <is>
          <t>ISO 8</t>
        </is>
      </c>
      <c r="E546" t="inlineStr">
        <is>
          <t>Active air</t>
        </is>
      </c>
      <c r="F546" t="n">
        <v>1</v>
      </c>
      <c r="G546" t="inlineStr">
        <is>
          <t>Tech C</t>
        </is>
      </c>
      <c r="H546">
        <f>INDEX(Limits!$B$2:$B$5,MATCH(E546,Limits!$A$2:$A$5,0))</f>
        <v/>
      </c>
      <c r="I546">
        <f>INDEX(Limits!$C$2:$C$5,MATCH(E546,Limits!$A$2:$A$5,0))</f>
        <v/>
      </c>
      <c r="J546">
        <f>IF(F546&gt;=I546,"Action",IF(F546&gt;=H546,"Alert","Pass"))</f>
        <v/>
      </c>
      <c r="K546" s="4">
        <f>DATE(YEAR(B546),MONTH(B546),1)</f>
        <v/>
      </c>
    </row>
    <row r="547">
      <c r="A547" t="inlineStr">
        <is>
          <t>EM000546</t>
        </is>
      </c>
      <c r="B547" s="7" t="n">
        <v>46065</v>
      </c>
      <c r="C547" t="inlineStr">
        <is>
          <t>CR-202</t>
        </is>
      </c>
      <c r="D547" t="inlineStr">
        <is>
          <t>ISO 8</t>
        </is>
      </c>
      <c r="E547" t="inlineStr">
        <is>
          <t>Surface contact</t>
        </is>
      </c>
      <c r="F547" t="n">
        <v>1</v>
      </c>
      <c r="G547" t="inlineStr">
        <is>
          <t>Tech C</t>
        </is>
      </c>
      <c r="H547">
        <f>INDEX(Limits!$B$2:$B$5,MATCH(E547,Limits!$A$2:$A$5,0))</f>
        <v/>
      </c>
      <c r="I547">
        <f>INDEX(Limits!$C$2:$C$5,MATCH(E547,Limits!$A$2:$A$5,0))</f>
        <v/>
      </c>
      <c r="J547">
        <f>IF(F547&gt;=I547,"Action",IF(F547&gt;=H547,"Alert","Pass"))</f>
        <v/>
      </c>
      <c r="K547" s="4">
        <f>DATE(YEAR(B547),MONTH(B547),1)</f>
        <v/>
      </c>
    </row>
    <row r="548">
      <c r="A548" t="inlineStr">
        <is>
          <t>EM000547</t>
        </is>
      </c>
      <c r="B548" s="7" t="n">
        <v>46065</v>
      </c>
      <c r="C548" t="inlineStr">
        <is>
          <t>CR-202</t>
        </is>
      </c>
      <c r="D548" t="inlineStr">
        <is>
          <t>ISO 8</t>
        </is>
      </c>
      <c r="E548" t="inlineStr">
        <is>
          <t>Compressed air</t>
        </is>
      </c>
      <c r="F548" t="n">
        <v>0</v>
      </c>
      <c r="G548" t="inlineStr">
        <is>
          <t>Tech B</t>
        </is>
      </c>
      <c r="H548">
        <f>INDEX(Limits!$B$2:$B$5,MATCH(E548,Limits!$A$2:$A$5,0))</f>
        <v/>
      </c>
      <c r="I548">
        <f>INDEX(Limits!$C$2:$C$5,MATCH(E548,Limits!$A$2:$A$5,0))</f>
        <v/>
      </c>
      <c r="J548">
        <f>IF(F548&gt;=I548,"Action",IF(F548&gt;=H548,"Alert","Pass"))</f>
        <v/>
      </c>
      <c r="K548" s="4">
        <f>DATE(YEAR(B548),MONTH(B548),1)</f>
        <v/>
      </c>
    </row>
    <row r="549">
      <c r="A549" t="inlineStr">
        <is>
          <t>EM000548</t>
        </is>
      </c>
      <c r="B549" s="7" t="n">
        <v>46065</v>
      </c>
      <c r="C549" t="inlineStr">
        <is>
          <t>CR-202</t>
        </is>
      </c>
      <c r="D549" t="inlineStr">
        <is>
          <t>ISO 8</t>
        </is>
      </c>
      <c r="E549" t="inlineStr">
        <is>
          <t>Personnel glove</t>
        </is>
      </c>
      <c r="F549" t="n">
        <v>0</v>
      </c>
      <c r="G549" t="inlineStr">
        <is>
          <t>Tech A</t>
        </is>
      </c>
      <c r="H549">
        <f>INDEX(Limits!$B$2:$B$5,MATCH(E549,Limits!$A$2:$A$5,0))</f>
        <v/>
      </c>
      <c r="I549">
        <f>INDEX(Limits!$C$2:$C$5,MATCH(E549,Limits!$A$2:$A$5,0))</f>
        <v/>
      </c>
      <c r="J549">
        <f>IF(F549&gt;=I549,"Action",IF(F549&gt;=H549,"Alert","Pass"))</f>
        <v/>
      </c>
      <c r="K549" s="4">
        <f>DATE(YEAR(B549),MONTH(B549),1)</f>
        <v/>
      </c>
    </row>
    <row r="550">
      <c r="A550" t="inlineStr">
        <is>
          <t>EM000549</t>
        </is>
      </c>
      <c r="B550" s="7" t="n">
        <v>46065</v>
      </c>
      <c r="C550" t="inlineStr">
        <is>
          <t>Gowning</t>
        </is>
      </c>
      <c r="D550" t="inlineStr">
        <is>
          <t>ISO 8</t>
        </is>
      </c>
      <c r="E550" t="inlineStr">
        <is>
          <t>Active air</t>
        </is>
      </c>
      <c r="F550" t="n">
        <v>2</v>
      </c>
      <c r="G550" t="inlineStr">
        <is>
          <t>Tech D</t>
        </is>
      </c>
      <c r="H550">
        <f>INDEX(Limits!$B$2:$B$5,MATCH(E550,Limits!$A$2:$A$5,0))</f>
        <v/>
      </c>
      <c r="I550">
        <f>INDEX(Limits!$C$2:$C$5,MATCH(E550,Limits!$A$2:$A$5,0))</f>
        <v/>
      </c>
      <c r="J550">
        <f>IF(F550&gt;=I550,"Action",IF(F550&gt;=H550,"Alert","Pass"))</f>
        <v/>
      </c>
      <c r="K550" s="4">
        <f>DATE(YEAR(B550),MONTH(B550),1)</f>
        <v/>
      </c>
    </row>
    <row r="551">
      <c r="A551" t="inlineStr">
        <is>
          <t>EM000550</t>
        </is>
      </c>
      <c r="B551" s="7" t="n">
        <v>46065</v>
      </c>
      <c r="C551" t="inlineStr">
        <is>
          <t>Gowning</t>
        </is>
      </c>
      <c r="D551" t="inlineStr">
        <is>
          <t>ISO 8</t>
        </is>
      </c>
      <c r="E551" t="inlineStr">
        <is>
          <t>Surface contact</t>
        </is>
      </c>
      <c r="F551" t="n">
        <v>1</v>
      </c>
      <c r="G551" t="inlineStr">
        <is>
          <t>Tech D</t>
        </is>
      </c>
      <c r="H551">
        <f>INDEX(Limits!$B$2:$B$5,MATCH(E551,Limits!$A$2:$A$5,0))</f>
        <v/>
      </c>
      <c r="I551">
        <f>INDEX(Limits!$C$2:$C$5,MATCH(E551,Limits!$A$2:$A$5,0))</f>
        <v/>
      </c>
      <c r="J551">
        <f>IF(F551&gt;=I551,"Action",IF(F551&gt;=H551,"Alert","Pass"))</f>
        <v/>
      </c>
      <c r="K551" s="4">
        <f>DATE(YEAR(B551),MONTH(B551),1)</f>
        <v/>
      </c>
    </row>
    <row r="552">
      <c r="A552" t="inlineStr">
        <is>
          <t>EM000551</t>
        </is>
      </c>
      <c r="B552" s="7" t="n">
        <v>46065</v>
      </c>
      <c r="C552" t="inlineStr">
        <is>
          <t>Gowning</t>
        </is>
      </c>
      <c r="D552" t="inlineStr">
        <is>
          <t>ISO 8</t>
        </is>
      </c>
      <c r="E552" t="inlineStr">
        <is>
          <t>Personnel glove</t>
        </is>
      </c>
      <c r="F552" t="n">
        <v>0</v>
      </c>
      <c r="G552" t="inlineStr">
        <is>
          <t>Tech C</t>
        </is>
      </c>
      <c r="H552">
        <f>INDEX(Limits!$B$2:$B$5,MATCH(E552,Limits!$A$2:$A$5,0))</f>
        <v/>
      </c>
      <c r="I552">
        <f>INDEX(Limits!$C$2:$C$5,MATCH(E552,Limits!$A$2:$A$5,0))</f>
        <v/>
      </c>
      <c r="J552">
        <f>IF(F552&gt;=I552,"Action",IF(F552&gt;=H552,"Alert","Pass"))</f>
        <v/>
      </c>
      <c r="K552" s="4">
        <f>DATE(YEAR(B552),MONTH(B552),1)</f>
        <v/>
      </c>
    </row>
    <row r="553">
      <c r="A553" t="inlineStr">
        <is>
          <t>EM000552</t>
        </is>
      </c>
      <c r="B553" s="7" t="n">
        <v>46066</v>
      </c>
      <c r="C553" t="inlineStr">
        <is>
          <t>CR-101</t>
        </is>
      </c>
      <c r="D553" t="inlineStr">
        <is>
          <t>ISO 7</t>
        </is>
      </c>
      <c r="E553" t="inlineStr">
        <is>
          <t>Active air</t>
        </is>
      </c>
      <c r="F553" t="n">
        <v>2</v>
      </c>
      <c r="G553" t="inlineStr">
        <is>
          <t>Tech D</t>
        </is>
      </c>
      <c r="H553">
        <f>INDEX(Limits!$B$2:$B$5,MATCH(E553,Limits!$A$2:$A$5,0))</f>
        <v/>
      </c>
      <c r="I553">
        <f>INDEX(Limits!$C$2:$C$5,MATCH(E553,Limits!$A$2:$A$5,0))</f>
        <v/>
      </c>
      <c r="J553">
        <f>IF(F553&gt;=I553,"Action",IF(F553&gt;=H553,"Alert","Pass"))</f>
        <v/>
      </c>
      <c r="K553" s="4">
        <f>DATE(YEAR(B553),MONTH(B553),1)</f>
        <v/>
      </c>
    </row>
    <row r="554">
      <c r="A554" t="inlineStr">
        <is>
          <t>EM000553</t>
        </is>
      </c>
      <c r="B554" s="7" t="n">
        <v>46066</v>
      </c>
      <c r="C554" t="inlineStr">
        <is>
          <t>CR-101</t>
        </is>
      </c>
      <c r="D554" t="inlineStr">
        <is>
          <t>ISO 7</t>
        </is>
      </c>
      <c r="E554" t="inlineStr">
        <is>
          <t>Surface contact</t>
        </is>
      </c>
      <c r="F554" t="n">
        <v>1</v>
      </c>
      <c r="G554" t="inlineStr">
        <is>
          <t>Tech B</t>
        </is>
      </c>
      <c r="H554">
        <f>INDEX(Limits!$B$2:$B$5,MATCH(E554,Limits!$A$2:$A$5,0))</f>
        <v/>
      </c>
      <c r="I554">
        <f>INDEX(Limits!$C$2:$C$5,MATCH(E554,Limits!$A$2:$A$5,0))</f>
        <v/>
      </c>
      <c r="J554">
        <f>IF(F554&gt;=I554,"Action",IF(F554&gt;=H554,"Alert","Pass"))</f>
        <v/>
      </c>
      <c r="K554" s="4">
        <f>DATE(YEAR(B554),MONTH(B554),1)</f>
        <v/>
      </c>
    </row>
    <row r="555">
      <c r="A555" t="inlineStr">
        <is>
          <t>EM000554</t>
        </is>
      </c>
      <c r="B555" s="7" t="n">
        <v>46066</v>
      </c>
      <c r="C555" t="inlineStr">
        <is>
          <t>CR-101</t>
        </is>
      </c>
      <c r="D555" t="inlineStr">
        <is>
          <t>ISO 7</t>
        </is>
      </c>
      <c r="E555" t="inlineStr">
        <is>
          <t>Compressed air</t>
        </is>
      </c>
      <c r="F555" t="n">
        <v>0</v>
      </c>
      <c r="G555" t="inlineStr">
        <is>
          <t>Tech D</t>
        </is>
      </c>
      <c r="H555">
        <f>INDEX(Limits!$B$2:$B$5,MATCH(E555,Limits!$A$2:$A$5,0))</f>
        <v/>
      </c>
      <c r="I555">
        <f>INDEX(Limits!$C$2:$C$5,MATCH(E555,Limits!$A$2:$A$5,0))</f>
        <v/>
      </c>
      <c r="J555">
        <f>IF(F555&gt;=I555,"Action",IF(F555&gt;=H555,"Alert","Pass"))</f>
        <v/>
      </c>
      <c r="K555" s="4">
        <f>DATE(YEAR(B555),MONTH(B555),1)</f>
        <v/>
      </c>
    </row>
    <row r="556">
      <c r="A556" t="inlineStr">
        <is>
          <t>EM000555</t>
        </is>
      </c>
      <c r="B556" s="7" t="n">
        <v>46066</v>
      </c>
      <c r="C556" t="inlineStr">
        <is>
          <t>CR-101</t>
        </is>
      </c>
      <c r="D556" t="inlineStr">
        <is>
          <t>ISO 7</t>
        </is>
      </c>
      <c r="E556" t="inlineStr">
        <is>
          <t>Personnel glove</t>
        </is>
      </c>
      <c r="F556" t="n">
        <v>0</v>
      </c>
      <c r="G556" t="inlineStr">
        <is>
          <t>Tech D</t>
        </is>
      </c>
      <c r="H556">
        <f>INDEX(Limits!$B$2:$B$5,MATCH(E556,Limits!$A$2:$A$5,0))</f>
        <v/>
      </c>
      <c r="I556">
        <f>INDEX(Limits!$C$2:$C$5,MATCH(E556,Limits!$A$2:$A$5,0))</f>
        <v/>
      </c>
      <c r="J556">
        <f>IF(F556&gt;=I556,"Action",IF(F556&gt;=H556,"Alert","Pass"))</f>
        <v/>
      </c>
      <c r="K556" s="4">
        <f>DATE(YEAR(B556),MONTH(B556),1)</f>
        <v/>
      </c>
    </row>
    <row r="557">
      <c r="A557" t="inlineStr">
        <is>
          <t>EM000556</t>
        </is>
      </c>
      <c r="B557" s="7" t="n">
        <v>46066</v>
      </c>
      <c r="C557" t="inlineStr">
        <is>
          <t>CR-102</t>
        </is>
      </c>
      <c r="D557" t="inlineStr">
        <is>
          <t>ISO 7</t>
        </is>
      </c>
      <c r="E557" t="inlineStr">
        <is>
          <t>Active air</t>
        </is>
      </c>
      <c r="F557" t="n">
        <v>1</v>
      </c>
      <c r="G557" t="inlineStr">
        <is>
          <t>Tech B</t>
        </is>
      </c>
      <c r="H557">
        <f>INDEX(Limits!$B$2:$B$5,MATCH(E557,Limits!$A$2:$A$5,0))</f>
        <v/>
      </c>
      <c r="I557">
        <f>INDEX(Limits!$C$2:$C$5,MATCH(E557,Limits!$A$2:$A$5,0))</f>
        <v/>
      </c>
      <c r="J557">
        <f>IF(F557&gt;=I557,"Action",IF(F557&gt;=H557,"Alert","Pass"))</f>
        <v/>
      </c>
      <c r="K557" s="4">
        <f>DATE(YEAR(B557),MONTH(B557),1)</f>
        <v/>
      </c>
    </row>
    <row r="558">
      <c r="A558" t="inlineStr">
        <is>
          <t>EM000557</t>
        </is>
      </c>
      <c r="B558" s="7" t="n">
        <v>46066</v>
      </c>
      <c r="C558" t="inlineStr">
        <is>
          <t>CR-102</t>
        </is>
      </c>
      <c r="D558" t="inlineStr">
        <is>
          <t>ISO 7</t>
        </is>
      </c>
      <c r="E558" t="inlineStr">
        <is>
          <t>Surface contact</t>
        </is>
      </c>
      <c r="F558" t="n">
        <v>0</v>
      </c>
      <c r="G558" t="inlineStr">
        <is>
          <t>Tech A</t>
        </is>
      </c>
      <c r="H558">
        <f>INDEX(Limits!$B$2:$B$5,MATCH(E558,Limits!$A$2:$A$5,0))</f>
        <v/>
      </c>
      <c r="I558">
        <f>INDEX(Limits!$C$2:$C$5,MATCH(E558,Limits!$A$2:$A$5,0))</f>
        <v/>
      </c>
      <c r="J558">
        <f>IF(F558&gt;=I558,"Action",IF(F558&gt;=H558,"Alert","Pass"))</f>
        <v/>
      </c>
      <c r="K558" s="4">
        <f>DATE(YEAR(B558),MONTH(B558),1)</f>
        <v/>
      </c>
    </row>
    <row r="559">
      <c r="A559" t="inlineStr">
        <is>
          <t>EM000558</t>
        </is>
      </c>
      <c r="B559" s="7" t="n">
        <v>46066</v>
      </c>
      <c r="C559" t="inlineStr">
        <is>
          <t>CR-102</t>
        </is>
      </c>
      <c r="D559" t="inlineStr">
        <is>
          <t>ISO 7</t>
        </is>
      </c>
      <c r="E559" t="inlineStr">
        <is>
          <t>Compressed air</t>
        </is>
      </c>
      <c r="F559" t="n">
        <v>0</v>
      </c>
      <c r="G559" t="inlineStr">
        <is>
          <t>Tech A</t>
        </is>
      </c>
      <c r="H559">
        <f>INDEX(Limits!$B$2:$B$5,MATCH(E559,Limits!$A$2:$A$5,0))</f>
        <v/>
      </c>
      <c r="I559">
        <f>INDEX(Limits!$C$2:$C$5,MATCH(E559,Limits!$A$2:$A$5,0))</f>
        <v/>
      </c>
      <c r="J559">
        <f>IF(F559&gt;=I559,"Action",IF(F559&gt;=H559,"Alert","Pass"))</f>
        <v/>
      </c>
      <c r="K559" s="4">
        <f>DATE(YEAR(B559),MONTH(B559),1)</f>
        <v/>
      </c>
    </row>
    <row r="560">
      <c r="A560" t="inlineStr">
        <is>
          <t>EM000559</t>
        </is>
      </c>
      <c r="B560" s="7" t="n">
        <v>46066</v>
      </c>
      <c r="C560" t="inlineStr">
        <is>
          <t>CR-102</t>
        </is>
      </c>
      <c r="D560" t="inlineStr">
        <is>
          <t>ISO 7</t>
        </is>
      </c>
      <c r="E560" t="inlineStr">
        <is>
          <t>Personnel glove</t>
        </is>
      </c>
      <c r="F560" t="n">
        <v>0</v>
      </c>
      <c r="G560" t="inlineStr">
        <is>
          <t>Tech A</t>
        </is>
      </c>
      <c r="H560">
        <f>INDEX(Limits!$B$2:$B$5,MATCH(E560,Limits!$A$2:$A$5,0))</f>
        <v/>
      </c>
      <c r="I560">
        <f>INDEX(Limits!$C$2:$C$5,MATCH(E560,Limits!$A$2:$A$5,0))</f>
        <v/>
      </c>
      <c r="J560">
        <f>IF(F560&gt;=I560,"Action",IF(F560&gt;=H560,"Alert","Pass"))</f>
        <v/>
      </c>
      <c r="K560" s="4">
        <f>DATE(YEAR(B560),MONTH(B560),1)</f>
        <v/>
      </c>
    </row>
    <row r="561">
      <c r="A561" t="inlineStr">
        <is>
          <t>EM000560</t>
        </is>
      </c>
      <c r="B561" s="7" t="n">
        <v>46066</v>
      </c>
      <c r="C561" t="inlineStr">
        <is>
          <t>CR-201</t>
        </is>
      </c>
      <c r="D561" t="inlineStr">
        <is>
          <t>ISO 8</t>
        </is>
      </c>
      <c r="E561" t="inlineStr">
        <is>
          <t>Active air</t>
        </is>
      </c>
      <c r="F561" t="n">
        <v>1</v>
      </c>
      <c r="G561" t="inlineStr">
        <is>
          <t>Tech A</t>
        </is>
      </c>
      <c r="H561">
        <f>INDEX(Limits!$B$2:$B$5,MATCH(E561,Limits!$A$2:$A$5,0))</f>
        <v/>
      </c>
      <c r="I561">
        <f>INDEX(Limits!$C$2:$C$5,MATCH(E561,Limits!$A$2:$A$5,0))</f>
        <v/>
      </c>
      <c r="J561">
        <f>IF(F561&gt;=I561,"Action",IF(F561&gt;=H561,"Alert","Pass"))</f>
        <v/>
      </c>
      <c r="K561" s="4">
        <f>DATE(YEAR(B561),MONTH(B561),1)</f>
        <v/>
      </c>
    </row>
    <row r="562">
      <c r="A562" t="inlineStr">
        <is>
          <t>EM000561</t>
        </is>
      </c>
      <c r="B562" s="7" t="n">
        <v>46066</v>
      </c>
      <c r="C562" t="inlineStr">
        <is>
          <t>CR-201</t>
        </is>
      </c>
      <c r="D562" t="inlineStr">
        <is>
          <t>ISO 8</t>
        </is>
      </c>
      <c r="E562" t="inlineStr">
        <is>
          <t>Surface contact</t>
        </is>
      </c>
      <c r="F562" t="n">
        <v>0</v>
      </c>
      <c r="G562" t="inlineStr">
        <is>
          <t>Tech D</t>
        </is>
      </c>
      <c r="H562">
        <f>INDEX(Limits!$B$2:$B$5,MATCH(E562,Limits!$A$2:$A$5,0))</f>
        <v/>
      </c>
      <c r="I562">
        <f>INDEX(Limits!$C$2:$C$5,MATCH(E562,Limits!$A$2:$A$5,0))</f>
        <v/>
      </c>
      <c r="J562">
        <f>IF(F562&gt;=I562,"Action",IF(F562&gt;=H562,"Alert","Pass"))</f>
        <v/>
      </c>
      <c r="K562" s="4">
        <f>DATE(YEAR(B562),MONTH(B562),1)</f>
        <v/>
      </c>
    </row>
    <row r="563">
      <c r="A563" t="inlineStr">
        <is>
          <t>EM000562</t>
        </is>
      </c>
      <c r="B563" s="7" t="n">
        <v>46066</v>
      </c>
      <c r="C563" t="inlineStr">
        <is>
          <t>CR-201</t>
        </is>
      </c>
      <c r="D563" t="inlineStr">
        <is>
          <t>ISO 8</t>
        </is>
      </c>
      <c r="E563" t="inlineStr">
        <is>
          <t>Compressed air</t>
        </is>
      </c>
      <c r="F563" t="n">
        <v>0</v>
      </c>
      <c r="G563" t="inlineStr">
        <is>
          <t>Tech D</t>
        </is>
      </c>
      <c r="H563">
        <f>INDEX(Limits!$B$2:$B$5,MATCH(E563,Limits!$A$2:$A$5,0))</f>
        <v/>
      </c>
      <c r="I563">
        <f>INDEX(Limits!$C$2:$C$5,MATCH(E563,Limits!$A$2:$A$5,0))</f>
        <v/>
      </c>
      <c r="J563">
        <f>IF(F563&gt;=I563,"Action",IF(F563&gt;=H563,"Alert","Pass"))</f>
        <v/>
      </c>
      <c r="K563" s="4">
        <f>DATE(YEAR(B563),MONTH(B563),1)</f>
        <v/>
      </c>
    </row>
    <row r="564">
      <c r="A564" t="inlineStr">
        <is>
          <t>EM000563</t>
        </is>
      </c>
      <c r="B564" s="7" t="n">
        <v>46066</v>
      </c>
      <c r="C564" t="inlineStr">
        <is>
          <t>CR-201</t>
        </is>
      </c>
      <c r="D564" t="inlineStr">
        <is>
          <t>ISO 8</t>
        </is>
      </c>
      <c r="E564" t="inlineStr">
        <is>
          <t>Personnel glove</t>
        </is>
      </c>
      <c r="F564" t="n">
        <v>0</v>
      </c>
      <c r="G564" t="inlineStr">
        <is>
          <t>Tech D</t>
        </is>
      </c>
      <c r="H564">
        <f>INDEX(Limits!$B$2:$B$5,MATCH(E564,Limits!$A$2:$A$5,0))</f>
        <v/>
      </c>
      <c r="I564">
        <f>INDEX(Limits!$C$2:$C$5,MATCH(E564,Limits!$A$2:$A$5,0))</f>
        <v/>
      </c>
      <c r="J564">
        <f>IF(F564&gt;=I564,"Action",IF(F564&gt;=H564,"Alert","Pass"))</f>
        <v/>
      </c>
      <c r="K564" s="4">
        <f>DATE(YEAR(B564),MONTH(B564),1)</f>
        <v/>
      </c>
    </row>
    <row r="565">
      <c r="A565" t="inlineStr">
        <is>
          <t>EM000564</t>
        </is>
      </c>
      <c r="B565" s="7" t="n">
        <v>46066</v>
      </c>
      <c r="C565" t="inlineStr">
        <is>
          <t>CR-202</t>
        </is>
      </c>
      <c r="D565" t="inlineStr">
        <is>
          <t>ISO 8</t>
        </is>
      </c>
      <c r="E565" t="inlineStr">
        <is>
          <t>Active air</t>
        </is>
      </c>
      <c r="F565" t="n">
        <v>5</v>
      </c>
      <c r="G565" t="inlineStr">
        <is>
          <t>Tech A</t>
        </is>
      </c>
      <c r="H565">
        <f>INDEX(Limits!$B$2:$B$5,MATCH(E565,Limits!$A$2:$A$5,0))</f>
        <v/>
      </c>
      <c r="I565">
        <f>INDEX(Limits!$C$2:$C$5,MATCH(E565,Limits!$A$2:$A$5,0))</f>
        <v/>
      </c>
      <c r="J565">
        <f>IF(F565&gt;=I565,"Action",IF(F565&gt;=H565,"Alert","Pass"))</f>
        <v/>
      </c>
      <c r="K565" s="4">
        <f>DATE(YEAR(B565),MONTH(B565),1)</f>
        <v/>
      </c>
    </row>
    <row r="566">
      <c r="A566" t="inlineStr">
        <is>
          <t>EM000565</t>
        </is>
      </c>
      <c r="B566" s="7" t="n">
        <v>46066</v>
      </c>
      <c r="C566" t="inlineStr">
        <is>
          <t>CR-202</t>
        </is>
      </c>
      <c r="D566" t="inlineStr">
        <is>
          <t>ISO 8</t>
        </is>
      </c>
      <c r="E566" t="inlineStr">
        <is>
          <t>Surface contact</t>
        </is>
      </c>
      <c r="F566" t="n">
        <v>0</v>
      </c>
      <c r="G566" t="inlineStr">
        <is>
          <t>Tech C</t>
        </is>
      </c>
      <c r="H566">
        <f>INDEX(Limits!$B$2:$B$5,MATCH(E566,Limits!$A$2:$A$5,0))</f>
        <v/>
      </c>
      <c r="I566">
        <f>INDEX(Limits!$C$2:$C$5,MATCH(E566,Limits!$A$2:$A$5,0))</f>
        <v/>
      </c>
      <c r="J566">
        <f>IF(F566&gt;=I566,"Action",IF(F566&gt;=H566,"Alert","Pass"))</f>
        <v/>
      </c>
      <c r="K566" s="4">
        <f>DATE(YEAR(B566),MONTH(B566),1)</f>
        <v/>
      </c>
    </row>
    <row r="567">
      <c r="A567" t="inlineStr">
        <is>
          <t>EM000566</t>
        </is>
      </c>
      <c r="B567" s="7" t="n">
        <v>46066</v>
      </c>
      <c r="C567" t="inlineStr">
        <is>
          <t>CR-202</t>
        </is>
      </c>
      <c r="D567" t="inlineStr">
        <is>
          <t>ISO 8</t>
        </is>
      </c>
      <c r="E567" t="inlineStr">
        <is>
          <t>Compressed air</t>
        </is>
      </c>
      <c r="F567" t="n">
        <v>0</v>
      </c>
      <c r="G567" t="inlineStr">
        <is>
          <t>Tech B</t>
        </is>
      </c>
      <c r="H567">
        <f>INDEX(Limits!$B$2:$B$5,MATCH(E567,Limits!$A$2:$A$5,0))</f>
        <v/>
      </c>
      <c r="I567">
        <f>INDEX(Limits!$C$2:$C$5,MATCH(E567,Limits!$A$2:$A$5,0))</f>
        <v/>
      </c>
      <c r="J567">
        <f>IF(F567&gt;=I567,"Action",IF(F567&gt;=H567,"Alert","Pass"))</f>
        <v/>
      </c>
      <c r="K567" s="4">
        <f>DATE(YEAR(B567),MONTH(B567),1)</f>
        <v/>
      </c>
    </row>
    <row r="568">
      <c r="A568" t="inlineStr">
        <is>
          <t>EM000567</t>
        </is>
      </c>
      <c r="B568" s="7" t="n">
        <v>46066</v>
      </c>
      <c r="C568" t="inlineStr">
        <is>
          <t>CR-202</t>
        </is>
      </c>
      <c r="D568" t="inlineStr">
        <is>
          <t>ISO 8</t>
        </is>
      </c>
      <c r="E568" t="inlineStr">
        <is>
          <t>Personnel glove</t>
        </is>
      </c>
      <c r="F568" t="n">
        <v>0</v>
      </c>
      <c r="G568" t="inlineStr">
        <is>
          <t>Tech B</t>
        </is>
      </c>
      <c r="H568">
        <f>INDEX(Limits!$B$2:$B$5,MATCH(E568,Limits!$A$2:$A$5,0))</f>
        <v/>
      </c>
      <c r="I568">
        <f>INDEX(Limits!$C$2:$C$5,MATCH(E568,Limits!$A$2:$A$5,0))</f>
        <v/>
      </c>
      <c r="J568">
        <f>IF(F568&gt;=I568,"Action",IF(F568&gt;=H568,"Alert","Pass"))</f>
        <v/>
      </c>
      <c r="K568" s="4">
        <f>DATE(YEAR(B568),MONTH(B568),1)</f>
        <v/>
      </c>
    </row>
    <row r="569">
      <c r="A569" t="inlineStr">
        <is>
          <t>EM000568</t>
        </is>
      </c>
      <c r="B569" s="7" t="n">
        <v>46066</v>
      </c>
      <c r="C569" t="inlineStr">
        <is>
          <t>Gowning</t>
        </is>
      </c>
      <c r="D569" t="inlineStr">
        <is>
          <t>ISO 8</t>
        </is>
      </c>
      <c r="E569" t="inlineStr">
        <is>
          <t>Active air</t>
        </is>
      </c>
      <c r="F569" t="n">
        <v>0</v>
      </c>
      <c r="G569" t="inlineStr">
        <is>
          <t>Tech B</t>
        </is>
      </c>
      <c r="H569">
        <f>INDEX(Limits!$B$2:$B$5,MATCH(E569,Limits!$A$2:$A$5,0))</f>
        <v/>
      </c>
      <c r="I569">
        <f>INDEX(Limits!$C$2:$C$5,MATCH(E569,Limits!$A$2:$A$5,0))</f>
        <v/>
      </c>
      <c r="J569">
        <f>IF(F569&gt;=I569,"Action",IF(F569&gt;=H569,"Alert","Pass"))</f>
        <v/>
      </c>
      <c r="K569" s="4">
        <f>DATE(YEAR(B569),MONTH(B569),1)</f>
        <v/>
      </c>
    </row>
    <row r="570">
      <c r="A570" t="inlineStr">
        <is>
          <t>EM000569</t>
        </is>
      </c>
      <c r="B570" s="7" t="n">
        <v>46066</v>
      </c>
      <c r="C570" t="inlineStr">
        <is>
          <t>Gowning</t>
        </is>
      </c>
      <c r="D570" t="inlineStr">
        <is>
          <t>ISO 8</t>
        </is>
      </c>
      <c r="E570" t="inlineStr">
        <is>
          <t>Surface contact</t>
        </is>
      </c>
      <c r="F570" t="n">
        <v>3</v>
      </c>
      <c r="G570" t="inlineStr">
        <is>
          <t>Tech D</t>
        </is>
      </c>
      <c r="H570">
        <f>INDEX(Limits!$B$2:$B$5,MATCH(E570,Limits!$A$2:$A$5,0))</f>
        <v/>
      </c>
      <c r="I570">
        <f>INDEX(Limits!$C$2:$C$5,MATCH(E570,Limits!$A$2:$A$5,0))</f>
        <v/>
      </c>
      <c r="J570">
        <f>IF(F570&gt;=I570,"Action",IF(F570&gt;=H570,"Alert","Pass"))</f>
        <v/>
      </c>
      <c r="K570" s="4">
        <f>DATE(YEAR(B570),MONTH(B570),1)</f>
        <v/>
      </c>
    </row>
    <row r="571">
      <c r="A571" t="inlineStr">
        <is>
          <t>EM000570</t>
        </is>
      </c>
      <c r="B571" s="7" t="n">
        <v>46066</v>
      </c>
      <c r="C571" t="inlineStr">
        <is>
          <t>Gowning</t>
        </is>
      </c>
      <c r="D571" t="inlineStr">
        <is>
          <t>ISO 8</t>
        </is>
      </c>
      <c r="E571" t="inlineStr">
        <is>
          <t>Personnel glove</t>
        </is>
      </c>
      <c r="F571" t="n">
        <v>0</v>
      </c>
      <c r="G571" t="inlineStr">
        <is>
          <t>Tech A</t>
        </is>
      </c>
      <c r="H571">
        <f>INDEX(Limits!$B$2:$B$5,MATCH(E571,Limits!$A$2:$A$5,0))</f>
        <v/>
      </c>
      <c r="I571">
        <f>INDEX(Limits!$C$2:$C$5,MATCH(E571,Limits!$A$2:$A$5,0))</f>
        <v/>
      </c>
      <c r="J571">
        <f>IF(F571&gt;=I571,"Action",IF(F571&gt;=H571,"Alert","Pass"))</f>
        <v/>
      </c>
      <c r="K571" s="4">
        <f>DATE(YEAR(B571),MONTH(B571),1)</f>
        <v/>
      </c>
    </row>
    <row r="572">
      <c r="A572" t="inlineStr">
        <is>
          <t>EM000571</t>
        </is>
      </c>
      <c r="B572" s="7" t="n">
        <v>46069</v>
      </c>
      <c r="C572" t="inlineStr">
        <is>
          <t>CR-101</t>
        </is>
      </c>
      <c r="D572" t="inlineStr">
        <is>
          <t>ISO 7</t>
        </is>
      </c>
      <c r="E572" t="inlineStr">
        <is>
          <t>Active air</t>
        </is>
      </c>
      <c r="F572" t="n">
        <v>0</v>
      </c>
      <c r="G572" t="inlineStr">
        <is>
          <t>Tech B</t>
        </is>
      </c>
      <c r="H572">
        <f>INDEX(Limits!$B$2:$B$5,MATCH(E572,Limits!$A$2:$A$5,0))</f>
        <v/>
      </c>
      <c r="I572">
        <f>INDEX(Limits!$C$2:$C$5,MATCH(E572,Limits!$A$2:$A$5,0))</f>
        <v/>
      </c>
      <c r="J572">
        <f>IF(F572&gt;=I572,"Action",IF(F572&gt;=H572,"Alert","Pass"))</f>
        <v/>
      </c>
      <c r="K572" s="4">
        <f>DATE(YEAR(B572),MONTH(B572),1)</f>
        <v/>
      </c>
    </row>
    <row r="573">
      <c r="A573" t="inlineStr">
        <is>
          <t>EM000572</t>
        </is>
      </c>
      <c r="B573" s="7" t="n">
        <v>46069</v>
      </c>
      <c r="C573" t="inlineStr">
        <is>
          <t>CR-101</t>
        </is>
      </c>
      <c r="D573" t="inlineStr">
        <is>
          <t>ISO 7</t>
        </is>
      </c>
      <c r="E573" t="inlineStr">
        <is>
          <t>Surface contact</t>
        </is>
      </c>
      <c r="F573" t="n">
        <v>1</v>
      </c>
      <c r="G573" t="inlineStr">
        <is>
          <t>Tech D</t>
        </is>
      </c>
      <c r="H573">
        <f>INDEX(Limits!$B$2:$B$5,MATCH(E573,Limits!$A$2:$A$5,0))</f>
        <v/>
      </c>
      <c r="I573">
        <f>INDEX(Limits!$C$2:$C$5,MATCH(E573,Limits!$A$2:$A$5,0))</f>
        <v/>
      </c>
      <c r="J573">
        <f>IF(F573&gt;=I573,"Action",IF(F573&gt;=H573,"Alert","Pass"))</f>
        <v/>
      </c>
      <c r="K573" s="4">
        <f>DATE(YEAR(B573),MONTH(B573),1)</f>
        <v/>
      </c>
    </row>
    <row r="574">
      <c r="A574" t="inlineStr">
        <is>
          <t>EM000573</t>
        </is>
      </c>
      <c r="B574" s="7" t="n">
        <v>46069</v>
      </c>
      <c r="C574" t="inlineStr">
        <is>
          <t>CR-101</t>
        </is>
      </c>
      <c r="D574" t="inlineStr">
        <is>
          <t>ISO 7</t>
        </is>
      </c>
      <c r="E574" t="inlineStr">
        <is>
          <t>Compressed air</t>
        </is>
      </c>
      <c r="F574" t="n">
        <v>0</v>
      </c>
      <c r="G574" t="inlineStr">
        <is>
          <t>Tech C</t>
        </is>
      </c>
      <c r="H574">
        <f>INDEX(Limits!$B$2:$B$5,MATCH(E574,Limits!$A$2:$A$5,0))</f>
        <v/>
      </c>
      <c r="I574">
        <f>INDEX(Limits!$C$2:$C$5,MATCH(E574,Limits!$A$2:$A$5,0))</f>
        <v/>
      </c>
      <c r="J574">
        <f>IF(F574&gt;=I574,"Action",IF(F574&gt;=H574,"Alert","Pass"))</f>
        <v/>
      </c>
      <c r="K574" s="4">
        <f>DATE(YEAR(B574),MONTH(B574),1)</f>
        <v/>
      </c>
    </row>
    <row r="575">
      <c r="A575" t="inlineStr">
        <is>
          <t>EM000574</t>
        </is>
      </c>
      <c r="B575" s="7" t="n">
        <v>46069</v>
      </c>
      <c r="C575" t="inlineStr">
        <is>
          <t>CR-101</t>
        </is>
      </c>
      <c r="D575" t="inlineStr">
        <is>
          <t>ISO 7</t>
        </is>
      </c>
      <c r="E575" t="inlineStr">
        <is>
          <t>Personnel glove</t>
        </is>
      </c>
      <c r="F575" t="n">
        <v>0</v>
      </c>
      <c r="G575" t="inlineStr">
        <is>
          <t>Tech D</t>
        </is>
      </c>
      <c r="H575">
        <f>INDEX(Limits!$B$2:$B$5,MATCH(E575,Limits!$A$2:$A$5,0))</f>
        <v/>
      </c>
      <c r="I575">
        <f>INDEX(Limits!$C$2:$C$5,MATCH(E575,Limits!$A$2:$A$5,0))</f>
        <v/>
      </c>
      <c r="J575">
        <f>IF(F575&gt;=I575,"Action",IF(F575&gt;=H575,"Alert","Pass"))</f>
        <v/>
      </c>
      <c r="K575" s="4">
        <f>DATE(YEAR(B575),MONTH(B575),1)</f>
        <v/>
      </c>
    </row>
    <row r="576">
      <c r="A576" t="inlineStr">
        <is>
          <t>EM000575</t>
        </is>
      </c>
      <c r="B576" s="7" t="n">
        <v>46069</v>
      </c>
      <c r="C576" t="inlineStr">
        <is>
          <t>CR-102</t>
        </is>
      </c>
      <c r="D576" t="inlineStr">
        <is>
          <t>ISO 7</t>
        </is>
      </c>
      <c r="E576" t="inlineStr">
        <is>
          <t>Active air</t>
        </is>
      </c>
      <c r="F576" t="n">
        <v>2</v>
      </c>
      <c r="G576" t="inlineStr">
        <is>
          <t>Tech B</t>
        </is>
      </c>
      <c r="H576">
        <f>INDEX(Limits!$B$2:$B$5,MATCH(E576,Limits!$A$2:$A$5,0))</f>
        <v/>
      </c>
      <c r="I576">
        <f>INDEX(Limits!$C$2:$C$5,MATCH(E576,Limits!$A$2:$A$5,0))</f>
        <v/>
      </c>
      <c r="J576">
        <f>IF(F576&gt;=I576,"Action",IF(F576&gt;=H576,"Alert","Pass"))</f>
        <v/>
      </c>
      <c r="K576" s="4">
        <f>DATE(YEAR(B576),MONTH(B576),1)</f>
        <v/>
      </c>
    </row>
    <row r="577">
      <c r="A577" t="inlineStr">
        <is>
          <t>EM000576</t>
        </is>
      </c>
      <c r="B577" s="7" t="n">
        <v>46069</v>
      </c>
      <c r="C577" t="inlineStr">
        <is>
          <t>CR-102</t>
        </is>
      </c>
      <c r="D577" t="inlineStr">
        <is>
          <t>ISO 7</t>
        </is>
      </c>
      <c r="E577" t="inlineStr">
        <is>
          <t>Surface contact</t>
        </is>
      </c>
      <c r="F577" t="n">
        <v>0</v>
      </c>
      <c r="G577" t="inlineStr">
        <is>
          <t>Tech C</t>
        </is>
      </c>
      <c r="H577">
        <f>INDEX(Limits!$B$2:$B$5,MATCH(E577,Limits!$A$2:$A$5,0))</f>
        <v/>
      </c>
      <c r="I577">
        <f>INDEX(Limits!$C$2:$C$5,MATCH(E577,Limits!$A$2:$A$5,0))</f>
        <v/>
      </c>
      <c r="J577">
        <f>IF(F577&gt;=I577,"Action",IF(F577&gt;=H577,"Alert","Pass"))</f>
        <v/>
      </c>
      <c r="K577" s="4">
        <f>DATE(YEAR(B577),MONTH(B577),1)</f>
        <v/>
      </c>
    </row>
    <row r="578">
      <c r="A578" t="inlineStr">
        <is>
          <t>EM000577</t>
        </is>
      </c>
      <c r="B578" s="7" t="n">
        <v>46069</v>
      </c>
      <c r="C578" t="inlineStr">
        <is>
          <t>CR-102</t>
        </is>
      </c>
      <c r="D578" t="inlineStr">
        <is>
          <t>ISO 7</t>
        </is>
      </c>
      <c r="E578" t="inlineStr">
        <is>
          <t>Compressed air</t>
        </is>
      </c>
      <c r="F578" t="n">
        <v>1</v>
      </c>
      <c r="G578" t="inlineStr">
        <is>
          <t>Tech B</t>
        </is>
      </c>
      <c r="H578">
        <f>INDEX(Limits!$B$2:$B$5,MATCH(E578,Limits!$A$2:$A$5,0))</f>
        <v/>
      </c>
      <c r="I578">
        <f>INDEX(Limits!$C$2:$C$5,MATCH(E578,Limits!$A$2:$A$5,0))</f>
        <v/>
      </c>
      <c r="J578">
        <f>IF(F578&gt;=I578,"Action",IF(F578&gt;=H578,"Alert","Pass"))</f>
        <v/>
      </c>
      <c r="K578" s="4">
        <f>DATE(YEAR(B578),MONTH(B578),1)</f>
        <v/>
      </c>
    </row>
    <row r="579">
      <c r="A579" t="inlineStr">
        <is>
          <t>EM000578</t>
        </is>
      </c>
      <c r="B579" s="7" t="n">
        <v>46069</v>
      </c>
      <c r="C579" t="inlineStr">
        <is>
          <t>CR-102</t>
        </is>
      </c>
      <c r="D579" t="inlineStr">
        <is>
          <t>ISO 7</t>
        </is>
      </c>
      <c r="E579" t="inlineStr">
        <is>
          <t>Personnel glove</t>
        </is>
      </c>
      <c r="F579" t="n">
        <v>0</v>
      </c>
      <c r="G579" t="inlineStr">
        <is>
          <t>Tech D</t>
        </is>
      </c>
      <c r="H579">
        <f>INDEX(Limits!$B$2:$B$5,MATCH(E579,Limits!$A$2:$A$5,0))</f>
        <v/>
      </c>
      <c r="I579">
        <f>INDEX(Limits!$C$2:$C$5,MATCH(E579,Limits!$A$2:$A$5,0))</f>
        <v/>
      </c>
      <c r="J579">
        <f>IF(F579&gt;=I579,"Action",IF(F579&gt;=H579,"Alert","Pass"))</f>
        <v/>
      </c>
      <c r="K579" s="4">
        <f>DATE(YEAR(B579),MONTH(B579),1)</f>
        <v/>
      </c>
    </row>
    <row r="580">
      <c r="A580" t="inlineStr">
        <is>
          <t>EM000579</t>
        </is>
      </c>
      <c r="B580" s="7" t="n">
        <v>46069</v>
      </c>
      <c r="C580" t="inlineStr">
        <is>
          <t>CR-201</t>
        </is>
      </c>
      <c r="D580" t="inlineStr">
        <is>
          <t>ISO 8</t>
        </is>
      </c>
      <c r="E580" t="inlineStr">
        <is>
          <t>Active air</t>
        </is>
      </c>
      <c r="F580" t="n">
        <v>2</v>
      </c>
      <c r="G580" t="inlineStr">
        <is>
          <t>Tech B</t>
        </is>
      </c>
      <c r="H580">
        <f>INDEX(Limits!$B$2:$B$5,MATCH(E580,Limits!$A$2:$A$5,0))</f>
        <v/>
      </c>
      <c r="I580">
        <f>INDEX(Limits!$C$2:$C$5,MATCH(E580,Limits!$A$2:$A$5,0))</f>
        <v/>
      </c>
      <c r="J580">
        <f>IF(F580&gt;=I580,"Action",IF(F580&gt;=H580,"Alert","Pass"))</f>
        <v/>
      </c>
      <c r="K580" s="4">
        <f>DATE(YEAR(B580),MONTH(B580),1)</f>
        <v/>
      </c>
    </row>
    <row r="581">
      <c r="A581" t="inlineStr">
        <is>
          <t>EM000580</t>
        </is>
      </c>
      <c r="B581" s="7" t="n">
        <v>46069</v>
      </c>
      <c r="C581" t="inlineStr">
        <is>
          <t>CR-201</t>
        </is>
      </c>
      <c r="D581" t="inlineStr">
        <is>
          <t>ISO 8</t>
        </is>
      </c>
      <c r="E581" t="inlineStr">
        <is>
          <t>Surface contact</t>
        </is>
      </c>
      <c r="F581" t="n">
        <v>0</v>
      </c>
      <c r="G581" t="inlineStr">
        <is>
          <t>Tech A</t>
        </is>
      </c>
      <c r="H581">
        <f>INDEX(Limits!$B$2:$B$5,MATCH(E581,Limits!$A$2:$A$5,0))</f>
        <v/>
      </c>
      <c r="I581">
        <f>INDEX(Limits!$C$2:$C$5,MATCH(E581,Limits!$A$2:$A$5,0))</f>
        <v/>
      </c>
      <c r="J581">
        <f>IF(F581&gt;=I581,"Action",IF(F581&gt;=H581,"Alert","Pass"))</f>
        <v/>
      </c>
      <c r="K581" s="4">
        <f>DATE(YEAR(B581),MONTH(B581),1)</f>
        <v/>
      </c>
    </row>
    <row r="582">
      <c r="A582" t="inlineStr">
        <is>
          <t>EM000581</t>
        </is>
      </c>
      <c r="B582" s="7" t="n">
        <v>46069</v>
      </c>
      <c r="C582" t="inlineStr">
        <is>
          <t>CR-201</t>
        </is>
      </c>
      <c r="D582" t="inlineStr">
        <is>
          <t>ISO 8</t>
        </is>
      </c>
      <c r="E582" t="inlineStr">
        <is>
          <t>Compressed air</t>
        </is>
      </c>
      <c r="F582" t="n">
        <v>0</v>
      </c>
      <c r="G582" t="inlineStr">
        <is>
          <t>Tech C</t>
        </is>
      </c>
      <c r="H582">
        <f>INDEX(Limits!$B$2:$B$5,MATCH(E582,Limits!$A$2:$A$5,0))</f>
        <v/>
      </c>
      <c r="I582">
        <f>INDEX(Limits!$C$2:$C$5,MATCH(E582,Limits!$A$2:$A$5,0))</f>
        <v/>
      </c>
      <c r="J582">
        <f>IF(F582&gt;=I582,"Action",IF(F582&gt;=H582,"Alert","Pass"))</f>
        <v/>
      </c>
      <c r="K582" s="4">
        <f>DATE(YEAR(B582),MONTH(B582),1)</f>
        <v/>
      </c>
    </row>
    <row r="583">
      <c r="A583" t="inlineStr">
        <is>
          <t>EM000582</t>
        </is>
      </c>
      <c r="B583" s="7" t="n">
        <v>46069</v>
      </c>
      <c r="C583" t="inlineStr">
        <is>
          <t>CR-201</t>
        </is>
      </c>
      <c r="D583" t="inlineStr">
        <is>
          <t>ISO 8</t>
        </is>
      </c>
      <c r="E583" t="inlineStr">
        <is>
          <t>Personnel glove</t>
        </is>
      </c>
      <c r="F583" t="n">
        <v>0</v>
      </c>
      <c r="G583" t="inlineStr">
        <is>
          <t>Tech D</t>
        </is>
      </c>
      <c r="H583">
        <f>INDEX(Limits!$B$2:$B$5,MATCH(E583,Limits!$A$2:$A$5,0))</f>
        <v/>
      </c>
      <c r="I583">
        <f>INDEX(Limits!$C$2:$C$5,MATCH(E583,Limits!$A$2:$A$5,0))</f>
        <v/>
      </c>
      <c r="J583">
        <f>IF(F583&gt;=I583,"Action",IF(F583&gt;=H583,"Alert","Pass"))</f>
        <v/>
      </c>
      <c r="K583" s="4">
        <f>DATE(YEAR(B583),MONTH(B583),1)</f>
        <v/>
      </c>
    </row>
    <row r="584">
      <c r="A584" t="inlineStr">
        <is>
          <t>EM000583</t>
        </is>
      </c>
      <c r="B584" s="7" t="n">
        <v>46069</v>
      </c>
      <c r="C584" t="inlineStr">
        <is>
          <t>CR-202</t>
        </is>
      </c>
      <c r="D584" t="inlineStr">
        <is>
          <t>ISO 8</t>
        </is>
      </c>
      <c r="E584" t="inlineStr">
        <is>
          <t>Active air</t>
        </is>
      </c>
      <c r="F584" t="n">
        <v>4</v>
      </c>
      <c r="G584" t="inlineStr">
        <is>
          <t>Tech D</t>
        </is>
      </c>
      <c r="H584">
        <f>INDEX(Limits!$B$2:$B$5,MATCH(E584,Limits!$A$2:$A$5,0))</f>
        <v/>
      </c>
      <c r="I584">
        <f>INDEX(Limits!$C$2:$C$5,MATCH(E584,Limits!$A$2:$A$5,0))</f>
        <v/>
      </c>
      <c r="J584">
        <f>IF(F584&gt;=I584,"Action",IF(F584&gt;=H584,"Alert","Pass"))</f>
        <v/>
      </c>
      <c r="K584" s="4">
        <f>DATE(YEAR(B584),MONTH(B584),1)</f>
        <v/>
      </c>
    </row>
    <row r="585">
      <c r="A585" t="inlineStr">
        <is>
          <t>EM000584</t>
        </is>
      </c>
      <c r="B585" s="7" t="n">
        <v>46069</v>
      </c>
      <c r="C585" t="inlineStr">
        <is>
          <t>CR-202</t>
        </is>
      </c>
      <c r="D585" t="inlineStr">
        <is>
          <t>ISO 8</t>
        </is>
      </c>
      <c r="E585" t="inlineStr">
        <is>
          <t>Surface contact</t>
        </is>
      </c>
      <c r="F585" t="n">
        <v>1</v>
      </c>
      <c r="G585" t="inlineStr">
        <is>
          <t>Tech C</t>
        </is>
      </c>
      <c r="H585">
        <f>INDEX(Limits!$B$2:$B$5,MATCH(E585,Limits!$A$2:$A$5,0))</f>
        <v/>
      </c>
      <c r="I585">
        <f>INDEX(Limits!$C$2:$C$5,MATCH(E585,Limits!$A$2:$A$5,0))</f>
        <v/>
      </c>
      <c r="J585">
        <f>IF(F585&gt;=I585,"Action",IF(F585&gt;=H585,"Alert","Pass"))</f>
        <v/>
      </c>
      <c r="K585" s="4">
        <f>DATE(YEAR(B585),MONTH(B585),1)</f>
        <v/>
      </c>
    </row>
    <row r="586">
      <c r="A586" t="inlineStr">
        <is>
          <t>EM000585</t>
        </is>
      </c>
      <c r="B586" s="7" t="n">
        <v>46069</v>
      </c>
      <c r="C586" t="inlineStr">
        <is>
          <t>CR-202</t>
        </is>
      </c>
      <c r="D586" t="inlineStr">
        <is>
          <t>ISO 8</t>
        </is>
      </c>
      <c r="E586" t="inlineStr">
        <is>
          <t>Compressed air</t>
        </is>
      </c>
      <c r="F586" t="n">
        <v>0</v>
      </c>
      <c r="G586" t="inlineStr">
        <is>
          <t>Tech A</t>
        </is>
      </c>
      <c r="H586">
        <f>INDEX(Limits!$B$2:$B$5,MATCH(E586,Limits!$A$2:$A$5,0))</f>
        <v/>
      </c>
      <c r="I586">
        <f>INDEX(Limits!$C$2:$C$5,MATCH(E586,Limits!$A$2:$A$5,0))</f>
        <v/>
      </c>
      <c r="J586">
        <f>IF(F586&gt;=I586,"Action",IF(F586&gt;=H586,"Alert","Pass"))</f>
        <v/>
      </c>
      <c r="K586" s="4">
        <f>DATE(YEAR(B586),MONTH(B586),1)</f>
        <v/>
      </c>
    </row>
    <row r="587">
      <c r="A587" t="inlineStr">
        <is>
          <t>EM000586</t>
        </is>
      </c>
      <c r="B587" s="7" t="n">
        <v>46069</v>
      </c>
      <c r="C587" t="inlineStr">
        <is>
          <t>CR-202</t>
        </is>
      </c>
      <c r="D587" t="inlineStr">
        <is>
          <t>ISO 8</t>
        </is>
      </c>
      <c r="E587" t="inlineStr">
        <is>
          <t>Personnel glove</t>
        </is>
      </c>
      <c r="F587" t="n">
        <v>0</v>
      </c>
      <c r="G587" t="inlineStr">
        <is>
          <t>Tech A</t>
        </is>
      </c>
      <c r="H587">
        <f>INDEX(Limits!$B$2:$B$5,MATCH(E587,Limits!$A$2:$A$5,0))</f>
        <v/>
      </c>
      <c r="I587">
        <f>INDEX(Limits!$C$2:$C$5,MATCH(E587,Limits!$A$2:$A$5,0))</f>
        <v/>
      </c>
      <c r="J587">
        <f>IF(F587&gt;=I587,"Action",IF(F587&gt;=H587,"Alert","Pass"))</f>
        <v/>
      </c>
      <c r="K587" s="4">
        <f>DATE(YEAR(B587),MONTH(B587),1)</f>
        <v/>
      </c>
    </row>
    <row r="588">
      <c r="A588" t="inlineStr">
        <is>
          <t>EM000587</t>
        </is>
      </c>
      <c r="B588" s="7" t="n">
        <v>46069</v>
      </c>
      <c r="C588" t="inlineStr">
        <is>
          <t>Gowning</t>
        </is>
      </c>
      <c r="D588" t="inlineStr">
        <is>
          <t>ISO 8</t>
        </is>
      </c>
      <c r="E588" t="inlineStr">
        <is>
          <t>Active air</t>
        </is>
      </c>
      <c r="F588" t="n">
        <v>1</v>
      </c>
      <c r="G588" t="inlineStr">
        <is>
          <t>Tech D</t>
        </is>
      </c>
      <c r="H588">
        <f>INDEX(Limits!$B$2:$B$5,MATCH(E588,Limits!$A$2:$A$5,0))</f>
        <v/>
      </c>
      <c r="I588">
        <f>INDEX(Limits!$C$2:$C$5,MATCH(E588,Limits!$A$2:$A$5,0))</f>
        <v/>
      </c>
      <c r="J588">
        <f>IF(F588&gt;=I588,"Action",IF(F588&gt;=H588,"Alert","Pass"))</f>
        <v/>
      </c>
      <c r="K588" s="4">
        <f>DATE(YEAR(B588),MONTH(B588),1)</f>
        <v/>
      </c>
    </row>
    <row r="589">
      <c r="A589" t="inlineStr">
        <is>
          <t>EM000588</t>
        </is>
      </c>
      <c r="B589" s="7" t="n">
        <v>46069</v>
      </c>
      <c r="C589" t="inlineStr">
        <is>
          <t>Gowning</t>
        </is>
      </c>
      <c r="D589" t="inlineStr">
        <is>
          <t>ISO 8</t>
        </is>
      </c>
      <c r="E589" t="inlineStr">
        <is>
          <t>Surface contact</t>
        </is>
      </c>
      <c r="F589" t="n">
        <v>1</v>
      </c>
      <c r="G589" t="inlineStr">
        <is>
          <t>Tech A</t>
        </is>
      </c>
      <c r="H589">
        <f>INDEX(Limits!$B$2:$B$5,MATCH(E589,Limits!$A$2:$A$5,0))</f>
        <v/>
      </c>
      <c r="I589">
        <f>INDEX(Limits!$C$2:$C$5,MATCH(E589,Limits!$A$2:$A$5,0))</f>
        <v/>
      </c>
      <c r="J589">
        <f>IF(F589&gt;=I589,"Action",IF(F589&gt;=H589,"Alert","Pass"))</f>
        <v/>
      </c>
      <c r="K589" s="4">
        <f>DATE(YEAR(B589),MONTH(B589),1)</f>
        <v/>
      </c>
    </row>
    <row r="590">
      <c r="A590" t="inlineStr">
        <is>
          <t>EM000589</t>
        </is>
      </c>
      <c r="B590" s="7" t="n">
        <v>46069</v>
      </c>
      <c r="C590" t="inlineStr">
        <is>
          <t>Gowning</t>
        </is>
      </c>
      <c r="D590" t="inlineStr">
        <is>
          <t>ISO 8</t>
        </is>
      </c>
      <c r="E590" t="inlineStr">
        <is>
          <t>Personnel glove</t>
        </is>
      </c>
      <c r="F590" t="n">
        <v>0</v>
      </c>
      <c r="G590" t="inlineStr">
        <is>
          <t>Tech C</t>
        </is>
      </c>
      <c r="H590">
        <f>INDEX(Limits!$B$2:$B$5,MATCH(E590,Limits!$A$2:$A$5,0))</f>
        <v/>
      </c>
      <c r="I590">
        <f>INDEX(Limits!$C$2:$C$5,MATCH(E590,Limits!$A$2:$A$5,0))</f>
        <v/>
      </c>
      <c r="J590">
        <f>IF(F590&gt;=I590,"Action",IF(F590&gt;=H590,"Alert","Pass"))</f>
        <v/>
      </c>
      <c r="K590" s="4">
        <f>DATE(YEAR(B590),MONTH(B590),1)</f>
        <v/>
      </c>
    </row>
    <row r="591">
      <c r="A591" t="inlineStr">
        <is>
          <t>EM000590</t>
        </is>
      </c>
      <c r="B591" s="7" t="n">
        <v>46070</v>
      </c>
      <c r="C591" t="inlineStr">
        <is>
          <t>CR-101</t>
        </is>
      </c>
      <c r="D591" t="inlineStr">
        <is>
          <t>ISO 7</t>
        </is>
      </c>
      <c r="E591" t="inlineStr">
        <is>
          <t>Active air</t>
        </is>
      </c>
      <c r="F591" t="n">
        <v>0</v>
      </c>
      <c r="G591" t="inlineStr">
        <is>
          <t>Tech B</t>
        </is>
      </c>
      <c r="H591">
        <f>INDEX(Limits!$B$2:$B$5,MATCH(E591,Limits!$A$2:$A$5,0))</f>
        <v/>
      </c>
      <c r="I591">
        <f>INDEX(Limits!$C$2:$C$5,MATCH(E591,Limits!$A$2:$A$5,0))</f>
        <v/>
      </c>
      <c r="J591">
        <f>IF(F591&gt;=I591,"Action",IF(F591&gt;=H591,"Alert","Pass"))</f>
        <v/>
      </c>
      <c r="K591" s="4">
        <f>DATE(YEAR(B591),MONTH(B591),1)</f>
        <v/>
      </c>
    </row>
    <row r="592">
      <c r="A592" t="inlineStr">
        <is>
          <t>EM000591</t>
        </is>
      </c>
      <c r="B592" s="7" t="n">
        <v>46070</v>
      </c>
      <c r="C592" t="inlineStr">
        <is>
          <t>CR-101</t>
        </is>
      </c>
      <c r="D592" t="inlineStr">
        <is>
          <t>ISO 7</t>
        </is>
      </c>
      <c r="E592" t="inlineStr">
        <is>
          <t>Surface contact</t>
        </is>
      </c>
      <c r="F592" t="n">
        <v>0</v>
      </c>
      <c r="G592" t="inlineStr">
        <is>
          <t>Tech A</t>
        </is>
      </c>
      <c r="H592">
        <f>INDEX(Limits!$B$2:$B$5,MATCH(E592,Limits!$A$2:$A$5,0))</f>
        <v/>
      </c>
      <c r="I592">
        <f>INDEX(Limits!$C$2:$C$5,MATCH(E592,Limits!$A$2:$A$5,0))</f>
        <v/>
      </c>
      <c r="J592">
        <f>IF(F592&gt;=I592,"Action",IF(F592&gt;=H592,"Alert","Pass"))</f>
        <v/>
      </c>
      <c r="K592" s="4">
        <f>DATE(YEAR(B592),MONTH(B592),1)</f>
        <v/>
      </c>
    </row>
    <row r="593">
      <c r="A593" t="inlineStr">
        <is>
          <t>EM000592</t>
        </is>
      </c>
      <c r="B593" s="7" t="n">
        <v>46070</v>
      </c>
      <c r="C593" t="inlineStr">
        <is>
          <t>CR-101</t>
        </is>
      </c>
      <c r="D593" t="inlineStr">
        <is>
          <t>ISO 7</t>
        </is>
      </c>
      <c r="E593" t="inlineStr">
        <is>
          <t>Compressed air</t>
        </is>
      </c>
      <c r="F593" t="n">
        <v>0</v>
      </c>
      <c r="G593" t="inlineStr">
        <is>
          <t>Tech D</t>
        </is>
      </c>
      <c r="H593">
        <f>INDEX(Limits!$B$2:$B$5,MATCH(E593,Limits!$A$2:$A$5,0))</f>
        <v/>
      </c>
      <c r="I593">
        <f>INDEX(Limits!$C$2:$C$5,MATCH(E593,Limits!$A$2:$A$5,0))</f>
        <v/>
      </c>
      <c r="J593">
        <f>IF(F593&gt;=I593,"Action",IF(F593&gt;=H593,"Alert","Pass"))</f>
        <v/>
      </c>
      <c r="K593" s="4">
        <f>DATE(YEAR(B593),MONTH(B593),1)</f>
        <v/>
      </c>
    </row>
    <row r="594">
      <c r="A594" t="inlineStr">
        <is>
          <t>EM000593</t>
        </is>
      </c>
      <c r="B594" s="7" t="n">
        <v>46070</v>
      </c>
      <c r="C594" t="inlineStr">
        <is>
          <t>CR-101</t>
        </is>
      </c>
      <c r="D594" t="inlineStr">
        <is>
          <t>ISO 7</t>
        </is>
      </c>
      <c r="E594" t="inlineStr">
        <is>
          <t>Personnel glove</t>
        </is>
      </c>
      <c r="F594" t="n">
        <v>0</v>
      </c>
      <c r="G594" t="inlineStr">
        <is>
          <t>Tech D</t>
        </is>
      </c>
      <c r="H594">
        <f>INDEX(Limits!$B$2:$B$5,MATCH(E594,Limits!$A$2:$A$5,0))</f>
        <v/>
      </c>
      <c r="I594">
        <f>INDEX(Limits!$C$2:$C$5,MATCH(E594,Limits!$A$2:$A$5,0))</f>
        <v/>
      </c>
      <c r="J594">
        <f>IF(F594&gt;=I594,"Action",IF(F594&gt;=H594,"Alert","Pass"))</f>
        <v/>
      </c>
      <c r="K594" s="4">
        <f>DATE(YEAR(B594),MONTH(B594),1)</f>
        <v/>
      </c>
    </row>
    <row r="595">
      <c r="A595" t="inlineStr">
        <is>
          <t>EM000594</t>
        </is>
      </c>
      <c r="B595" s="7" t="n">
        <v>46070</v>
      </c>
      <c r="C595" t="inlineStr">
        <is>
          <t>CR-102</t>
        </is>
      </c>
      <c r="D595" t="inlineStr">
        <is>
          <t>ISO 7</t>
        </is>
      </c>
      <c r="E595" t="inlineStr">
        <is>
          <t>Active air</t>
        </is>
      </c>
      <c r="F595" t="n">
        <v>5</v>
      </c>
      <c r="G595" t="inlineStr">
        <is>
          <t>Tech A</t>
        </is>
      </c>
      <c r="H595">
        <f>INDEX(Limits!$B$2:$B$5,MATCH(E595,Limits!$A$2:$A$5,0))</f>
        <v/>
      </c>
      <c r="I595">
        <f>INDEX(Limits!$C$2:$C$5,MATCH(E595,Limits!$A$2:$A$5,0))</f>
        <v/>
      </c>
      <c r="J595">
        <f>IF(F595&gt;=I595,"Action",IF(F595&gt;=H595,"Alert","Pass"))</f>
        <v/>
      </c>
      <c r="K595" s="4">
        <f>DATE(YEAR(B595),MONTH(B595),1)</f>
        <v/>
      </c>
    </row>
    <row r="596">
      <c r="A596" t="inlineStr">
        <is>
          <t>EM000595</t>
        </is>
      </c>
      <c r="B596" s="7" t="n">
        <v>46070</v>
      </c>
      <c r="C596" t="inlineStr">
        <is>
          <t>CR-102</t>
        </is>
      </c>
      <c r="D596" t="inlineStr">
        <is>
          <t>ISO 7</t>
        </is>
      </c>
      <c r="E596" t="inlineStr">
        <is>
          <t>Surface contact</t>
        </is>
      </c>
      <c r="F596" t="n">
        <v>0</v>
      </c>
      <c r="G596" t="inlineStr">
        <is>
          <t>Tech D</t>
        </is>
      </c>
      <c r="H596">
        <f>INDEX(Limits!$B$2:$B$5,MATCH(E596,Limits!$A$2:$A$5,0))</f>
        <v/>
      </c>
      <c r="I596">
        <f>INDEX(Limits!$C$2:$C$5,MATCH(E596,Limits!$A$2:$A$5,0))</f>
        <v/>
      </c>
      <c r="J596">
        <f>IF(F596&gt;=I596,"Action",IF(F596&gt;=H596,"Alert","Pass"))</f>
        <v/>
      </c>
      <c r="K596" s="4">
        <f>DATE(YEAR(B596),MONTH(B596),1)</f>
        <v/>
      </c>
    </row>
    <row r="597">
      <c r="A597" t="inlineStr">
        <is>
          <t>EM000596</t>
        </is>
      </c>
      <c r="B597" s="7" t="n">
        <v>46070</v>
      </c>
      <c r="C597" t="inlineStr">
        <is>
          <t>CR-102</t>
        </is>
      </c>
      <c r="D597" t="inlineStr">
        <is>
          <t>ISO 7</t>
        </is>
      </c>
      <c r="E597" t="inlineStr">
        <is>
          <t>Compressed air</t>
        </is>
      </c>
      <c r="F597" t="n">
        <v>0</v>
      </c>
      <c r="G597" t="inlineStr">
        <is>
          <t>Tech A</t>
        </is>
      </c>
      <c r="H597">
        <f>INDEX(Limits!$B$2:$B$5,MATCH(E597,Limits!$A$2:$A$5,0))</f>
        <v/>
      </c>
      <c r="I597">
        <f>INDEX(Limits!$C$2:$C$5,MATCH(E597,Limits!$A$2:$A$5,0))</f>
        <v/>
      </c>
      <c r="J597">
        <f>IF(F597&gt;=I597,"Action",IF(F597&gt;=H597,"Alert","Pass"))</f>
        <v/>
      </c>
      <c r="K597" s="4">
        <f>DATE(YEAR(B597),MONTH(B597),1)</f>
        <v/>
      </c>
    </row>
    <row r="598">
      <c r="A598" t="inlineStr">
        <is>
          <t>EM000597</t>
        </is>
      </c>
      <c r="B598" s="7" t="n">
        <v>46070</v>
      </c>
      <c r="C598" t="inlineStr">
        <is>
          <t>CR-102</t>
        </is>
      </c>
      <c r="D598" t="inlineStr">
        <is>
          <t>ISO 7</t>
        </is>
      </c>
      <c r="E598" t="inlineStr">
        <is>
          <t>Personnel glove</t>
        </is>
      </c>
      <c r="F598" t="n">
        <v>0</v>
      </c>
      <c r="G598" t="inlineStr">
        <is>
          <t>Tech B</t>
        </is>
      </c>
      <c r="H598">
        <f>INDEX(Limits!$B$2:$B$5,MATCH(E598,Limits!$A$2:$A$5,0))</f>
        <v/>
      </c>
      <c r="I598">
        <f>INDEX(Limits!$C$2:$C$5,MATCH(E598,Limits!$A$2:$A$5,0))</f>
        <v/>
      </c>
      <c r="J598">
        <f>IF(F598&gt;=I598,"Action",IF(F598&gt;=H598,"Alert","Pass"))</f>
        <v/>
      </c>
      <c r="K598" s="4">
        <f>DATE(YEAR(B598),MONTH(B598),1)</f>
        <v/>
      </c>
    </row>
    <row r="599">
      <c r="A599" t="inlineStr">
        <is>
          <t>EM000598</t>
        </is>
      </c>
      <c r="B599" s="7" t="n">
        <v>46070</v>
      </c>
      <c r="C599" t="inlineStr">
        <is>
          <t>CR-201</t>
        </is>
      </c>
      <c r="D599" t="inlineStr">
        <is>
          <t>ISO 8</t>
        </is>
      </c>
      <c r="E599" t="inlineStr">
        <is>
          <t>Active air</t>
        </is>
      </c>
      <c r="F599" t="n">
        <v>0</v>
      </c>
      <c r="G599" t="inlineStr">
        <is>
          <t>Tech B</t>
        </is>
      </c>
      <c r="H599">
        <f>INDEX(Limits!$B$2:$B$5,MATCH(E599,Limits!$A$2:$A$5,0))</f>
        <v/>
      </c>
      <c r="I599">
        <f>INDEX(Limits!$C$2:$C$5,MATCH(E599,Limits!$A$2:$A$5,0))</f>
        <v/>
      </c>
      <c r="J599">
        <f>IF(F599&gt;=I599,"Action",IF(F599&gt;=H599,"Alert","Pass"))</f>
        <v/>
      </c>
      <c r="K599" s="4">
        <f>DATE(YEAR(B599),MONTH(B599),1)</f>
        <v/>
      </c>
    </row>
    <row r="600">
      <c r="A600" t="inlineStr">
        <is>
          <t>EM000599</t>
        </is>
      </c>
      <c r="B600" s="7" t="n">
        <v>46070</v>
      </c>
      <c r="C600" t="inlineStr">
        <is>
          <t>CR-201</t>
        </is>
      </c>
      <c r="D600" t="inlineStr">
        <is>
          <t>ISO 8</t>
        </is>
      </c>
      <c r="E600" t="inlineStr">
        <is>
          <t>Surface contact</t>
        </is>
      </c>
      <c r="F600" t="n">
        <v>0</v>
      </c>
      <c r="G600" t="inlineStr">
        <is>
          <t>Tech D</t>
        </is>
      </c>
      <c r="H600">
        <f>INDEX(Limits!$B$2:$B$5,MATCH(E600,Limits!$A$2:$A$5,0))</f>
        <v/>
      </c>
      <c r="I600">
        <f>INDEX(Limits!$C$2:$C$5,MATCH(E600,Limits!$A$2:$A$5,0))</f>
        <v/>
      </c>
      <c r="J600">
        <f>IF(F600&gt;=I600,"Action",IF(F600&gt;=H600,"Alert","Pass"))</f>
        <v/>
      </c>
      <c r="K600" s="4">
        <f>DATE(YEAR(B600),MONTH(B600),1)</f>
        <v/>
      </c>
    </row>
    <row r="601">
      <c r="A601" t="inlineStr">
        <is>
          <t>EM000600</t>
        </is>
      </c>
      <c r="B601" s="7" t="n">
        <v>46070</v>
      </c>
      <c r="C601" t="inlineStr">
        <is>
          <t>CR-201</t>
        </is>
      </c>
      <c r="D601" t="inlineStr">
        <is>
          <t>ISO 8</t>
        </is>
      </c>
      <c r="E601" t="inlineStr">
        <is>
          <t>Compressed air</t>
        </is>
      </c>
      <c r="F601" t="n">
        <v>0</v>
      </c>
      <c r="G601" t="inlineStr">
        <is>
          <t>Tech D</t>
        </is>
      </c>
      <c r="H601">
        <f>INDEX(Limits!$B$2:$B$5,MATCH(E601,Limits!$A$2:$A$5,0))</f>
        <v/>
      </c>
      <c r="I601">
        <f>INDEX(Limits!$C$2:$C$5,MATCH(E601,Limits!$A$2:$A$5,0))</f>
        <v/>
      </c>
      <c r="J601">
        <f>IF(F601&gt;=I601,"Action",IF(F601&gt;=H601,"Alert","Pass"))</f>
        <v/>
      </c>
      <c r="K601" s="4">
        <f>DATE(YEAR(B601),MONTH(B601),1)</f>
        <v/>
      </c>
    </row>
    <row r="602">
      <c r="A602" t="inlineStr">
        <is>
          <t>EM000601</t>
        </is>
      </c>
      <c r="B602" s="7" t="n">
        <v>46070</v>
      </c>
      <c r="C602" t="inlineStr">
        <is>
          <t>CR-201</t>
        </is>
      </c>
      <c r="D602" t="inlineStr">
        <is>
          <t>ISO 8</t>
        </is>
      </c>
      <c r="E602" t="inlineStr">
        <is>
          <t>Personnel glove</t>
        </is>
      </c>
      <c r="F602" t="n">
        <v>0</v>
      </c>
      <c r="G602" t="inlineStr">
        <is>
          <t>Tech D</t>
        </is>
      </c>
      <c r="H602">
        <f>INDEX(Limits!$B$2:$B$5,MATCH(E602,Limits!$A$2:$A$5,0))</f>
        <v/>
      </c>
      <c r="I602">
        <f>INDEX(Limits!$C$2:$C$5,MATCH(E602,Limits!$A$2:$A$5,0))</f>
        <v/>
      </c>
      <c r="J602">
        <f>IF(F602&gt;=I602,"Action",IF(F602&gt;=H602,"Alert","Pass"))</f>
        <v/>
      </c>
      <c r="K602" s="4">
        <f>DATE(YEAR(B602),MONTH(B602),1)</f>
        <v/>
      </c>
    </row>
    <row r="603">
      <c r="A603" t="inlineStr">
        <is>
          <t>EM000602</t>
        </is>
      </c>
      <c r="B603" s="7" t="n">
        <v>46070</v>
      </c>
      <c r="C603" t="inlineStr">
        <is>
          <t>CR-202</t>
        </is>
      </c>
      <c r="D603" t="inlineStr">
        <is>
          <t>ISO 8</t>
        </is>
      </c>
      <c r="E603" t="inlineStr">
        <is>
          <t>Active air</t>
        </is>
      </c>
      <c r="F603" t="n">
        <v>2</v>
      </c>
      <c r="G603" t="inlineStr">
        <is>
          <t>Tech B</t>
        </is>
      </c>
      <c r="H603">
        <f>INDEX(Limits!$B$2:$B$5,MATCH(E603,Limits!$A$2:$A$5,0))</f>
        <v/>
      </c>
      <c r="I603">
        <f>INDEX(Limits!$C$2:$C$5,MATCH(E603,Limits!$A$2:$A$5,0))</f>
        <v/>
      </c>
      <c r="J603">
        <f>IF(F603&gt;=I603,"Action",IF(F603&gt;=H603,"Alert","Pass"))</f>
        <v/>
      </c>
      <c r="K603" s="4">
        <f>DATE(YEAR(B603),MONTH(B603),1)</f>
        <v/>
      </c>
    </row>
    <row r="604">
      <c r="A604" t="inlineStr">
        <is>
          <t>EM000603</t>
        </is>
      </c>
      <c r="B604" s="7" t="n">
        <v>46070</v>
      </c>
      <c r="C604" t="inlineStr">
        <is>
          <t>CR-202</t>
        </is>
      </c>
      <c r="D604" t="inlineStr">
        <is>
          <t>ISO 8</t>
        </is>
      </c>
      <c r="E604" t="inlineStr">
        <is>
          <t>Surface contact</t>
        </is>
      </c>
      <c r="F604" t="n">
        <v>0</v>
      </c>
      <c r="G604" t="inlineStr">
        <is>
          <t>Tech B</t>
        </is>
      </c>
      <c r="H604">
        <f>INDEX(Limits!$B$2:$B$5,MATCH(E604,Limits!$A$2:$A$5,0))</f>
        <v/>
      </c>
      <c r="I604">
        <f>INDEX(Limits!$C$2:$C$5,MATCH(E604,Limits!$A$2:$A$5,0))</f>
        <v/>
      </c>
      <c r="J604">
        <f>IF(F604&gt;=I604,"Action",IF(F604&gt;=H604,"Alert","Pass"))</f>
        <v/>
      </c>
      <c r="K604" s="4">
        <f>DATE(YEAR(B604),MONTH(B604),1)</f>
        <v/>
      </c>
    </row>
    <row r="605">
      <c r="A605" t="inlineStr">
        <is>
          <t>EM000604</t>
        </is>
      </c>
      <c r="B605" s="7" t="n">
        <v>46070</v>
      </c>
      <c r="C605" t="inlineStr">
        <is>
          <t>CR-202</t>
        </is>
      </c>
      <c r="D605" t="inlineStr">
        <is>
          <t>ISO 8</t>
        </is>
      </c>
      <c r="E605" t="inlineStr">
        <is>
          <t>Compressed air</t>
        </is>
      </c>
      <c r="F605" t="n">
        <v>1</v>
      </c>
      <c r="G605" t="inlineStr">
        <is>
          <t>Tech D</t>
        </is>
      </c>
      <c r="H605">
        <f>INDEX(Limits!$B$2:$B$5,MATCH(E605,Limits!$A$2:$A$5,0))</f>
        <v/>
      </c>
      <c r="I605">
        <f>INDEX(Limits!$C$2:$C$5,MATCH(E605,Limits!$A$2:$A$5,0))</f>
        <v/>
      </c>
      <c r="J605">
        <f>IF(F605&gt;=I605,"Action",IF(F605&gt;=H605,"Alert","Pass"))</f>
        <v/>
      </c>
      <c r="K605" s="4">
        <f>DATE(YEAR(B605),MONTH(B605),1)</f>
        <v/>
      </c>
    </row>
    <row r="606">
      <c r="A606" t="inlineStr">
        <is>
          <t>EM000605</t>
        </is>
      </c>
      <c r="B606" s="7" t="n">
        <v>46070</v>
      </c>
      <c r="C606" t="inlineStr">
        <is>
          <t>CR-202</t>
        </is>
      </c>
      <c r="D606" t="inlineStr">
        <is>
          <t>ISO 8</t>
        </is>
      </c>
      <c r="E606" t="inlineStr">
        <is>
          <t>Personnel glove</t>
        </is>
      </c>
      <c r="F606" t="n">
        <v>0</v>
      </c>
      <c r="G606" t="inlineStr">
        <is>
          <t>Tech D</t>
        </is>
      </c>
      <c r="H606">
        <f>INDEX(Limits!$B$2:$B$5,MATCH(E606,Limits!$A$2:$A$5,0))</f>
        <v/>
      </c>
      <c r="I606">
        <f>INDEX(Limits!$C$2:$C$5,MATCH(E606,Limits!$A$2:$A$5,0))</f>
        <v/>
      </c>
      <c r="J606">
        <f>IF(F606&gt;=I606,"Action",IF(F606&gt;=H606,"Alert","Pass"))</f>
        <v/>
      </c>
      <c r="K606" s="4">
        <f>DATE(YEAR(B606),MONTH(B606),1)</f>
        <v/>
      </c>
    </row>
    <row r="607">
      <c r="A607" t="inlineStr">
        <is>
          <t>EM000606</t>
        </is>
      </c>
      <c r="B607" s="7" t="n">
        <v>46070</v>
      </c>
      <c r="C607" t="inlineStr">
        <is>
          <t>Gowning</t>
        </is>
      </c>
      <c r="D607" t="inlineStr">
        <is>
          <t>ISO 8</t>
        </is>
      </c>
      <c r="E607" t="inlineStr">
        <is>
          <t>Active air</t>
        </is>
      </c>
      <c r="F607" t="n">
        <v>2</v>
      </c>
      <c r="G607" t="inlineStr">
        <is>
          <t>Tech A</t>
        </is>
      </c>
      <c r="H607">
        <f>INDEX(Limits!$B$2:$B$5,MATCH(E607,Limits!$A$2:$A$5,0))</f>
        <v/>
      </c>
      <c r="I607">
        <f>INDEX(Limits!$C$2:$C$5,MATCH(E607,Limits!$A$2:$A$5,0))</f>
        <v/>
      </c>
      <c r="J607">
        <f>IF(F607&gt;=I607,"Action",IF(F607&gt;=H607,"Alert","Pass"))</f>
        <v/>
      </c>
      <c r="K607" s="4">
        <f>DATE(YEAR(B607),MONTH(B607),1)</f>
        <v/>
      </c>
    </row>
    <row r="608">
      <c r="A608" t="inlineStr">
        <is>
          <t>EM000607</t>
        </is>
      </c>
      <c r="B608" s="7" t="n">
        <v>46070</v>
      </c>
      <c r="C608" t="inlineStr">
        <is>
          <t>Gowning</t>
        </is>
      </c>
      <c r="D608" t="inlineStr">
        <is>
          <t>ISO 8</t>
        </is>
      </c>
      <c r="E608" t="inlineStr">
        <is>
          <t>Surface contact</t>
        </is>
      </c>
      <c r="F608" t="n">
        <v>0</v>
      </c>
      <c r="G608" t="inlineStr">
        <is>
          <t>Tech B</t>
        </is>
      </c>
      <c r="H608">
        <f>INDEX(Limits!$B$2:$B$5,MATCH(E608,Limits!$A$2:$A$5,0))</f>
        <v/>
      </c>
      <c r="I608">
        <f>INDEX(Limits!$C$2:$C$5,MATCH(E608,Limits!$A$2:$A$5,0))</f>
        <v/>
      </c>
      <c r="J608">
        <f>IF(F608&gt;=I608,"Action",IF(F608&gt;=H608,"Alert","Pass"))</f>
        <v/>
      </c>
      <c r="K608" s="4">
        <f>DATE(YEAR(B608),MONTH(B608),1)</f>
        <v/>
      </c>
    </row>
    <row r="609">
      <c r="A609" t="inlineStr">
        <is>
          <t>EM000608</t>
        </is>
      </c>
      <c r="B609" s="7" t="n">
        <v>46070</v>
      </c>
      <c r="C609" t="inlineStr">
        <is>
          <t>Gowning</t>
        </is>
      </c>
      <c r="D609" t="inlineStr">
        <is>
          <t>ISO 8</t>
        </is>
      </c>
      <c r="E609" t="inlineStr">
        <is>
          <t>Personnel glove</t>
        </is>
      </c>
      <c r="F609" t="n">
        <v>1</v>
      </c>
      <c r="G609" t="inlineStr">
        <is>
          <t>Tech A</t>
        </is>
      </c>
      <c r="H609">
        <f>INDEX(Limits!$B$2:$B$5,MATCH(E609,Limits!$A$2:$A$5,0))</f>
        <v/>
      </c>
      <c r="I609">
        <f>INDEX(Limits!$C$2:$C$5,MATCH(E609,Limits!$A$2:$A$5,0))</f>
        <v/>
      </c>
      <c r="J609">
        <f>IF(F609&gt;=I609,"Action",IF(F609&gt;=H609,"Alert","Pass"))</f>
        <v/>
      </c>
      <c r="K609" s="4">
        <f>DATE(YEAR(B609),MONTH(B609),1)</f>
        <v/>
      </c>
    </row>
    <row r="610">
      <c r="A610" t="inlineStr">
        <is>
          <t>EM000609</t>
        </is>
      </c>
      <c r="B610" s="7" t="n">
        <v>46071</v>
      </c>
      <c r="C610" t="inlineStr">
        <is>
          <t>CR-101</t>
        </is>
      </c>
      <c r="D610" t="inlineStr">
        <is>
          <t>ISO 7</t>
        </is>
      </c>
      <c r="E610" t="inlineStr">
        <is>
          <t>Active air</t>
        </is>
      </c>
      <c r="F610" t="n">
        <v>1</v>
      </c>
      <c r="G610" t="inlineStr">
        <is>
          <t>Tech D</t>
        </is>
      </c>
      <c r="H610">
        <f>INDEX(Limits!$B$2:$B$5,MATCH(E610,Limits!$A$2:$A$5,0))</f>
        <v/>
      </c>
      <c r="I610">
        <f>INDEX(Limits!$C$2:$C$5,MATCH(E610,Limits!$A$2:$A$5,0))</f>
        <v/>
      </c>
      <c r="J610">
        <f>IF(F610&gt;=I610,"Action",IF(F610&gt;=H610,"Alert","Pass"))</f>
        <v/>
      </c>
      <c r="K610" s="4">
        <f>DATE(YEAR(B610),MONTH(B610),1)</f>
        <v/>
      </c>
    </row>
    <row r="611">
      <c r="A611" t="inlineStr">
        <is>
          <t>EM000610</t>
        </is>
      </c>
      <c r="B611" s="7" t="n">
        <v>46071</v>
      </c>
      <c r="C611" t="inlineStr">
        <is>
          <t>CR-101</t>
        </is>
      </c>
      <c r="D611" t="inlineStr">
        <is>
          <t>ISO 7</t>
        </is>
      </c>
      <c r="E611" t="inlineStr">
        <is>
          <t>Surface contact</t>
        </is>
      </c>
      <c r="F611" t="n">
        <v>0</v>
      </c>
      <c r="G611" t="inlineStr">
        <is>
          <t>Tech A</t>
        </is>
      </c>
      <c r="H611">
        <f>INDEX(Limits!$B$2:$B$5,MATCH(E611,Limits!$A$2:$A$5,0))</f>
        <v/>
      </c>
      <c r="I611">
        <f>INDEX(Limits!$C$2:$C$5,MATCH(E611,Limits!$A$2:$A$5,0))</f>
        <v/>
      </c>
      <c r="J611">
        <f>IF(F611&gt;=I611,"Action",IF(F611&gt;=H611,"Alert","Pass"))</f>
        <v/>
      </c>
      <c r="K611" s="4">
        <f>DATE(YEAR(B611),MONTH(B611),1)</f>
        <v/>
      </c>
    </row>
    <row r="612">
      <c r="A612" t="inlineStr">
        <is>
          <t>EM000611</t>
        </is>
      </c>
      <c r="B612" s="7" t="n">
        <v>46071</v>
      </c>
      <c r="C612" t="inlineStr">
        <is>
          <t>CR-101</t>
        </is>
      </c>
      <c r="D612" t="inlineStr">
        <is>
          <t>ISO 7</t>
        </is>
      </c>
      <c r="E612" t="inlineStr">
        <is>
          <t>Compressed air</t>
        </is>
      </c>
      <c r="F612" t="n">
        <v>0</v>
      </c>
      <c r="G612" t="inlineStr">
        <is>
          <t>Tech C</t>
        </is>
      </c>
      <c r="H612">
        <f>INDEX(Limits!$B$2:$B$5,MATCH(E612,Limits!$A$2:$A$5,0))</f>
        <v/>
      </c>
      <c r="I612">
        <f>INDEX(Limits!$C$2:$C$5,MATCH(E612,Limits!$A$2:$A$5,0))</f>
        <v/>
      </c>
      <c r="J612">
        <f>IF(F612&gt;=I612,"Action",IF(F612&gt;=H612,"Alert","Pass"))</f>
        <v/>
      </c>
      <c r="K612" s="4">
        <f>DATE(YEAR(B612),MONTH(B612),1)</f>
        <v/>
      </c>
    </row>
    <row r="613">
      <c r="A613" t="inlineStr">
        <is>
          <t>EM000612</t>
        </is>
      </c>
      <c r="B613" s="7" t="n">
        <v>46071</v>
      </c>
      <c r="C613" t="inlineStr">
        <is>
          <t>CR-101</t>
        </is>
      </c>
      <c r="D613" t="inlineStr">
        <is>
          <t>ISO 7</t>
        </is>
      </c>
      <c r="E613" t="inlineStr">
        <is>
          <t>Personnel glove</t>
        </is>
      </c>
      <c r="F613" t="n">
        <v>0</v>
      </c>
      <c r="G613" t="inlineStr">
        <is>
          <t>Tech A</t>
        </is>
      </c>
      <c r="H613">
        <f>INDEX(Limits!$B$2:$B$5,MATCH(E613,Limits!$A$2:$A$5,0))</f>
        <v/>
      </c>
      <c r="I613">
        <f>INDEX(Limits!$C$2:$C$5,MATCH(E613,Limits!$A$2:$A$5,0))</f>
        <v/>
      </c>
      <c r="J613">
        <f>IF(F613&gt;=I613,"Action",IF(F613&gt;=H613,"Alert","Pass"))</f>
        <v/>
      </c>
      <c r="K613" s="4">
        <f>DATE(YEAR(B613),MONTH(B613),1)</f>
        <v/>
      </c>
    </row>
    <row r="614">
      <c r="A614" t="inlineStr">
        <is>
          <t>EM000613</t>
        </is>
      </c>
      <c r="B614" s="7" t="n">
        <v>46071</v>
      </c>
      <c r="C614" t="inlineStr">
        <is>
          <t>CR-102</t>
        </is>
      </c>
      <c r="D614" t="inlineStr">
        <is>
          <t>ISO 7</t>
        </is>
      </c>
      <c r="E614" t="inlineStr">
        <is>
          <t>Active air</t>
        </is>
      </c>
      <c r="F614" t="n">
        <v>1</v>
      </c>
      <c r="G614" t="inlineStr">
        <is>
          <t>Tech C</t>
        </is>
      </c>
      <c r="H614">
        <f>INDEX(Limits!$B$2:$B$5,MATCH(E614,Limits!$A$2:$A$5,0))</f>
        <v/>
      </c>
      <c r="I614">
        <f>INDEX(Limits!$C$2:$C$5,MATCH(E614,Limits!$A$2:$A$5,0))</f>
        <v/>
      </c>
      <c r="J614">
        <f>IF(F614&gt;=I614,"Action",IF(F614&gt;=H614,"Alert","Pass"))</f>
        <v/>
      </c>
      <c r="K614" s="4">
        <f>DATE(YEAR(B614),MONTH(B614),1)</f>
        <v/>
      </c>
    </row>
    <row r="615">
      <c r="A615" t="inlineStr">
        <is>
          <t>EM000614</t>
        </is>
      </c>
      <c r="B615" s="7" t="n">
        <v>46071</v>
      </c>
      <c r="C615" t="inlineStr">
        <is>
          <t>CR-102</t>
        </is>
      </c>
      <c r="D615" t="inlineStr">
        <is>
          <t>ISO 7</t>
        </is>
      </c>
      <c r="E615" t="inlineStr">
        <is>
          <t>Surface contact</t>
        </is>
      </c>
      <c r="F615" t="n">
        <v>0</v>
      </c>
      <c r="G615" t="inlineStr">
        <is>
          <t>Tech C</t>
        </is>
      </c>
      <c r="H615">
        <f>INDEX(Limits!$B$2:$B$5,MATCH(E615,Limits!$A$2:$A$5,0))</f>
        <v/>
      </c>
      <c r="I615">
        <f>INDEX(Limits!$C$2:$C$5,MATCH(E615,Limits!$A$2:$A$5,0))</f>
        <v/>
      </c>
      <c r="J615">
        <f>IF(F615&gt;=I615,"Action",IF(F615&gt;=H615,"Alert","Pass"))</f>
        <v/>
      </c>
      <c r="K615" s="4">
        <f>DATE(YEAR(B615),MONTH(B615),1)</f>
        <v/>
      </c>
    </row>
    <row r="616">
      <c r="A616" t="inlineStr">
        <is>
          <t>EM000615</t>
        </is>
      </c>
      <c r="B616" s="7" t="n">
        <v>46071</v>
      </c>
      <c r="C616" t="inlineStr">
        <is>
          <t>CR-102</t>
        </is>
      </c>
      <c r="D616" t="inlineStr">
        <is>
          <t>ISO 7</t>
        </is>
      </c>
      <c r="E616" t="inlineStr">
        <is>
          <t>Compressed air</t>
        </is>
      </c>
      <c r="F616" t="n">
        <v>0</v>
      </c>
      <c r="G616" t="inlineStr">
        <is>
          <t>Tech A</t>
        </is>
      </c>
      <c r="H616">
        <f>INDEX(Limits!$B$2:$B$5,MATCH(E616,Limits!$A$2:$A$5,0))</f>
        <v/>
      </c>
      <c r="I616">
        <f>INDEX(Limits!$C$2:$C$5,MATCH(E616,Limits!$A$2:$A$5,0))</f>
        <v/>
      </c>
      <c r="J616">
        <f>IF(F616&gt;=I616,"Action",IF(F616&gt;=H616,"Alert","Pass"))</f>
        <v/>
      </c>
      <c r="K616" s="4">
        <f>DATE(YEAR(B616),MONTH(B616),1)</f>
        <v/>
      </c>
    </row>
    <row r="617">
      <c r="A617" t="inlineStr">
        <is>
          <t>EM000616</t>
        </is>
      </c>
      <c r="B617" s="7" t="n">
        <v>46071</v>
      </c>
      <c r="C617" t="inlineStr">
        <is>
          <t>CR-102</t>
        </is>
      </c>
      <c r="D617" t="inlineStr">
        <is>
          <t>ISO 7</t>
        </is>
      </c>
      <c r="E617" t="inlineStr">
        <is>
          <t>Personnel glove</t>
        </is>
      </c>
      <c r="F617" t="n">
        <v>0</v>
      </c>
      <c r="G617" t="inlineStr">
        <is>
          <t>Tech C</t>
        </is>
      </c>
      <c r="H617">
        <f>INDEX(Limits!$B$2:$B$5,MATCH(E617,Limits!$A$2:$A$5,0))</f>
        <v/>
      </c>
      <c r="I617">
        <f>INDEX(Limits!$C$2:$C$5,MATCH(E617,Limits!$A$2:$A$5,0))</f>
        <v/>
      </c>
      <c r="J617">
        <f>IF(F617&gt;=I617,"Action",IF(F617&gt;=H617,"Alert","Pass"))</f>
        <v/>
      </c>
      <c r="K617" s="4">
        <f>DATE(YEAR(B617),MONTH(B617),1)</f>
        <v/>
      </c>
    </row>
    <row r="618">
      <c r="A618" t="inlineStr">
        <is>
          <t>EM000617</t>
        </is>
      </c>
      <c r="B618" s="7" t="n">
        <v>46071</v>
      </c>
      <c r="C618" t="inlineStr">
        <is>
          <t>CR-201</t>
        </is>
      </c>
      <c r="D618" t="inlineStr">
        <is>
          <t>ISO 8</t>
        </is>
      </c>
      <c r="E618" t="inlineStr">
        <is>
          <t>Active air</t>
        </is>
      </c>
      <c r="F618" t="n">
        <v>0</v>
      </c>
      <c r="G618" t="inlineStr">
        <is>
          <t>Tech D</t>
        </is>
      </c>
      <c r="H618">
        <f>INDEX(Limits!$B$2:$B$5,MATCH(E618,Limits!$A$2:$A$5,0))</f>
        <v/>
      </c>
      <c r="I618">
        <f>INDEX(Limits!$C$2:$C$5,MATCH(E618,Limits!$A$2:$A$5,0))</f>
        <v/>
      </c>
      <c r="J618">
        <f>IF(F618&gt;=I618,"Action",IF(F618&gt;=H618,"Alert","Pass"))</f>
        <v/>
      </c>
      <c r="K618" s="4">
        <f>DATE(YEAR(B618),MONTH(B618),1)</f>
        <v/>
      </c>
    </row>
    <row r="619">
      <c r="A619" t="inlineStr">
        <is>
          <t>EM000618</t>
        </is>
      </c>
      <c r="B619" s="7" t="n">
        <v>46071</v>
      </c>
      <c r="C619" t="inlineStr">
        <is>
          <t>CR-201</t>
        </is>
      </c>
      <c r="D619" t="inlineStr">
        <is>
          <t>ISO 8</t>
        </is>
      </c>
      <c r="E619" t="inlineStr">
        <is>
          <t>Surface contact</t>
        </is>
      </c>
      <c r="F619" t="n">
        <v>0</v>
      </c>
      <c r="G619" t="inlineStr">
        <is>
          <t>Tech B</t>
        </is>
      </c>
      <c r="H619">
        <f>INDEX(Limits!$B$2:$B$5,MATCH(E619,Limits!$A$2:$A$5,0))</f>
        <v/>
      </c>
      <c r="I619">
        <f>INDEX(Limits!$C$2:$C$5,MATCH(E619,Limits!$A$2:$A$5,0))</f>
        <v/>
      </c>
      <c r="J619">
        <f>IF(F619&gt;=I619,"Action",IF(F619&gt;=H619,"Alert","Pass"))</f>
        <v/>
      </c>
      <c r="K619" s="4">
        <f>DATE(YEAR(B619),MONTH(B619),1)</f>
        <v/>
      </c>
    </row>
    <row r="620">
      <c r="A620" t="inlineStr">
        <is>
          <t>EM000619</t>
        </is>
      </c>
      <c r="B620" s="7" t="n">
        <v>46071</v>
      </c>
      <c r="C620" t="inlineStr">
        <is>
          <t>CR-201</t>
        </is>
      </c>
      <c r="D620" t="inlineStr">
        <is>
          <t>ISO 8</t>
        </is>
      </c>
      <c r="E620" t="inlineStr">
        <is>
          <t>Compressed air</t>
        </is>
      </c>
      <c r="F620" t="n">
        <v>0</v>
      </c>
      <c r="G620" t="inlineStr">
        <is>
          <t>Tech A</t>
        </is>
      </c>
      <c r="H620">
        <f>INDEX(Limits!$B$2:$B$5,MATCH(E620,Limits!$A$2:$A$5,0))</f>
        <v/>
      </c>
      <c r="I620">
        <f>INDEX(Limits!$C$2:$C$5,MATCH(E620,Limits!$A$2:$A$5,0))</f>
        <v/>
      </c>
      <c r="J620">
        <f>IF(F620&gt;=I620,"Action",IF(F620&gt;=H620,"Alert","Pass"))</f>
        <v/>
      </c>
      <c r="K620" s="4">
        <f>DATE(YEAR(B620),MONTH(B620),1)</f>
        <v/>
      </c>
    </row>
    <row r="621">
      <c r="A621" t="inlineStr">
        <is>
          <t>EM000620</t>
        </is>
      </c>
      <c r="B621" s="7" t="n">
        <v>46071</v>
      </c>
      <c r="C621" t="inlineStr">
        <is>
          <t>CR-201</t>
        </is>
      </c>
      <c r="D621" t="inlineStr">
        <is>
          <t>ISO 8</t>
        </is>
      </c>
      <c r="E621" t="inlineStr">
        <is>
          <t>Personnel glove</t>
        </is>
      </c>
      <c r="F621" t="n">
        <v>0</v>
      </c>
      <c r="G621" t="inlineStr">
        <is>
          <t>Tech D</t>
        </is>
      </c>
      <c r="H621">
        <f>INDEX(Limits!$B$2:$B$5,MATCH(E621,Limits!$A$2:$A$5,0))</f>
        <v/>
      </c>
      <c r="I621">
        <f>INDEX(Limits!$C$2:$C$5,MATCH(E621,Limits!$A$2:$A$5,0))</f>
        <v/>
      </c>
      <c r="J621">
        <f>IF(F621&gt;=I621,"Action",IF(F621&gt;=H621,"Alert","Pass"))</f>
        <v/>
      </c>
      <c r="K621" s="4">
        <f>DATE(YEAR(B621),MONTH(B621),1)</f>
        <v/>
      </c>
    </row>
    <row r="622">
      <c r="A622" t="inlineStr">
        <is>
          <t>EM000621</t>
        </is>
      </c>
      <c r="B622" s="7" t="n">
        <v>46071</v>
      </c>
      <c r="C622" t="inlineStr">
        <is>
          <t>CR-202</t>
        </is>
      </c>
      <c r="D622" t="inlineStr">
        <is>
          <t>ISO 8</t>
        </is>
      </c>
      <c r="E622" t="inlineStr">
        <is>
          <t>Active air</t>
        </is>
      </c>
      <c r="F622" t="n">
        <v>3</v>
      </c>
      <c r="G622" t="inlineStr">
        <is>
          <t>Tech D</t>
        </is>
      </c>
      <c r="H622">
        <f>INDEX(Limits!$B$2:$B$5,MATCH(E622,Limits!$A$2:$A$5,0))</f>
        <v/>
      </c>
      <c r="I622">
        <f>INDEX(Limits!$C$2:$C$5,MATCH(E622,Limits!$A$2:$A$5,0))</f>
        <v/>
      </c>
      <c r="J622">
        <f>IF(F622&gt;=I622,"Action",IF(F622&gt;=H622,"Alert","Pass"))</f>
        <v/>
      </c>
      <c r="K622" s="4">
        <f>DATE(YEAR(B622),MONTH(B622),1)</f>
        <v/>
      </c>
    </row>
    <row r="623">
      <c r="A623" t="inlineStr">
        <is>
          <t>EM000622</t>
        </is>
      </c>
      <c r="B623" s="7" t="n">
        <v>46071</v>
      </c>
      <c r="C623" t="inlineStr">
        <is>
          <t>CR-202</t>
        </is>
      </c>
      <c r="D623" t="inlineStr">
        <is>
          <t>ISO 8</t>
        </is>
      </c>
      <c r="E623" t="inlineStr">
        <is>
          <t>Surface contact</t>
        </is>
      </c>
      <c r="F623" t="n">
        <v>0</v>
      </c>
      <c r="G623" t="inlineStr">
        <is>
          <t>Tech A</t>
        </is>
      </c>
      <c r="H623">
        <f>INDEX(Limits!$B$2:$B$5,MATCH(E623,Limits!$A$2:$A$5,0))</f>
        <v/>
      </c>
      <c r="I623">
        <f>INDEX(Limits!$C$2:$C$5,MATCH(E623,Limits!$A$2:$A$5,0))</f>
        <v/>
      </c>
      <c r="J623">
        <f>IF(F623&gt;=I623,"Action",IF(F623&gt;=H623,"Alert","Pass"))</f>
        <v/>
      </c>
      <c r="K623" s="4">
        <f>DATE(YEAR(B623),MONTH(B623),1)</f>
        <v/>
      </c>
    </row>
    <row r="624">
      <c r="A624" t="inlineStr">
        <is>
          <t>EM000623</t>
        </is>
      </c>
      <c r="B624" s="7" t="n">
        <v>46071</v>
      </c>
      <c r="C624" t="inlineStr">
        <is>
          <t>CR-202</t>
        </is>
      </c>
      <c r="D624" t="inlineStr">
        <is>
          <t>ISO 8</t>
        </is>
      </c>
      <c r="E624" t="inlineStr">
        <is>
          <t>Compressed air</t>
        </is>
      </c>
      <c r="F624" t="n">
        <v>0</v>
      </c>
      <c r="G624" t="inlineStr">
        <is>
          <t>Tech A</t>
        </is>
      </c>
      <c r="H624">
        <f>INDEX(Limits!$B$2:$B$5,MATCH(E624,Limits!$A$2:$A$5,0))</f>
        <v/>
      </c>
      <c r="I624">
        <f>INDEX(Limits!$C$2:$C$5,MATCH(E624,Limits!$A$2:$A$5,0))</f>
        <v/>
      </c>
      <c r="J624">
        <f>IF(F624&gt;=I624,"Action",IF(F624&gt;=H624,"Alert","Pass"))</f>
        <v/>
      </c>
      <c r="K624" s="4">
        <f>DATE(YEAR(B624),MONTH(B624),1)</f>
        <v/>
      </c>
    </row>
    <row r="625">
      <c r="A625" t="inlineStr">
        <is>
          <t>EM000624</t>
        </is>
      </c>
      <c r="B625" s="7" t="n">
        <v>46071</v>
      </c>
      <c r="C625" t="inlineStr">
        <is>
          <t>CR-202</t>
        </is>
      </c>
      <c r="D625" t="inlineStr">
        <is>
          <t>ISO 8</t>
        </is>
      </c>
      <c r="E625" t="inlineStr">
        <is>
          <t>Personnel glove</t>
        </is>
      </c>
      <c r="F625" t="n">
        <v>0</v>
      </c>
      <c r="G625" t="inlineStr">
        <is>
          <t>Tech D</t>
        </is>
      </c>
      <c r="H625">
        <f>INDEX(Limits!$B$2:$B$5,MATCH(E625,Limits!$A$2:$A$5,0))</f>
        <v/>
      </c>
      <c r="I625">
        <f>INDEX(Limits!$C$2:$C$5,MATCH(E625,Limits!$A$2:$A$5,0))</f>
        <v/>
      </c>
      <c r="J625">
        <f>IF(F625&gt;=I625,"Action",IF(F625&gt;=H625,"Alert","Pass"))</f>
        <v/>
      </c>
      <c r="K625" s="4">
        <f>DATE(YEAR(B625),MONTH(B625),1)</f>
        <v/>
      </c>
    </row>
    <row r="626">
      <c r="A626" t="inlineStr">
        <is>
          <t>EM000625</t>
        </is>
      </c>
      <c r="B626" s="7" t="n">
        <v>46071</v>
      </c>
      <c r="C626" t="inlineStr">
        <is>
          <t>Gowning</t>
        </is>
      </c>
      <c r="D626" t="inlineStr">
        <is>
          <t>ISO 8</t>
        </is>
      </c>
      <c r="E626" t="inlineStr">
        <is>
          <t>Active air</t>
        </is>
      </c>
      <c r="F626" t="n">
        <v>4</v>
      </c>
      <c r="G626" t="inlineStr">
        <is>
          <t>Tech D</t>
        </is>
      </c>
      <c r="H626">
        <f>INDEX(Limits!$B$2:$B$5,MATCH(E626,Limits!$A$2:$A$5,0))</f>
        <v/>
      </c>
      <c r="I626">
        <f>INDEX(Limits!$C$2:$C$5,MATCH(E626,Limits!$A$2:$A$5,0))</f>
        <v/>
      </c>
      <c r="J626">
        <f>IF(F626&gt;=I626,"Action",IF(F626&gt;=H626,"Alert","Pass"))</f>
        <v/>
      </c>
      <c r="K626" s="4">
        <f>DATE(YEAR(B626),MONTH(B626),1)</f>
        <v/>
      </c>
    </row>
    <row r="627">
      <c r="A627" t="inlineStr">
        <is>
          <t>EM000626</t>
        </is>
      </c>
      <c r="B627" s="7" t="n">
        <v>46071</v>
      </c>
      <c r="C627" t="inlineStr">
        <is>
          <t>Gowning</t>
        </is>
      </c>
      <c r="D627" t="inlineStr">
        <is>
          <t>ISO 8</t>
        </is>
      </c>
      <c r="E627" t="inlineStr">
        <is>
          <t>Surface contact</t>
        </is>
      </c>
      <c r="F627" t="n">
        <v>0</v>
      </c>
      <c r="G627" t="inlineStr">
        <is>
          <t>Tech C</t>
        </is>
      </c>
      <c r="H627">
        <f>INDEX(Limits!$B$2:$B$5,MATCH(E627,Limits!$A$2:$A$5,0))</f>
        <v/>
      </c>
      <c r="I627">
        <f>INDEX(Limits!$C$2:$C$5,MATCH(E627,Limits!$A$2:$A$5,0))</f>
        <v/>
      </c>
      <c r="J627">
        <f>IF(F627&gt;=I627,"Action",IF(F627&gt;=H627,"Alert","Pass"))</f>
        <v/>
      </c>
      <c r="K627" s="4">
        <f>DATE(YEAR(B627),MONTH(B627),1)</f>
        <v/>
      </c>
    </row>
    <row r="628">
      <c r="A628" t="inlineStr">
        <is>
          <t>EM000627</t>
        </is>
      </c>
      <c r="B628" s="7" t="n">
        <v>46071</v>
      </c>
      <c r="C628" t="inlineStr">
        <is>
          <t>Gowning</t>
        </is>
      </c>
      <c r="D628" t="inlineStr">
        <is>
          <t>ISO 8</t>
        </is>
      </c>
      <c r="E628" t="inlineStr">
        <is>
          <t>Personnel glove</t>
        </is>
      </c>
      <c r="F628" t="n">
        <v>0</v>
      </c>
      <c r="G628" t="inlineStr">
        <is>
          <t>Tech C</t>
        </is>
      </c>
      <c r="H628">
        <f>INDEX(Limits!$B$2:$B$5,MATCH(E628,Limits!$A$2:$A$5,0))</f>
        <v/>
      </c>
      <c r="I628">
        <f>INDEX(Limits!$C$2:$C$5,MATCH(E628,Limits!$A$2:$A$5,0))</f>
        <v/>
      </c>
      <c r="J628">
        <f>IF(F628&gt;=I628,"Action",IF(F628&gt;=H628,"Alert","Pass"))</f>
        <v/>
      </c>
      <c r="K628" s="4">
        <f>DATE(YEAR(B628),MONTH(B628),1)</f>
        <v/>
      </c>
    </row>
    <row r="629">
      <c r="A629" t="inlineStr">
        <is>
          <t>EM000628</t>
        </is>
      </c>
      <c r="B629" s="7" t="n">
        <v>46072</v>
      </c>
      <c r="C629" t="inlineStr">
        <is>
          <t>CR-101</t>
        </is>
      </c>
      <c r="D629" t="inlineStr">
        <is>
          <t>ISO 7</t>
        </is>
      </c>
      <c r="E629" t="inlineStr">
        <is>
          <t>Active air</t>
        </is>
      </c>
      <c r="F629" t="n">
        <v>1</v>
      </c>
      <c r="G629" t="inlineStr">
        <is>
          <t>Tech C</t>
        </is>
      </c>
      <c r="H629">
        <f>INDEX(Limits!$B$2:$B$5,MATCH(E629,Limits!$A$2:$A$5,0))</f>
        <v/>
      </c>
      <c r="I629">
        <f>INDEX(Limits!$C$2:$C$5,MATCH(E629,Limits!$A$2:$A$5,0))</f>
        <v/>
      </c>
      <c r="J629">
        <f>IF(F629&gt;=I629,"Action",IF(F629&gt;=H629,"Alert","Pass"))</f>
        <v/>
      </c>
      <c r="K629" s="4">
        <f>DATE(YEAR(B629),MONTH(B629),1)</f>
        <v/>
      </c>
    </row>
    <row r="630">
      <c r="A630" t="inlineStr">
        <is>
          <t>EM000629</t>
        </is>
      </c>
      <c r="B630" s="7" t="n">
        <v>46072</v>
      </c>
      <c r="C630" t="inlineStr">
        <is>
          <t>CR-101</t>
        </is>
      </c>
      <c r="D630" t="inlineStr">
        <is>
          <t>ISO 7</t>
        </is>
      </c>
      <c r="E630" t="inlineStr">
        <is>
          <t>Surface contact</t>
        </is>
      </c>
      <c r="F630" t="n">
        <v>0</v>
      </c>
      <c r="G630" t="inlineStr">
        <is>
          <t>Tech B</t>
        </is>
      </c>
      <c r="H630">
        <f>INDEX(Limits!$B$2:$B$5,MATCH(E630,Limits!$A$2:$A$5,0))</f>
        <v/>
      </c>
      <c r="I630">
        <f>INDEX(Limits!$C$2:$C$5,MATCH(E630,Limits!$A$2:$A$5,0))</f>
        <v/>
      </c>
      <c r="J630">
        <f>IF(F630&gt;=I630,"Action",IF(F630&gt;=H630,"Alert","Pass"))</f>
        <v/>
      </c>
      <c r="K630" s="4">
        <f>DATE(YEAR(B630),MONTH(B630),1)</f>
        <v/>
      </c>
    </row>
    <row r="631">
      <c r="A631" t="inlineStr">
        <is>
          <t>EM000630</t>
        </is>
      </c>
      <c r="B631" s="7" t="n">
        <v>46072</v>
      </c>
      <c r="C631" t="inlineStr">
        <is>
          <t>CR-101</t>
        </is>
      </c>
      <c r="D631" t="inlineStr">
        <is>
          <t>ISO 7</t>
        </is>
      </c>
      <c r="E631" t="inlineStr">
        <is>
          <t>Compressed air</t>
        </is>
      </c>
      <c r="F631" t="n">
        <v>0</v>
      </c>
      <c r="G631" t="inlineStr">
        <is>
          <t>Tech D</t>
        </is>
      </c>
      <c r="H631">
        <f>INDEX(Limits!$B$2:$B$5,MATCH(E631,Limits!$A$2:$A$5,0))</f>
        <v/>
      </c>
      <c r="I631">
        <f>INDEX(Limits!$C$2:$C$5,MATCH(E631,Limits!$A$2:$A$5,0))</f>
        <v/>
      </c>
      <c r="J631">
        <f>IF(F631&gt;=I631,"Action",IF(F631&gt;=H631,"Alert","Pass"))</f>
        <v/>
      </c>
      <c r="K631" s="4">
        <f>DATE(YEAR(B631),MONTH(B631),1)</f>
        <v/>
      </c>
    </row>
    <row r="632">
      <c r="A632" t="inlineStr">
        <is>
          <t>EM000631</t>
        </is>
      </c>
      <c r="B632" s="7" t="n">
        <v>46072</v>
      </c>
      <c r="C632" t="inlineStr">
        <is>
          <t>CR-101</t>
        </is>
      </c>
      <c r="D632" t="inlineStr">
        <is>
          <t>ISO 7</t>
        </is>
      </c>
      <c r="E632" t="inlineStr">
        <is>
          <t>Personnel glove</t>
        </is>
      </c>
      <c r="F632" t="n">
        <v>0</v>
      </c>
      <c r="G632" t="inlineStr">
        <is>
          <t>Tech B</t>
        </is>
      </c>
      <c r="H632">
        <f>INDEX(Limits!$B$2:$B$5,MATCH(E632,Limits!$A$2:$A$5,0))</f>
        <v/>
      </c>
      <c r="I632">
        <f>INDEX(Limits!$C$2:$C$5,MATCH(E632,Limits!$A$2:$A$5,0))</f>
        <v/>
      </c>
      <c r="J632">
        <f>IF(F632&gt;=I632,"Action",IF(F632&gt;=H632,"Alert","Pass"))</f>
        <v/>
      </c>
      <c r="K632" s="4">
        <f>DATE(YEAR(B632),MONTH(B632),1)</f>
        <v/>
      </c>
    </row>
    <row r="633">
      <c r="A633" t="inlineStr">
        <is>
          <t>EM000632</t>
        </is>
      </c>
      <c r="B633" s="7" t="n">
        <v>46072</v>
      </c>
      <c r="C633" t="inlineStr">
        <is>
          <t>CR-102</t>
        </is>
      </c>
      <c r="D633" t="inlineStr">
        <is>
          <t>ISO 7</t>
        </is>
      </c>
      <c r="E633" t="inlineStr">
        <is>
          <t>Active air</t>
        </is>
      </c>
      <c r="F633" t="n">
        <v>2</v>
      </c>
      <c r="G633" t="inlineStr">
        <is>
          <t>Tech B</t>
        </is>
      </c>
      <c r="H633">
        <f>INDEX(Limits!$B$2:$B$5,MATCH(E633,Limits!$A$2:$A$5,0))</f>
        <v/>
      </c>
      <c r="I633">
        <f>INDEX(Limits!$C$2:$C$5,MATCH(E633,Limits!$A$2:$A$5,0))</f>
        <v/>
      </c>
      <c r="J633">
        <f>IF(F633&gt;=I633,"Action",IF(F633&gt;=H633,"Alert","Pass"))</f>
        <v/>
      </c>
      <c r="K633" s="4">
        <f>DATE(YEAR(B633),MONTH(B633),1)</f>
        <v/>
      </c>
    </row>
    <row r="634">
      <c r="A634" t="inlineStr">
        <is>
          <t>EM000633</t>
        </is>
      </c>
      <c r="B634" s="7" t="n">
        <v>46072</v>
      </c>
      <c r="C634" t="inlineStr">
        <is>
          <t>CR-102</t>
        </is>
      </c>
      <c r="D634" t="inlineStr">
        <is>
          <t>ISO 7</t>
        </is>
      </c>
      <c r="E634" t="inlineStr">
        <is>
          <t>Surface contact</t>
        </is>
      </c>
      <c r="F634" t="n">
        <v>1</v>
      </c>
      <c r="G634" t="inlineStr">
        <is>
          <t>Tech B</t>
        </is>
      </c>
      <c r="H634">
        <f>INDEX(Limits!$B$2:$B$5,MATCH(E634,Limits!$A$2:$A$5,0))</f>
        <v/>
      </c>
      <c r="I634">
        <f>INDEX(Limits!$C$2:$C$5,MATCH(E634,Limits!$A$2:$A$5,0))</f>
        <v/>
      </c>
      <c r="J634">
        <f>IF(F634&gt;=I634,"Action",IF(F634&gt;=H634,"Alert","Pass"))</f>
        <v/>
      </c>
      <c r="K634" s="4">
        <f>DATE(YEAR(B634),MONTH(B634),1)</f>
        <v/>
      </c>
    </row>
    <row r="635">
      <c r="A635" t="inlineStr">
        <is>
          <t>EM000634</t>
        </is>
      </c>
      <c r="B635" s="7" t="n">
        <v>46072</v>
      </c>
      <c r="C635" t="inlineStr">
        <is>
          <t>CR-102</t>
        </is>
      </c>
      <c r="D635" t="inlineStr">
        <is>
          <t>ISO 7</t>
        </is>
      </c>
      <c r="E635" t="inlineStr">
        <is>
          <t>Compressed air</t>
        </is>
      </c>
      <c r="F635" t="n">
        <v>0</v>
      </c>
      <c r="G635" t="inlineStr">
        <is>
          <t>Tech C</t>
        </is>
      </c>
      <c r="H635">
        <f>INDEX(Limits!$B$2:$B$5,MATCH(E635,Limits!$A$2:$A$5,0))</f>
        <v/>
      </c>
      <c r="I635">
        <f>INDEX(Limits!$C$2:$C$5,MATCH(E635,Limits!$A$2:$A$5,0))</f>
        <v/>
      </c>
      <c r="J635">
        <f>IF(F635&gt;=I635,"Action",IF(F635&gt;=H635,"Alert","Pass"))</f>
        <v/>
      </c>
      <c r="K635" s="4">
        <f>DATE(YEAR(B635),MONTH(B635),1)</f>
        <v/>
      </c>
    </row>
    <row r="636">
      <c r="A636" t="inlineStr">
        <is>
          <t>EM000635</t>
        </is>
      </c>
      <c r="B636" s="7" t="n">
        <v>46072</v>
      </c>
      <c r="C636" t="inlineStr">
        <is>
          <t>CR-102</t>
        </is>
      </c>
      <c r="D636" t="inlineStr">
        <is>
          <t>ISO 7</t>
        </is>
      </c>
      <c r="E636" t="inlineStr">
        <is>
          <t>Personnel glove</t>
        </is>
      </c>
      <c r="F636" t="n">
        <v>0</v>
      </c>
      <c r="G636" t="inlineStr">
        <is>
          <t>Tech A</t>
        </is>
      </c>
      <c r="H636">
        <f>INDEX(Limits!$B$2:$B$5,MATCH(E636,Limits!$A$2:$A$5,0))</f>
        <v/>
      </c>
      <c r="I636">
        <f>INDEX(Limits!$C$2:$C$5,MATCH(E636,Limits!$A$2:$A$5,0))</f>
        <v/>
      </c>
      <c r="J636">
        <f>IF(F636&gt;=I636,"Action",IF(F636&gt;=H636,"Alert","Pass"))</f>
        <v/>
      </c>
      <c r="K636" s="4">
        <f>DATE(YEAR(B636),MONTH(B636),1)</f>
        <v/>
      </c>
    </row>
    <row r="637">
      <c r="A637" t="inlineStr">
        <is>
          <t>EM000636</t>
        </is>
      </c>
      <c r="B637" s="7" t="n">
        <v>46072</v>
      </c>
      <c r="C637" t="inlineStr">
        <is>
          <t>CR-201</t>
        </is>
      </c>
      <c r="D637" t="inlineStr">
        <is>
          <t>ISO 8</t>
        </is>
      </c>
      <c r="E637" t="inlineStr">
        <is>
          <t>Active air</t>
        </is>
      </c>
      <c r="F637" t="n">
        <v>2</v>
      </c>
      <c r="G637" t="inlineStr">
        <is>
          <t>Tech B</t>
        </is>
      </c>
      <c r="H637">
        <f>INDEX(Limits!$B$2:$B$5,MATCH(E637,Limits!$A$2:$A$5,0))</f>
        <v/>
      </c>
      <c r="I637">
        <f>INDEX(Limits!$C$2:$C$5,MATCH(E637,Limits!$A$2:$A$5,0))</f>
        <v/>
      </c>
      <c r="J637">
        <f>IF(F637&gt;=I637,"Action",IF(F637&gt;=H637,"Alert","Pass"))</f>
        <v/>
      </c>
      <c r="K637" s="4">
        <f>DATE(YEAR(B637),MONTH(B637),1)</f>
        <v/>
      </c>
    </row>
    <row r="638">
      <c r="A638" t="inlineStr">
        <is>
          <t>EM000637</t>
        </is>
      </c>
      <c r="B638" s="7" t="n">
        <v>46072</v>
      </c>
      <c r="C638" t="inlineStr">
        <is>
          <t>CR-201</t>
        </is>
      </c>
      <c r="D638" t="inlineStr">
        <is>
          <t>ISO 8</t>
        </is>
      </c>
      <c r="E638" t="inlineStr">
        <is>
          <t>Surface contact</t>
        </is>
      </c>
      <c r="F638" t="n">
        <v>1</v>
      </c>
      <c r="G638" t="inlineStr">
        <is>
          <t>Tech B</t>
        </is>
      </c>
      <c r="H638">
        <f>INDEX(Limits!$B$2:$B$5,MATCH(E638,Limits!$A$2:$A$5,0))</f>
        <v/>
      </c>
      <c r="I638">
        <f>INDEX(Limits!$C$2:$C$5,MATCH(E638,Limits!$A$2:$A$5,0))</f>
        <v/>
      </c>
      <c r="J638">
        <f>IF(F638&gt;=I638,"Action",IF(F638&gt;=H638,"Alert","Pass"))</f>
        <v/>
      </c>
      <c r="K638" s="4">
        <f>DATE(YEAR(B638),MONTH(B638),1)</f>
        <v/>
      </c>
    </row>
    <row r="639">
      <c r="A639" t="inlineStr">
        <is>
          <t>EM000638</t>
        </is>
      </c>
      <c r="B639" s="7" t="n">
        <v>46072</v>
      </c>
      <c r="C639" t="inlineStr">
        <is>
          <t>CR-201</t>
        </is>
      </c>
      <c r="D639" t="inlineStr">
        <is>
          <t>ISO 8</t>
        </is>
      </c>
      <c r="E639" t="inlineStr">
        <is>
          <t>Compressed air</t>
        </is>
      </c>
      <c r="F639" t="n">
        <v>0</v>
      </c>
      <c r="G639" t="inlineStr">
        <is>
          <t>Tech A</t>
        </is>
      </c>
      <c r="H639">
        <f>INDEX(Limits!$B$2:$B$5,MATCH(E639,Limits!$A$2:$A$5,0))</f>
        <v/>
      </c>
      <c r="I639">
        <f>INDEX(Limits!$C$2:$C$5,MATCH(E639,Limits!$A$2:$A$5,0))</f>
        <v/>
      </c>
      <c r="J639">
        <f>IF(F639&gt;=I639,"Action",IF(F639&gt;=H639,"Alert","Pass"))</f>
        <v/>
      </c>
      <c r="K639" s="4">
        <f>DATE(YEAR(B639),MONTH(B639),1)</f>
        <v/>
      </c>
    </row>
    <row r="640">
      <c r="A640" t="inlineStr">
        <is>
          <t>EM000639</t>
        </is>
      </c>
      <c r="B640" s="7" t="n">
        <v>46072</v>
      </c>
      <c r="C640" t="inlineStr">
        <is>
          <t>CR-201</t>
        </is>
      </c>
      <c r="D640" t="inlineStr">
        <is>
          <t>ISO 8</t>
        </is>
      </c>
      <c r="E640" t="inlineStr">
        <is>
          <t>Personnel glove</t>
        </is>
      </c>
      <c r="F640" t="n">
        <v>0</v>
      </c>
      <c r="G640" t="inlineStr">
        <is>
          <t>Tech C</t>
        </is>
      </c>
      <c r="H640">
        <f>INDEX(Limits!$B$2:$B$5,MATCH(E640,Limits!$A$2:$A$5,0))</f>
        <v/>
      </c>
      <c r="I640">
        <f>INDEX(Limits!$C$2:$C$5,MATCH(E640,Limits!$A$2:$A$5,0))</f>
        <v/>
      </c>
      <c r="J640">
        <f>IF(F640&gt;=I640,"Action",IF(F640&gt;=H640,"Alert","Pass"))</f>
        <v/>
      </c>
      <c r="K640" s="4">
        <f>DATE(YEAR(B640),MONTH(B640),1)</f>
        <v/>
      </c>
    </row>
    <row r="641">
      <c r="A641" t="inlineStr">
        <is>
          <t>EM000640</t>
        </is>
      </c>
      <c r="B641" s="7" t="n">
        <v>46072</v>
      </c>
      <c r="C641" t="inlineStr">
        <is>
          <t>CR-202</t>
        </is>
      </c>
      <c r="D641" t="inlineStr">
        <is>
          <t>ISO 8</t>
        </is>
      </c>
      <c r="E641" t="inlineStr">
        <is>
          <t>Active air</t>
        </is>
      </c>
      <c r="F641" t="n">
        <v>3</v>
      </c>
      <c r="G641" t="inlineStr">
        <is>
          <t>Tech D</t>
        </is>
      </c>
      <c r="H641">
        <f>INDEX(Limits!$B$2:$B$5,MATCH(E641,Limits!$A$2:$A$5,0))</f>
        <v/>
      </c>
      <c r="I641">
        <f>INDEX(Limits!$C$2:$C$5,MATCH(E641,Limits!$A$2:$A$5,0))</f>
        <v/>
      </c>
      <c r="J641">
        <f>IF(F641&gt;=I641,"Action",IF(F641&gt;=H641,"Alert","Pass"))</f>
        <v/>
      </c>
      <c r="K641" s="4">
        <f>DATE(YEAR(B641),MONTH(B641),1)</f>
        <v/>
      </c>
    </row>
    <row r="642">
      <c r="A642" t="inlineStr">
        <is>
          <t>EM000641</t>
        </is>
      </c>
      <c r="B642" s="7" t="n">
        <v>46072</v>
      </c>
      <c r="C642" t="inlineStr">
        <is>
          <t>CR-202</t>
        </is>
      </c>
      <c r="D642" t="inlineStr">
        <is>
          <t>ISO 8</t>
        </is>
      </c>
      <c r="E642" t="inlineStr">
        <is>
          <t>Surface contact</t>
        </is>
      </c>
      <c r="F642" t="n">
        <v>1</v>
      </c>
      <c r="G642" t="inlineStr">
        <is>
          <t>Tech B</t>
        </is>
      </c>
      <c r="H642">
        <f>INDEX(Limits!$B$2:$B$5,MATCH(E642,Limits!$A$2:$A$5,0))</f>
        <v/>
      </c>
      <c r="I642">
        <f>INDEX(Limits!$C$2:$C$5,MATCH(E642,Limits!$A$2:$A$5,0))</f>
        <v/>
      </c>
      <c r="J642">
        <f>IF(F642&gt;=I642,"Action",IF(F642&gt;=H642,"Alert","Pass"))</f>
        <v/>
      </c>
      <c r="K642" s="4">
        <f>DATE(YEAR(B642),MONTH(B642),1)</f>
        <v/>
      </c>
    </row>
    <row r="643">
      <c r="A643" t="inlineStr">
        <is>
          <t>EM000642</t>
        </is>
      </c>
      <c r="B643" s="7" t="n">
        <v>46072</v>
      </c>
      <c r="C643" t="inlineStr">
        <is>
          <t>CR-202</t>
        </is>
      </c>
      <c r="D643" t="inlineStr">
        <is>
          <t>ISO 8</t>
        </is>
      </c>
      <c r="E643" t="inlineStr">
        <is>
          <t>Compressed air</t>
        </is>
      </c>
      <c r="F643" t="n">
        <v>0</v>
      </c>
      <c r="G643" t="inlineStr">
        <is>
          <t>Tech C</t>
        </is>
      </c>
      <c r="H643">
        <f>INDEX(Limits!$B$2:$B$5,MATCH(E643,Limits!$A$2:$A$5,0))</f>
        <v/>
      </c>
      <c r="I643">
        <f>INDEX(Limits!$C$2:$C$5,MATCH(E643,Limits!$A$2:$A$5,0))</f>
        <v/>
      </c>
      <c r="J643">
        <f>IF(F643&gt;=I643,"Action",IF(F643&gt;=H643,"Alert","Pass"))</f>
        <v/>
      </c>
      <c r="K643" s="4">
        <f>DATE(YEAR(B643),MONTH(B643),1)</f>
        <v/>
      </c>
    </row>
    <row r="644">
      <c r="A644" t="inlineStr">
        <is>
          <t>EM000643</t>
        </is>
      </c>
      <c r="B644" s="7" t="n">
        <v>46072</v>
      </c>
      <c r="C644" t="inlineStr">
        <is>
          <t>CR-202</t>
        </is>
      </c>
      <c r="D644" t="inlineStr">
        <is>
          <t>ISO 8</t>
        </is>
      </c>
      <c r="E644" t="inlineStr">
        <is>
          <t>Personnel glove</t>
        </is>
      </c>
      <c r="F644" t="n">
        <v>0</v>
      </c>
      <c r="G644" t="inlineStr">
        <is>
          <t>Tech A</t>
        </is>
      </c>
      <c r="H644">
        <f>INDEX(Limits!$B$2:$B$5,MATCH(E644,Limits!$A$2:$A$5,0))</f>
        <v/>
      </c>
      <c r="I644">
        <f>INDEX(Limits!$C$2:$C$5,MATCH(E644,Limits!$A$2:$A$5,0))</f>
        <v/>
      </c>
      <c r="J644">
        <f>IF(F644&gt;=I644,"Action",IF(F644&gt;=H644,"Alert","Pass"))</f>
        <v/>
      </c>
      <c r="K644" s="4">
        <f>DATE(YEAR(B644),MONTH(B644),1)</f>
        <v/>
      </c>
    </row>
    <row r="645">
      <c r="A645" t="inlineStr">
        <is>
          <t>EM000644</t>
        </is>
      </c>
      <c r="B645" s="7" t="n">
        <v>46072</v>
      </c>
      <c r="C645" t="inlineStr">
        <is>
          <t>Gowning</t>
        </is>
      </c>
      <c r="D645" t="inlineStr">
        <is>
          <t>ISO 8</t>
        </is>
      </c>
      <c r="E645" t="inlineStr">
        <is>
          <t>Active air</t>
        </is>
      </c>
      <c r="F645" t="n">
        <v>1</v>
      </c>
      <c r="G645" t="inlineStr">
        <is>
          <t>Tech A</t>
        </is>
      </c>
      <c r="H645">
        <f>INDEX(Limits!$B$2:$B$5,MATCH(E645,Limits!$A$2:$A$5,0))</f>
        <v/>
      </c>
      <c r="I645">
        <f>INDEX(Limits!$C$2:$C$5,MATCH(E645,Limits!$A$2:$A$5,0))</f>
        <v/>
      </c>
      <c r="J645">
        <f>IF(F645&gt;=I645,"Action",IF(F645&gt;=H645,"Alert","Pass"))</f>
        <v/>
      </c>
      <c r="K645" s="4">
        <f>DATE(YEAR(B645),MONTH(B645),1)</f>
        <v/>
      </c>
    </row>
    <row r="646">
      <c r="A646" t="inlineStr">
        <is>
          <t>EM000645</t>
        </is>
      </c>
      <c r="B646" s="7" t="n">
        <v>46072</v>
      </c>
      <c r="C646" t="inlineStr">
        <is>
          <t>Gowning</t>
        </is>
      </c>
      <c r="D646" t="inlineStr">
        <is>
          <t>ISO 8</t>
        </is>
      </c>
      <c r="E646" t="inlineStr">
        <is>
          <t>Surface contact</t>
        </is>
      </c>
      <c r="F646" t="n">
        <v>1</v>
      </c>
      <c r="G646" t="inlineStr">
        <is>
          <t>Tech A</t>
        </is>
      </c>
      <c r="H646">
        <f>INDEX(Limits!$B$2:$B$5,MATCH(E646,Limits!$A$2:$A$5,0))</f>
        <v/>
      </c>
      <c r="I646">
        <f>INDEX(Limits!$C$2:$C$5,MATCH(E646,Limits!$A$2:$A$5,0))</f>
        <v/>
      </c>
      <c r="J646">
        <f>IF(F646&gt;=I646,"Action",IF(F646&gt;=H646,"Alert","Pass"))</f>
        <v/>
      </c>
      <c r="K646" s="4">
        <f>DATE(YEAR(B646),MONTH(B646),1)</f>
        <v/>
      </c>
    </row>
    <row r="647">
      <c r="A647" t="inlineStr">
        <is>
          <t>EM000646</t>
        </is>
      </c>
      <c r="B647" s="7" t="n">
        <v>46072</v>
      </c>
      <c r="C647" t="inlineStr">
        <is>
          <t>Gowning</t>
        </is>
      </c>
      <c r="D647" t="inlineStr">
        <is>
          <t>ISO 8</t>
        </is>
      </c>
      <c r="E647" t="inlineStr">
        <is>
          <t>Personnel glove</t>
        </is>
      </c>
      <c r="F647" t="n">
        <v>0</v>
      </c>
      <c r="G647" t="inlineStr">
        <is>
          <t>Tech C</t>
        </is>
      </c>
      <c r="H647">
        <f>INDEX(Limits!$B$2:$B$5,MATCH(E647,Limits!$A$2:$A$5,0))</f>
        <v/>
      </c>
      <c r="I647">
        <f>INDEX(Limits!$C$2:$C$5,MATCH(E647,Limits!$A$2:$A$5,0))</f>
        <v/>
      </c>
      <c r="J647">
        <f>IF(F647&gt;=I647,"Action",IF(F647&gt;=H647,"Alert","Pass"))</f>
        <v/>
      </c>
      <c r="K647" s="4">
        <f>DATE(YEAR(B647),MONTH(B647),1)</f>
        <v/>
      </c>
    </row>
    <row r="648">
      <c r="A648" t="inlineStr">
        <is>
          <t>EM000647</t>
        </is>
      </c>
      <c r="B648" s="7" t="n">
        <v>46073</v>
      </c>
      <c r="C648" t="inlineStr">
        <is>
          <t>CR-101</t>
        </is>
      </c>
      <c r="D648" t="inlineStr">
        <is>
          <t>ISO 7</t>
        </is>
      </c>
      <c r="E648" t="inlineStr">
        <is>
          <t>Active air</t>
        </is>
      </c>
      <c r="F648" t="n">
        <v>1</v>
      </c>
      <c r="G648" t="inlineStr">
        <is>
          <t>Tech D</t>
        </is>
      </c>
      <c r="H648">
        <f>INDEX(Limits!$B$2:$B$5,MATCH(E648,Limits!$A$2:$A$5,0))</f>
        <v/>
      </c>
      <c r="I648">
        <f>INDEX(Limits!$C$2:$C$5,MATCH(E648,Limits!$A$2:$A$5,0))</f>
        <v/>
      </c>
      <c r="J648">
        <f>IF(F648&gt;=I648,"Action",IF(F648&gt;=H648,"Alert","Pass"))</f>
        <v/>
      </c>
      <c r="K648" s="4">
        <f>DATE(YEAR(B648),MONTH(B648),1)</f>
        <v/>
      </c>
    </row>
    <row r="649">
      <c r="A649" t="inlineStr">
        <is>
          <t>EM000648</t>
        </is>
      </c>
      <c r="B649" s="7" t="n">
        <v>46073</v>
      </c>
      <c r="C649" t="inlineStr">
        <is>
          <t>CR-101</t>
        </is>
      </c>
      <c r="D649" t="inlineStr">
        <is>
          <t>ISO 7</t>
        </is>
      </c>
      <c r="E649" t="inlineStr">
        <is>
          <t>Surface contact</t>
        </is>
      </c>
      <c r="F649" t="n">
        <v>1</v>
      </c>
      <c r="G649" t="inlineStr">
        <is>
          <t>Tech D</t>
        </is>
      </c>
      <c r="H649">
        <f>INDEX(Limits!$B$2:$B$5,MATCH(E649,Limits!$A$2:$A$5,0))</f>
        <v/>
      </c>
      <c r="I649">
        <f>INDEX(Limits!$C$2:$C$5,MATCH(E649,Limits!$A$2:$A$5,0))</f>
        <v/>
      </c>
      <c r="J649">
        <f>IF(F649&gt;=I649,"Action",IF(F649&gt;=H649,"Alert","Pass"))</f>
        <v/>
      </c>
      <c r="K649" s="4">
        <f>DATE(YEAR(B649),MONTH(B649),1)</f>
        <v/>
      </c>
    </row>
    <row r="650">
      <c r="A650" t="inlineStr">
        <is>
          <t>EM000649</t>
        </is>
      </c>
      <c r="B650" s="7" t="n">
        <v>46073</v>
      </c>
      <c r="C650" t="inlineStr">
        <is>
          <t>CR-101</t>
        </is>
      </c>
      <c r="D650" t="inlineStr">
        <is>
          <t>ISO 7</t>
        </is>
      </c>
      <c r="E650" t="inlineStr">
        <is>
          <t>Compressed air</t>
        </is>
      </c>
      <c r="F650" t="n">
        <v>0</v>
      </c>
      <c r="G650" t="inlineStr">
        <is>
          <t>Tech C</t>
        </is>
      </c>
      <c r="H650">
        <f>INDEX(Limits!$B$2:$B$5,MATCH(E650,Limits!$A$2:$A$5,0))</f>
        <v/>
      </c>
      <c r="I650">
        <f>INDEX(Limits!$C$2:$C$5,MATCH(E650,Limits!$A$2:$A$5,0))</f>
        <v/>
      </c>
      <c r="J650">
        <f>IF(F650&gt;=I650,"Action",IF(F650&gt;=H650,"Alert","Pass"))</f>
        <v/>
      </c>
      <c r="K650" s="4">
        <f>DATE(YEAR(B650),MONTH(B650),1)</f>
        <v/>
      </c>
    </row>
    <row r="651">
      <c r="A651" t="inlineStr">
        <is>
          <t>EM000650</t>
        </is>
      </c>
      <c r="B651" s="7" t="n">
        <v>46073</v>
      </c>
      <c r="C651" t="inlineStr">
        <is>
          <t>CR-101</t>
        </is>
      </c>
      <c r="D651" t="inlineStr">
        <is>
          <t>ISO 7</t>
        </is>
      </c>
      <c r="E651" t="inlineStr">
        <is>
          <t>Personnel glove</t>
        </is>
      </c>
      <c r="F651" t="n">
        <v>0</v>
      </c>
      <c r="G651" t="inlineStr">
        <is>
          <t>Tech C</t>
        </is>
      </c>
      <c r="H651">
        <f>INDEX(Limits!$B$2:$B$5,MATCH(E651,Limits!$A$2:$A$5,0))</f>
        <v/>
      </c>
      <c r="I651">
        <f>INDEX(Limits!$C$2:$C$5,MATCH(E651,Limits!$A$2:$A$5,0))</f>
        <v/>
      </c>
      <c r="J651">
        <f>IF(F651&gt;=I651,"Action",IF(F651&gt;=H651,"Alert","Pass"))</f>
        <v/>
      </c>
      <c r="K651" s="4">
        <f>DATE(YEAR(B651),MONTH(B651),1)</f>
        <v/>
      </c>
    </row>
    <row r="652">
      <c r="A652" t="inlineStr">
        <is>
          <t>EM000651</t>
        </is>
      </c>
      <c r="B652" s="7" t="n">
        <v>46073</v>
      </c>
      <c r="C652" t="inlineStr">
        <is>
          <t>CR-102</t>
        </is>
      </c>
      <c r="D652" t="inlineStr">
        <is>
          <t>ISO 7</t>
        </is>
      </c>
      <c r="E652" t="inlineStr">
        <is>
          <t>Active air</t>
        </is>
      </c>
      <c r="F652" t="n">
        <v>2</v>
      </c>
      <c r="G652" t="inlineStr">
        <is>
          <t>Tech D</t>
        </is>
      </c>
      <c r="H652">
        <f>INDEX(Limits!$B$2:$B$5,MATCH(E652,Limits!$A$2:$A$5,0))</f>
        <v/>
      </c>
      <c r="I652">
        <f>INDEX(Limits!$C$2:$C$5,MATCH(E652,Limits!$A$2:$A$5,0))</f>
        <v/>
      </c>
      <c r="J652">
        <f>IF(F652&gt;=I652,"Action",IF(F652&gt;=H652,"Alert","Pass"))</f>
        <v/>
      </c>
      <c r="K652" s="4">
        <f>DATE(YEAR(B652),MONTH(B652),1)</f>
        <v/>
      </c>
    </row>
    <row r="653">
      <c r="A653" t="inlineStr">
        <is>
          <t>EM000652</t>
        </is>
      </c>
      <c r="B653" s="7" t="n">
        <v>46073</v>
      </c>
      <c r="C653" t="inlineStr">
        <is>
          <t>CR-102</t>
        </is>
      </c>
      <c r="D653" t="inlineStr">
        <is>
          <t>ISO 7</t>
        </is>
      </c>
      <c r="E653" t="inlineStr">
        <is>
          <t>Surface contact</t>
        </is>
      </c>
      <c r="F653" t="n">
        <v>0</v>
      </c>
      <c r="G653" t="inlineStr">
        <is>
          <t>Tech B</t>
        </is>
      </c>
      <c r="H653">
        <f>INDEX(Limits!$B$2:$B$5,MATCH(E653,Limits!$A$2:$A$5,0))</f>
        <v/>
      </c>
      <c r="I653">
        <f>INDEX(Limits!$C$2:$C$5,MATCH(E653,Limits!$A$2:$A$5,0))</f>
        <v/>
      </c>
      <c r="J653">
        <f>IF(F653&gt;=I653,"Action",IF(F653&gt;=H653,"Alert","Pass"))</f>
        <v/>
      </c>
      <c r="K653" s="4">
        <f>DATE(YEAR(B653),MONTH(B653),1)</f>
        <v/>
      </c>
    </row>
    <row r="654">
      <c r="A654" t="inlineStr">
        <is>
          <t>EM000653</t>
        </is>
      </c>
      <c r="B654" s="7" t="n">
        <v>46073</v>
      </c>
      <c r="C654" t="inlineStr">
        <is>
          <t>CR-102</t>
        </is>
      </c>
      <c r="D654" t="inlineStr">
        <is>
          <t>ISO 7</t>
        </is>
      </c>
      <c r="E654" t="inlineStr">
        <is>
          <t>Compressed air</t>
        </is>
      </c>
      <c r="F654" t="n">
        <v>1</v>
      </c>
      <c r="G654" t="inlineStr">
        <is>
          <t>Tech A</t>
        </is>
      </c>
      <c r="H654">
        <f>INDEX(Limits!$B$2:$B$5,MATCH(E654,Limits!$A$2:$A$5,0))</f>
        <v/>
      </c>
      <c r="I654">
        <f>INDEX(Limits!$C$2:$C$5,MATCH(E654,Limits!$A$2:$A$5,0))</f>
        <v/>
      </c>
      <c r="J654">
        <f>IF(F654&gt;=I654,"Action",IF(F654&gt;=H654,"Alert","Pass"))</f>
        <v/>
      </c>
      <c r="K654" s="4">
        <f>DATE(YEAR(B654),MONTH(B654),1)</f>
        <v/>
      </c>
    </row>
    <row r="655">
      <c r="A655" t="inlineStr">
        <is>
          <t>EM000654</t>
        </is>
      </c>
      <c r="B655" s="7" t="n">
        <v>46073</v>
      </c>
      <c r="C655" t="inlineStr">
        <is>
          <t>CR-102</t>
        </is>
      </c>
      <c r="D655" t="inlineStr">
        <is>
          <t>ISO 7</t>
        </is>
      </c>
      <c r="E655" t="inlineStr">
        <is>
          <t>Personnel glove</t>
        </is>
      </c>
      <c r="F655" t="n">
        <v>0</v>
      </c>
      <c r="G655" t="inlineStr">
        <is>
          <t>Tech C</t>
        </is>
      </c>
      <c r="H655">
        <f>INDEX(Limits!$B$2:$B$5,MATCH(E655,Limits!$A$2:$A$5,0))</f>
        <v/>
      </c>
      <c r="I655">
        <f>INDEX(Limits!$C$2:$C$5,MATCH(E655,Limits!$A$2:$A$5,0))</f>
        <v/>
      </c>
      <c r="J655">
        <f>IF(F655&gt;=I655,"Action",IF(F655&gt;=H655,"Alert","Pass"))</f>
        <v/>
      </c>
      <c r="K655" s="4">
        <f>DATE(YEAR(B655),MONTH(B655),1)</f>
        <v/>
      </c>
    </row>
    <row r="656">
      <c r="A656" t="inlineStr">
        <is>
          <t>EM000655</t>
        </is>
      </c>
      <c r="B656" s="7" t="n">
        <v>46073</v>
      </c>
      <c r="C656" t="inlineStr">
        <is>
          <t>CR-201</t>
        </is>
      </c>
      <c r="D656" t="inlineStr">
        <is>
          <t>ISO 8</t>
        </is>
      </c>
      <c r="E656" t="inlineStr">
        <is>
          <t>Active air</t>
        </is>
      </c>
      <c r="F656" t="n">
        <v>1</v>
      </c>
      <c r="G656" t="inlineStr">
        <is>
          <t>Tech B</t>
        </is>
      </c>
      <c r="H656">
        <f>INDEX(Limits!$B$2:$B$5,MATCH(E656,Limits!$A$2:$A$5,0))</f>
        <v/>
      </c>
      <c r="I656">
        <f>INDEX(Limits!$C$2:$C$5,MATCH(E656,Limits!$A$2:$A$5,0))</f>
        <v/>
      </c>
      <c r="J656">
        <f>IF(F656&gt;=I656,"Action",IF(F656&gt;=H656,"Alert","Pass"))</f>
        <v/>
      </c>
      <c r="K656" s="4">
        <f>DATE(YEAR(B656),MONTH(B656),1)</f>
        <v/>
      </c>
    </row>
    <row r="657">
      <c r="A657" t="inlineStr">
        <is>
          <t>EM000656</t>
        </is>
      </c>
      <c r="B657" s="7" t="n">
        <v>46073</v>
      </c>
      <c r="C657" t="inlineStr">
        <is>
          <t>CR-201</t>
        </is>
      </c>
      <c r="D657" t="inlineStr">
        <is>
          <t>ISO 8</t>
        </is>
      </c>
      <c r="E657" t="inlineStr">
        <is>
          <t>Surface contact</t>
        </is>
      </c>
      <c r="F657" t="n">
        <v>0</v>
      </c>
      <c r="G657" t="inlineStr">
        <is>
          <t>Tech B</t>
        </is>
      </c>
      <c r="H657">
        <f>INDEX(Limits!$B$2:$B$5,MATCH(E657,Limits!$A$2:$A$5,0))</f>
        <v/>
      </c>
      <c r="I657">
        <f>INDEX(Limits!$C$2:$C$5,MATCH(E657,Limits!$A$2:$A$5,0))</f>
        <v/>
      </c>
      <c r="J657">
        <f>IF(F657&gt;=I657,"Action",IF(F657&gt;=H657,"Alert","Pass"))</f>
        <v/>
      </c>
      <c r="K657" s="4">
        <f>DATE(YEAR(B657),MONTH(B657),1)</f>
        <v/>
      </c>
    </row>
    <row r="658">
      <c r="A658" t="inlineStr">
        <is>
          <t>EM000657</t>
        </is>
      </c>
      <c r="B658" s="7" t="n">
        <v>46073</v>
      </c>
      <c r="C658" t="inlineStr">
        <is>
          <t>CR-201</t>
        </is>
      </c>
      <c r="D658" t="inlineStr">
        <is>
          <t>ISO 8</t>
        </is>
      </c>
      <c r="E658" t="inlineStr">
        <is>
          <t>Compressed air</t>
        </is>
      </c>
      <c r="F658" t="n">
        <v>0</v>
      </c>
      <c r="G658" t="inlineStr">
        <is>
          <t>Tech C</t>
        </is>
      </c>
      <c r="H658">
        <f>INDEX(Limits!$B$2:$B$5,MATCH(E658,Limits!$A$2:$A$5,0))</f>
        <v/>
      </c>
      <c r="I658">
        <f>INDEX(Limits!$C$2:$C$5,MATCH(E658,Limits!$A$2:$A$5,0))</f>
        <v/>
      </c>
      <c r="J658">
        <f>IF(F658&gt;=I658,"Action",IF(F658&gt;=H658,"Alert","Pass"))</f>
        <v/>
      </c>
      <c r="K658" s="4">
        <f>DATE(YEAR(B658),MONTH(B658),1)</f>
        <v/>
      </c>
    </row>
    <row r="659">
      <c r="A659" t="inlineStr">
        <is>
          <t>EM000658</t>
        </is>
      </c>
      <c r="B659" s="7" t="n">
        <v>46073</v>
      </c>
      <c r="C659" t="inlineStr">
        <is>
          <t>CR-201</t>
        </is>
      </c>
      <c r="D659" t="inlineStr">
        <is>
          <t>ISO 8</t>
        </is>
      </c>
      <c r="E659" t="inlineStr">
        <is>
          <t>Personnel glove</t>
        </is>
      </c>
      <c r="F659" t="n">
        <v>0</v>
      </c>
      <c r="G659" t="inlineStr">
        <is>
          <t>Tech C</t>
        </is>
      </c>
      <c r="H659">
        <f>INDEX(Limits!$B$2:$B$5,MATCH(E659,Limits!$A$2:$A$5,0))</f>
        <v/>
      </c>
      <c r="I659">
        <f>INDEX(Limits!$C$2:$C$5,MATCH(E659,Limits!$A$2:$A$5,0))</f>
        <v/>
      </c>
      <c r="J659">
        <f>IF(F659&gt;=I659,"Action",IF(F659&gt;=H659,"Alert","Pass"))</f>
        <v/>
      </c>
      <c r="K659" s="4">
        <f>DATE(YEAR(B659),MONTH(B659),1)</f>
        <v/>
      </c>
    </row>
    <row r="660">
      <c r="A660" t="inlineStr">
        <is>
          <t>EM000659</t>
        </is>
      </c>
      <c r="B660" s="7" t="n">
        <v>46073</v>
      </c>
      <c r="C660" t="inlineStr">
        <is>
          <t>CR-202</t>
        </is>
      </c>
      <c r="D660" t="inlineStr">
        <is>
          <t>ISO 8</t>
        </is>
      </c>
      <c r="E660" t="inlineStr">
        <is>
          <t>Active air</t>
        </is>
      </c>
      <c r="F660" t="n">
        <v>3</v>
      </c>
      <c r="G660" t="inlineStr">
        <is>
          <t>Tech C</t>
        </is>
      </c>
      <c r="H660">
        <f>INDEX(Limits!$B$2:$B$5,MATCH(E660,Limits!$A$2:$A$5,0))</f>
        <v/>
      </c>
      <c r="I660">
        <f>INDEX(Limits!$C$2:$C$5,MATCH(E660,Limits!$A$2:$A$5,0))</f>
        <v/>
      </c>
      <c r="J660">
        <f>IF(F660&gt;=I660,"Action",IF(F660&gt;=H660,"Alert","Pass"))</f>
        <v/>
      </c>
      <c r="K660" s="4">
        <f>DATE(YEAR(B660),MONTH(B660),1)</f>
        <v/>
      </c>
    </row>
    <row r="661">
      <c r="A661" t="inlineStr">
        <is>
          <t>EM000660</t>
        </is>
      </c>
      <c r="B661" s="7" t="n">
        <v>46073</v>
      </c>
      <c r="C661" t="inlineStr">
        <is>
          <t>CR-202</t>
        </is>
      </c>
      <c r="D661" t="inlineStr">
        <is>
          <t>ISO 8</t>
        </is>
      </c>
      <c r="E661" t="inlineStr">
        <is>
          <t>Surface contact</t>
        </is>
      </c>
      <c r="F661" t="n">
        <v>2</v>
      </c>
      <c r="G661" t="inlineStr">
        <is>
          <t>Tech C</t>
        </is>
      </c>
      <c r="H661">
        <f>INDEX(Limits!$B$2:$B$5,MATCH(E661,Limits!$A$2:$A$5,0))</f>
        <v/>
      </c>
      <c r="I661">
        <f>INDEX(Limits!$C$2:$C$5,MATCH(E661,Limits!$A$2:$A$5,0))</f>
        <v/>
      </c>
      <c r="J661">
        <f>IF(F661&gt;=I661,"Action",IF(F661&gt;=H661,"Alert","Pass"))</f>
        <v/>
      </c>
      <c r="K661" s="4">
        <f>DATE(YEAR(B661),MONTH(B661),1)</f>
        <v/>
      </c>
    </row>
    <row r="662">
      <c r="A662" t="inlineStr">
        <is>
          <t>EM000661</t>
        </is>
      </c>
      <c r="B662" s="7" t="n">
        <v>46073</v>
      </c>
      <c r="C662" t="inlineStr">
        <is>
          <t>CR-202</t>
        </is>
      </c>
      <c r="D662" t="inlineStr">
        <is>
          <t>ISO 8</t>
        </is>
      </c>
      <c r="E662" t="inlineStr">
        <is>
          <t>Compressed air</t>
        </is>
      </c>
      <c r="F662" t="n">
        <v>0</v>
      </c>
      <c r="G662" t="inlineStr">
        <is>
          <t>Tech D</t>
        </is>
      </c>
      <c r="H662">
        <f>INDEX(Limits!$B$2:$B$5,MATCH(E662,Limits!$A$2:$A$5,0))</f>
        <v/>
      </c>
      <c r="I662">
        <f>INDEX(Limits!$C$2:$C$5,MATCH(E662,Limits!$A$2:$A$5,0))</f>
        <v/>
      </c>
      <c r="J662">
        <f>IF(F662&gt;=I662,"Action",IF(F662&gt;=H662,"Alert","Pass"))</f>
        <v/>
      </c>
      <c r="K662" s="4">
        <f>DATE(YEAR(B662),MONTH(B662),1)</f>
        <v/>
      </c>
    </row>
    <row r="663">
      <c r="A663" t="inlineStr">
        <is>
          <t>EM000662</t>
        </is>
      </c>
      <c r="B663" s="7" t="n">
        <v>46073</v>
      </c>
      <c r="C663" t="inlineStr">
        <is>
          <t>CR-202</t>
        </is>
      </c>
      <c r="D663" t="inlineStr">
        <is>
          <t>ISO 8</t>
        </is>
      </c>
      <c r="E663" t="inlineStr">
        <is>
          <t>Personnel glove</t>
        </is>
      </c>
      <c r="F663" t="n">
        <v>2</v>
      </c>
      <c r="G663" t="inlineStr">
        <is>
          <t>Tech D</t>
        </is>
      </c>
      <c r="H663">
        <f>INDEX(Limits!$B$2:$B$5,MATCH(E663,Limits!$A$2:$A$5,0))</f>
        <v/>
      </c>
      <c r="I663">
        <f>INDEX(Limits!$C$2:$C$5,MATCH(E663,Limits!$A$2:$A$5,0))</f>
        <v/>
      </c>
      <c r="J663">
        <f>IF(F663&gt;=I663,"Action",IF(F663&gt;=H663,"Alert","Pass"))</f>
        <v/>
      </c>
      <c r="K663" s="4">
        <f>DATE(YEAR(B663),MONTH(B663),1)</f>
        <v/>
      </c>
    </row>
    <row r="664">
      <c r="A664" t="inlineStr">
        <is>
          <t>EM000663</t>
        </is>
      </c>
      <c r="B664" s="7" t="n">
        <v>46073</v>
      </c>
      <c r="C664" t="inlineStr">
        <is>
          <t>Gowning</t>
        </is>
      </c>
      <c r="D664" t="inlineStr">
        <is>
          <t>ISO 8</t>
        </is>
      </c>
      <c r="E664" t="inlineStr">
        <is>
          <t>Active air</t>
        </is>
      </c>
      <c r="F664" t="n">
        <v>2</v>
      </c>
      <c r="G664" t="inlineStr">
        <is>
          <t>Tech D</t>
        </is>
      </c>
      <c r="H664">
        <f>INDEX(Limits!$B$2:$B$5,MATCH(E664,Limits!$A$2:$A$5,0))</f>
        <v/>
      </c>
      <c r="I664">
        <f>INDEX(Limits!$C$2:$C$5,MATCH(E664,Limits!$A$2:$A$5,0))</f>
        <v/>
      </c>
      <c r="J664">
        <f>IF(F664&gt;=I664,"Action",IF(F664&gt;=H664,"Alert","Pass"))</f>
        <v/>
      </c>
      <c r="K664" s="4">
        <f>DATE(YEAR(B664),MONTH(B664),1)</f>
        <v/>
      </c>
    </row>
    <row r="665">
      <c r="A665" t="inlineStr">
        <is>
          <t>EM000664</t>
        </is>
      </c>
      <c r="B665" s="7" t="n">
        <v>46073</v>
      </c>
      <c r="C665" t="inlineStr">
        <is>
          <t>Gowning</t>
        </is>
      </c>
      <c r="D665" t="inlineStr">
        <is>
          <t>ISO 8</t>
        </is>
      </c>
      <c r="E665" t="inlineStr">
        <is>
          <t>Surface contact</t>
        </is>
      </c>
      <c r="F665" t="n">
        <v>1</v>
      </c>
      <c r="G665" t="inlineStr">
        <is>
          <t>Tech C</t>
        </is>
      </c>
      <c r="H665">
        <f>INDEX(Limits!$B$2:$B$5,MATCH(E665,Limits!$A$2:$A$5,0))</f>
        <v/>
      </c>
      <c r="I665">
        <f>INDEX(Limits!$C$2:$C$5,MATCH(E665,Limits!$A$2:$A$5,0))</f>
        <v/>
      </c>
      <c r="J665">
        <f>IF(F665&gt;=I665,"Action",IF(F665&gt;=H665,"Alert","Pass"))</f>
        <v/>
      </c>
      <c r="K665" s="4">
        <f>DATE(YEAR(B665),MONTH(B665),1)</f>
        <v/>
      </c>
    </row>
    <row r="666">
      <c r="A666" t="inlineStr">
        <is>
          <t>EM000665</t>
        </is>
      </c>
      <c r="B666" s="7" t="n">
        <v>46073</v>
      </c>
      <c r="C666" t="inlineStr">
        <is>
          <t>Gowning</t>
        </is>
      </c>
      <c r="D666" t="inlineStr">
        <is>
          <t>ISO 8</t>
        </is>
      </c>
      <c r="E666" t="inlineStr">
        <is>
          <t>Personnel glove</t>
        </is>
      </c>
      <c r="F666" t="n">
        <v>0</v>
      </c>
      <c r="G666" t="inlineStr">
        <is>
          <t>Tech C</t>
        </is>
      </c>
      <c r="H666">
        <f>INDEX(Limits!$B$2:$B$5,MATCH(E666,Limits!$A$2:$A$5,0))</f>
        <v/>
      </c>
      <c r="I666">
        <f>INDEX(Limits!$C$2:$C$5,MATCH(E666,Limits!$A$2:$A$5,0))</f>
        <v/>
      </c>
      <c r="J666">
        <f>IF(F666&gt;=I666,"Action",IF(F666&gt;=H666,"Alert","Pass"))</f>
        <v/>
      </c>
      <c r="K666" s="4">
        <f>DATE(YEAR(B666),MONTH(B666),1)</f>
        <v/>
      </c>
    </row>
    <row r="667">
      <c r="A667" t="inlineStr">
        <is>
          <t>EM000666</t>
        </is>
      </c>
      <c r="B667" s="7" t="n">
        <v>46076</v>
      </c>
      <c r="C667" t="inlineStr">
        <is>
          <t>CR-101</t>
        </is>
      </c>
      <c r="D667" t="inlineStr">
        <is>
          <t>ISO 7</t>
        </is>
      </c>
      <c r="E667" t="inlineStr">
        <is>
          <t>Active air</t>
        </is>
      </c>
      <c r="F667" t="n">
        <v>0</v>
      </c>
      <c r="G667" t="inlineStr">
        <is>
          <t>Tech C</t>
        </is>
      </c>
      <c r="H667">
        <f>INDEX(Limits!$B$2:$B$5,MATCH(E667,Limits!$A$2:$A$5,0))</f>
        <v/>
      </c>
      <c r="I667">
        <f>INDEX(Limits!$C$2:$C$5,MATCH(E667,Limits!$A$2:$A$5,0))</f>
        <v/>
      </c>
      <c r="J667">
        <f>IF(F667&gt;=I667,"Action",IF(F667&gt;=H667,"Alert","Pass"))</f>
        <v/>
      </c>
      <c r="K667" s="4">
        <f>DATE(YEAR(B667),MONTH(B667),1)</f>
        <v/>
      </c>
    </row>
    <row r="668">
      <c r="A668" t="inlineStr">
        <is>
          <t>EM000667</t>
        </is>
      </c>
      <c r="B668" s="7" t="n">
        <v>46076</v>
      </c>
      <c r="C668" t="inlineStr">
        <is>
          <t>CR-101</t>
        </is>
      </c>
      <c r="D668" t="inlineStr">
        <is>
          <t>ISO 7</t>
        </is>
      </c>
      <c r="E668" t="inlineStr">
        <is>
          <t>Surface contact</t>
        </is>
      </c>
      <c r="F668" t="n">
        <v>1</v>
      </c>
      <c r="G668" t="inlineStr">
        <is>
          <t>Tech C</t>
        </is>
      </c>
      <c r="H668">
        <f>INDEX(Limits!$B$2:$B$5,MATCH(E668,Limits!$A$2:$A$5,0))</f>
        <v/>
      </c>
      <c r="I668">
        <f>INDEX(Limits!$C$2:$C$5,MATCH(E668,Limits!$A$2:$A$5,0))</f>
        <v/>
      </c>
      <c r="J668">
        <f>IF(F668&gt;=I668,"Action",IF(F668&gt;=H668,"Alert","Pass"))</f>
        <v/>
      </c>
      <c r="K668" s="4">
        <f>DATE(YEAR(B668),MONTH(B668),1)</f>
        <v/>
      </c>
    </row>
    <row r="669">
      <c r="A669" t="inlineStr">
        <is>
          <t>EM000668</t>
        </is>
      </c>
      <c r="B669" s="7" t="n">
        <v>46076</v>
      </c>
      <c r="C669" t="inlineStr">
        <is>
          <t>CR-101</t>
        </is>
      </c>
      <c r="D669" t="inlineStr">
        <is>
          <t>ISO 7</t>
        </is>
      </c>
      <c r="E669" t="inlineStr">
        <is>
          <t>Compressed air</t>
        </is>
      </c>
      <c r="F669" t="n">
        <v>0</v>
      </c>
      <c r="G669" t="inlineStr">
        <is>
          <t>Tech B</t>
        </is>
      </c>
      <c r="H669">
        <f>INDEX(Limits!$B$2:$B$5,MATCH(E669,Limits!$A$2:$A$5,0))</f>
        <v/>
      </c>
      <c r="I669">
        <f>INDEX(Limits!$C$2:$C$5,MATCH(E669,Limits!$A$2:$A$5,0))</f>
        <v/>
      </c>
      <c r="J669">
        <f>IF(F669&gt;=I669,"Action",IF(F669&gt;=H669,"Alert","Pass"))</f>
        <v/>
      </c>
      <c r="K669" s="4">
        <f>DATE(YEAR(B669),MONTH(B669),1)</f>
        <v/>
      </c>
    </row>
    <row r="670">
      <c r="A670" t="inlineStr">
        <is>
          <t>EM000669</t>
        </is>
      </c>
      <c r="B670" s="7" t="n">
        <v>46076</v>
      </c>
      <c r="C670" t="inlineStr">
        <is>
          <t>CR-101</t>
        </is>
      </c>
      <c r="D670" t="inlineStr">
        <is>
          <t>ISO 7</t>
        </is>
      </c>
      <c r="E670" t="inlineStr">
        <is>
          <t>Personnel glove</t>
        </is>
      </c>
      <c r="F670" t="n">
        <v>0</v>
      </c>
      <c r="G670" t="inlineStr">
        <is>
          <t>Tech A</t>
        </is>
      </c>
      <c r="H670">
        <f>INDEX(Limits!$B$2:$B$5,MATCH(E670,Limits!$A$2:$A$5,0))</f>
        <v/>
      </c>
      <c r="I670">
        <f>INDEX(Limits!$C$2:$C$5,MATCH(E670,Limits!$A$2:$A$5,0))</f>
        <v/>
      </c>
      <c r="J670">
        <f>IF(F670&gt;=I670,"Action",IF(F670&gt;=H670,"Alert","Pass"))</f>
        <v/>
      </c>
      <c r="K670" s="4">
        <f>DATE(YEAR(B670),MONTH(B670),1)</f>
        <v/>
      </c>
    </row>
    <row r="671">
      <c r="A671" t="inlineStr">
        <is>
          <t>EM000670</t>
        </is>
      </c>
      <c r="B671" s="7" t="n">
        <v>46076</v>
      </c>
      <c r="C671" t="inlineStr">
        <is>
          <t>CR-102</t>
        </is>
      </c>
      <c r="D671" t="inlineStr">
        <is>
          <t>ISO 7</t>
        </is>
      </c>
      <c r="E671" t="inlineStr">
        <is>
          <t>Active air</t>
        </is>
      </c>
      <c r="F671" t="n">
        <v>1</v>
      </c>
      <c r="G671" t="inlineStr">
        <is>
          <t>Tech D</t>
        </is>
      </c>
      <c r="H671">
        <f>INDEX(Limits!$B$2:$B$5,MATCH(E671,Limits!$A$2:$A$5,0))</f>
        <v/>
      </c>
      <c r="I671">
        <f>INDEX(Limits!$C$2:$C$5,MATCH(E671,Limits!$A$2:$A$5,0))</f>
        <v/>
      </c>
      <c r="J671">
        <f>IF(F671&gt;=I671,"Action",IF(F671&gt;=H671,"Alert","Pass"))</f>
        <v/>
      </c>
      <c r="K671" s="4">
        <f>DATE(YEAR(B671),MONTH(B671),1)</f>
        <v/>
      </c>
    </row>
    <row r="672">
      <c r="A672" t="inlineStr">
        <is>
          <t>EM000671</t>
        </is>
      </c>
      <c r="B672" s="7" t="n">
        <v>46076</v>
      </c>
      <c r="C672" t="inlineStr">
        <is>
          <t>CR-102</t>
        </is>
      </c>
      <c r="D672" t="inlineStr">
        <is>
          <t>ISO 7</t>
        </is>
      </c>
      <c r="E672" t="inlineStr">
        <is>
          <t>Surface contact</t>
        </is>
      </c>
      <c r="F672" t="n">
        <v>1</v>
      </c>
      <c r="G672" t="inlineStr">
        <is>
          <t>Tech C</t>
        </is>
      </c>
      <c r="H672">
        <f>INDEX(Limits!$B$2:$B$5,MATCH(E672,Limits!$A$2:$A$5,0))</f>
        <v/>
      </c>
      <c r="I672">
        <f>INDEX(Limits!$C$2:$C$5,MATCH(E672,Limits!$A$2:$A$5,0))</f>
        <v/>
      </c>
      <c r="J672">
        <f>IF(F672&gt;=I672,"Action",IF(F672&gt;=H672,"Alert","Pass"))</f>
        <v/>
      </c>
      <c r="K672" s="4">
        <f>DATE(YEAR(B672),MONTH(B672),1)</f>
        <v/>
      </c>
    </row>
    <row r="673">
      <c r="A673" t="inlineStr">
        <is>
          <t>EM000672</t>
        </is>
      </c>
      <c r="B673" s="7" t="n">
        <v>46076</v>
      </c>
      <c r="C673" t="inlineStr">
        <is>
          <t>CR-102</t>
        </is>
      </c>
      <c r="D673" t="inlineStr">
        <is>
          <t>ISO 7</t>
        </is>
      </c>
      <c r="E673" t="inlineStr">
        <is>
          <t>Compressed air</t>
        </is>
      </c>
      <c r="F673" t="n">
        <v>0</v>
      </c>
      <c r="G673" t="inlineStr">
        <is>
          <t>Tech A</t>
        </is>
      </c>
      <c r="H673">
        <f>INDEX(Limits!$B$2:$B$5,MATCH(E673,Limits!$A$2:$A$5,0))</f>
        <v/>
      </c>
      <c r="I673">
        <f>INDEX(Limits!$C$2:$C$5,MATCH(E673,Limits!$A$2:$A$5,0))</f>
        <v/>
      </c>
      <c r="J673">
        <f>IF(F673&gt;=I673,"Action",IF(F673&gt;=H673,"Alert","Pass"))</f>
        <v/>
      </c>
      <c r="K673" s="4">
        <f>DATE(YEAR(B673),MONTH(B673),1)</f>
        <v/>
      </c>
    </row>
    <row r="674">
      <c r="A674" t="inlineStr">
        <is>
          <t>EM000673</t>
        </is>
      </c>
      <c r="B674" s="7" t="n">
        <v>46076</v>
      </c>
      <c r="C674" t="inlineStr">
        <is>
          <t>CR-102</t>
        </is>
      </c>
      <c r="D674" t="inlineStr">
        <is>
          <t>ISO 7</t>
        </is>
      </c>
      <c r="E674" t="inlineStr">
        <is>
          <t>Personnel glove</t>
        </is>
      </c>
      <c r="F674" t="n">
        <v>0</v>
      </c>
      <c r="G674" t="inlineStr">
        <is>
          <t>Tech C</t>
        </is>
      </c>
      <c r="H674">
        <f>INDEX(Limits!$B$2:$B$5,MATCH(E674,Limits!$A$2:$A$5,0))</f>
        <v/>
      </c>
      <c r="I674">
        <f>INDEX(Limits!$C$2:$C$5,MATCH(E674,Limits!$A$2:$A$5,0))</f>
        <v/>
      </c>
      <c r="J674">
        <f>IF(F674&gt;=I674,"Action",IF(F674&gt;=H674,"Alert","Pass"))</f>
        <v/>
      </c>
      <c r="K674" s="4">
        <f>DATE(YEAR(B674),MONTH(B674),1)</f>
        <v/>
      </c>
    </row>
    <row r="675">
      <c r="A675" t="inlineStr">
        <is>
          <t>EM000674</t>
        </is>
      </c>
      <c r="B675" s="7" t="n">
        <v>46076</v>
      </c>
      <c r="C675" t="inlineStr">
        <is>
          <t>CR-201</t>
        </is>
      </c>
      <c r="D675" t="inlineStr">
        <is>
          <t>ISO 8</t>
        </is>
      </c>
      <c r="E675" t="inlineStr">
        <is>
          <t>Active air</t>
        </is>
      </c>
      <c r="F675" t="n">
        <v>1</v>
      </c>
      <c r="G675" t="inlineStr">
        <is>
          <t>Tech A</t>
        </is>
      </c>
      <c r="H675">
        <f>INDEX(Limits!$B$2:$B$5,MATCH(E675,Limits!$A$2:$A$5,0))</f>
        <v/>
      </c>
      <c r="I675">
        <f>INDEX(Limits!$C$2:$C$5,MATCH(E675,Limits!$A$2:$A$5,0))</f>
        <v/>
      </c>
      <c r="J675">
        <f>IF(F675&gt;=I675,"Action",IF(F675&gt;=H675,"Alert","Pass"))</f>
        <v/>
      </c>
      <c r="K675" s="4">
        <f>DATE(YEAR(B675),MONTH(B675),1)</f>
        <v/>
      </c>
    </row>
    <row r="676">
      <c r="A676" t="inlineStr">
        <is>
          <t>EM000675</t>
        </is>
      </c>
      <c r="B676" s="7" t="n">
        <v>46076</v>
      </c>
      <c r="C676" t="inlineStr">
        <is>
          <t>CR-201</t>
        </is>
      </c>
      <c r="D676" t="inlineStr">
        <is>
          <t>ISO 8</t>
        </is>
      </c>
      <c r="E676" t="inlineStr">
        <is>
          <t>Surface contact</t>
        </is>
      </c>
      <c r="F676" t="n">
        <v>1</v>
      </c>
      <c r="G676" t="inlineStr">
        <is>
          <t>Tech D</t>
        </is>
      </c>
      <c r="H676">
        <f>INDEX(Limits!$B$2:$B$5,MATCH(E676,Limits!$A$2:$A$5,0))</f>
        <v/>
      </c>
      <c r="I676">
        <f>INDEX(Limits!$C$2:$C$5,MATCH(E676,Limits!$A$2:$A$5,0))</f>
        <v/>
      </c>
      <c r="J676">
        <f>IF(F676&gt;=I676,"Action",IF(F676&gt;=H676,"Alert","Pass"))</f>
        <v/>
      </c>
      <c r="K676" s="4">
        <f>DATE(YEAR(B676),MONTH(B676),1)</f>
        <v/>
      </c>
    </row>
    <row r="677">
      <c r="A677" t="inlineStr">
        <is>
          <t>EM000676</t>
        </is>
      </c>
      <c r="B677" s="7" t="n">
        <v>46076</v>
      </c>
      <c r="C677" t="inlineStr">
        <is>
          <t>CR-201</t>
        </is>
      </c>
      <c r="D677" t="inlineStr">
        <is>
          <t>ISO 8</t>
        </is>
      </c>
      <c r="E677" t="inlineStr">
        <is>
          <t>Compressed air</t>
        </is>
      </c>
      <c r="F677" t="n">
        <v>1</v>
      </c>
      <c r="G677" t="inlineStr">
        <is>
          <t>Tech A</t>
        </is>
      </c>
      <c r="H677">
        <f>INDEX(Limits!$B$2:$B$5,MATCH(E677,Limits!$A$2:$A$5,0))</f>
        <v/>
      </c>
      <c r="I677">
        <f>INDEX(Limits!$C$2:$C$5,MATCH(E677,Limits!$A$2:$A$5,0))</f>
        <v/>
      </c>
      <c r="J677">
        <f>IF(F677&gt;=I677,"Action",IF(F677&gt;=H677,"Alert","Pass"))</f>
        <v/>
      </c>
      <c r="K677" s="4">
        <f>DATE(YEAR(B677),MONTH(B677),1)</f>
        <v/>
      </c>
    </row>
    <row r="678">
      <c r="A678" t="inlineStr">
        <is>
          <t>EM000677</t>
        </is>
      </c>
      <c r="B678" s="7" t="n">
        <v>46076</v>
      </c>
      <c r="C678" t="inlineStr">
        <is>
          <t>CR-201</t>
        </is>
      </c>
      <c r="D678" t="inlineStr">
        <is>
          <t>ISO 8</t>
        </is>
      </c>
      <c r="E678" t="inlineStr">
        <is>
          <t>Personnel glove</t>
        </is>
      </c>
      <c r="F678" t="n">
        <v>0</v>
      </c>
      <c r="G678" t="inlineStr">
        <is>
          <t>Tech C</t>
        </is>
      </c>
      <c r="H678">
        <f>INDEX(Limits!$B$2:$B$5,MATCH(E678,Limits!$A$2:$A$5,0))</f>
        <v/>
      </c>
      <c r="I678">
        <f>INDEX(Limits!$C$2:$C$5,MATCH(E678,Limits!$A$2:$A$5,0))</f>
        <v/>
      </c>
      <c r="J678">
        <f>IF(F678&gt;=I678,"Action",IF(F678&gt;=H678,"Alert","Pass"))</f>
        <v/>
      </c>
      <c r="K678" s="4">
        <f>DATE(YEAR(B678),MONTH(B678),1)</f>
        <v/>
      </c>
    </row>
    <row r="679">
      <c r="A679" t="inlineStr">
        <is>
          <t>EM000678</t>
        </is>
      </c>
      <c r="B679" s="7" t="n">
        <v>46076</v>
      </c>
      <c r="C679" t="inlineStr">
        <is>
          <t>CR-202</t>
        </is>
      </c>
      <c r="D679" t="inlineStr">
        <is>
          <t>ISO 8</t>
        </is>
      </c>
      <c r="E679" t="inlineStr">
        <is>
          <t>Active air</t>
        </is>
      </c>
      <c r="F679" t="n">
        <v>0</v>
      </c>
      <c r="G679" t="inlineStr">
        <is>
          <t>Tech B</t>
        </is>
      </c>
      <c r="H679">
        <f>INDEX(Limits!$B$2:$B$5,MATCH(E679,Limits!$A$2:$A$5,0))</f>
        <v/>
      </c>
      <c r="I679">
        <f>INDEX(Limits!$C$2:$C$5,MATCH(E679,Limits!$A$2:$A$5,0))</f>
        <v/>
      </c>
      <c r="J679">
        <f>IF(F679&gt;=I679,"Action",IF(F679&gt;=H679,"Alert","Pass"))</f>
        <v/>
      </c>
      <c r="K679" s="4">
        <f>DATE(YEAR(B679),MONTH(B679),1)</f>
        <v/>
      </c>
    </row>
    <row r="680">
      <c r="A680" t="inlineStr">
        <is>
          <t>EM000679</t>
        </is>
      </c>
      <c r="B680" s="7" t="n">
        <v>46076</v>
      </c>
      <c r="C680" t="inlineStr">
        <is>
          <t>CR-202</t>
        </is>
      </c>
      <c r="D680" t="inlineStr">
        <is>
          <t>ISO 8</t>
        </is>
      </c>
      <c r="E680" t="inlineStr">
        <is>
          <t>Surface contact</t>
        </is>
      </c>
      <c r="F680" t="n">
        <v>2</v>
      </c>
      <c r="G680" t="inlineStr">
        <is>
          <t>Tech D</t>
        </is>
      </c>
      <c r="H680">
        <f>INDEX(Limits!$B$2:$B$5,MATCH(E680,Limits!$A$2:$A$5,0))</f>
        <v/>
      </c>
      <c r="I680">
        <f>INDEX(Limits!$C$2:$C$5,MATCH(E680,Limits!$A$2:$A$5,0))</f>
        <v/>
      </c>
      <c r="J680">
        <f>IF(F680&gt;=I680,"Action",IF(F680&gt;=H680,"Alert","Pass"))</f>
        <v/>
      </c>
      <c r="K680" s="4">
        <f>DATE(YEAR(B680),MONTH(B680),1)</f>
        <v/>
      </c>
    </row>
    <row r="681">
      <c r="A681" t="inlineStr">
        <is>
          <t>EM000680</t>
        </is>
      </c>
      <c r="B681" s="7" t="n">
        <v>46076</v>
      </c>
      <c r="C681" t="inlineStr">
        <is>
          <t>CR-202</t>
        </is>
      </c>
      <c r="D681" t="inlineStr">
        <is>
          <t>ISO 8</t>
        </is>
      </c>
      <c r="E681" t="inlineStr">
        <is>
          <t>Compressed air</t>
        </is>
      </c>
      <c r="F681" t="n">
        <v>0</v>
      </c>
      <c r="G681" t="inlineStr">
        <is>
          <t>Tech C</t>
        </is>
      </c>
      <c r="H681">
        <f>INDEX(Limits!$B$2:$B$5,MATCH(E681,Limits!$A$2:$A$5,0))</f>
        <v/>
      </c>
      <c r="I681">
        <f>INDEX(Limits!$C$2:$C$5,MATCH(E681,Limits!$A$2:$A$5,0))</f>
        <v/>
      </c>
      <c r="J681">
        <f>IF(F681&gt;=I681,"Action",IF(F681&gt;=H681,"Alert","Pass"))</f>
        <v/>
      </c>
      <c r="K681" s="4">
        <f>DATE(YEAR(B681),MONTH(B681),1)</f>
        <v/>
      </c>
    </row>
    <row r="682">
      <c r="A682" t="inlineStr">
        <is>
          <t>EM000681</t>
        </is>
      </c>
      <c r="B682" s="7" t="n">
        <v>46076</v>
      </c>
      <c r="C682" t="inlineStr">
        <is>
          <t>CR-202</t>
        </is>
      </c>
      <c r="D682" t="inlineStr">
        <is>
          <t>ISO 8</t>
        </is>
      </c>
      <c r="E682" t="inlineStr">
        <is>
          <t>Personnel glove</t>
        </is>
      </c>
      <c r="F682" t="n">
        <v>1</v>
      </c>
      <c r="G682" t="inlineStr">
        <is>
          <t>Tech A</t>
        </is>
      </c>
      <c r="H682">
        <f>INDEX(Limits!$B$2:$B$5,MATCH(E682,Limits!$A$2:$A$5,0))</f>
        <v/>
      </c>
      <c r="I682">
        <f>INDEX(Limits!$C$2:$C$5,MATCH(E682,Limits!$A$2:$A$5,0))</f>
        <v/>
      </c>
      <c r="J682">
        <f>IF(F682&gt;=I682,"Action",IF(F682&gt;=H682,"Alert","Pass"))</f>
        <v/>
      </c>
      <c r="K682" s="4">
        <f>DATE(YEAR(B682),MONTH(B682),1)</f>
        <v/>
      </c>
    </row>
    <row r="683">
      <c r="A683" t="inlineStr">
        <is>
          <t>EM000682</t>
        </is>
      </c>
      <c r="B683" s="7" t="n">
        <v>46076</v>
      </c>
      <c r="C683" t="inlineStr">
        <is>
          <t>Gowning</t>
        </is>
      </c>
      <c r="D683" t="inlineStr">
        <is>
          <t>ISO 8</t>
        </is>
      </c>
      <c r="E683" t="inlineStr">
        <is>
          <t>Active air</t>
        </is>
      </c>
      <c r="F683" t="n">
        <v>1</v>
      </c>
      <c r="G683" t="inlineStr">
        <is>
          <t>Tech A</t>
        </is>
      </c>
      <c r="H683">
        <f>INDEX(Limits!$B$2:$B$5,MATCH(E683,Limits!$A$2:$A$5,0))</f>
        <v/>
      </c>
      <c r="I683">
        <f>INDEX(Limits!$C$2:$C$5,MATCH(E683,Limits!$A$2:$A$5,0))</f>
        <v/>
      </c>
      <c r="J683">
        <f>IF(F683&gt;=I683,"Action",IF(F683&gt;=H683,"Alert","Pass"))</f>
        <v/>
      </c>
      <c r="K683" s="4">
        <f>DATE(YEAR(B683),MONTH(B683),1)</f>
        <v/>
      </c>
    </row>
    <row r="684">
      <c r="A684" t="inlineStr">
        <is>
          <t>EM000683</t>
        </is>
      </c>
      <c r="B684" s="7" t="n">
        <v>46076</v>
      </c>
      <c r="C684" t="inlineStr">
        <is>
          <t>Gowning</t>
        </is>
      </c>
      <c r="D684" t="inlineStr">
        <is>
          <t>ISO 8</t>
        </is>
      </c>
      <c r="E684" t="inlineStr">
        <is>
          <t>Surface contact</t>
        </is>
      </c>
      <c r="F684" t="n">
        <v>0</v>
      </c>
      <c r="G684" t="inlineStr">
        <is>
          <t>Tech C</t>
        </is>
      </c>
      <c r="H684">
        <f>INDEX(Limits!$B$2:$B$5,MATCH(E684,Limits!$A$2:$A$5,0))</f>
        <v/>
      </c>
      <c r="I684">
        <f>INDEX(Limits!$C$2:$C$5,MATCH(E684,Limits!$A$2:$A$5,0))</f>
        <v/>
      </c>
      <c r="J684">
        <f>IF(F684&gt;=I684,"Action",IF(F684&gt;=H684,"Alert","Pass"))</f>
        <v/>
      </c>
      <c r="K684" s="4">
        <f>DATE(YEAR(B684),MONTH(B684),1)</f>
        <v/>
      </c>
    </row>
    <row r="685">
      <c r="A685" t="inlineStr">
        <is>
          <t>EM000684</t>
        </is>
      </c>
      <c r="B685" s="7" t="n">
        <v>46076</v>
      </c>
      <c r="C685" t="inlineStr">
        <is>
          <t>Gowning</t>
        </is>
      </c>
      <c r="D685" t="inlineStr">
        <is>
          <t>ISO 8</t>
        </is>
      </c>
      <c r="E685" t="inlineStr">
        <is>
          <t>Personnel glove</t>
        </is>
      </c>
      <c r="F685" t="n">
        <v>1</v>
      </c>
      <c r="G685" t="inlineStr">
        <is>
          <t>Tech B</t>
        </is>
      </c>
      <c r="H685">
        <f>INDEX(Limits!$B$2:$B$5,MATCH(E685,Limits!$A$2:$A$5,0))</f>
        <v/>
      </c>
      <c r="I685">
        <f>INDEX(Limits!$C$2:$C$5,MATCH(E685,Limits!$A$2:$A$5,0))</f>
        <v/>
      </c>
      <c r="J685">
        <f>IF(F685&gt;=I685,"Action",IF(F685&gt;=H685,"Alert","Pass"))</f>
        <v/>
      </c>
      <c r="K685" s="4">
        <f>DATE(YEAR(B685),MONTH(B685),1)</f>
        <v/>
      </c>
    </row>
    <row r="686">
      <c r="A686" t="inlineStr">
        <is>
          <t>EM000685</t>
        </is>
      </c>
      <c r="B686" s="7" t="n">
        <v>46077</v>
      </c>
      <c r="C686" t="inlineStr">
        <is>
          <t>CR-101</t>
        </is>
      </c>
      <c r="D686" t="inlineStr">
        <is>
          <t>ISO 7</t>
        </is>
      </c>
      <c r="E686" t="inlineStr">
        <is>
          <t>Active air</t>
        </is>
      </c>
      <c r="F686" t="n">
        <v>0</v>
      </c>
      <c r="G686" t="inlineStr">
        <is>
          <t>Tech D</t>
        </is>
      </c>
      <c r="H686">
        <f>INDEX(Limits!$B$2:$B$5,MATCH(E686,Limits!$A$2:$A$5,0))</f>
        <v/>
      </c>
      <c r="I686">
        <f>INDEX(Limits!$C$2:$C$5,MATCH(E686,Limits!$A$2:$A$5,0))</f>
        <v/>
      </c>
      <c r="J686">
        <f>IF(F686&gt;=I686,"Action",IF(F686&gt;=H686,"Alert","Pass"))</f>
        <v/>
      </c>
      <c r="K686" s="4">
        <f>DATE(YEAR(B686),MONTH(B686),1)</f>
        <v/>
      </c>
    </row>
    <row r="687">
      <c r="A687" t="inlineStr">
        <is>
          <t>EM000686</t>
        </is>
      </c>
      <c r="B687" s="7" t="n">
        <v>46077</v>
      </c>
      <c r="C687" t="inlineStr">
        <is>
          <t>CR-101</t>
        </is>
      </c>
      <c r="D687" t="inlineStr">
        <is>
          <t>ISO 7</t>
        </is>
      </c>
      <c r="E687" t="inlineStr">
        <is>
          <t>Surface contact</t>
        </is>
      </c>
      <c r="F687" t="n">
        <v>1</v>
      </c>
      <c r="G687" t="inlineStr">
        <is>
          <t>Tech D</t>
        </is>
      </c>
      <c r="H687">
        <f>INDEX(Limits!$B$2:$B$5,MATCH(E687,Limits!$A$2:$A$5,0))</f>
        <v/>
      </c>
      <c r="I687">
        <f>INDEX(Limits!$C$2:$C$5,MATCH(E687,Limits!$A$2:$A$5,0))</f>
        <v/>
      </c>
      <c r="J687">
        <f>IF(F687&gt;=I687,"Action",IF(F687&gt;=H687,"Alert","Pass"))</f>
        <v/>
      </c>
      <c r="K687" s="4">
        <f>DATE(YEAR(B687),MONTH(B687),1)</f>
        <v/>
      </c>
    </row>
    <row r="688">
      <c r="A688" t="inlineStr">
        <is>
          <t>EM000687</t>
        </is>
      </c>
      <c r="B688" s="7" t="n">
        <v>46077</v>
      </c>
      <c r="C688" t="inlineStr">
        <is>
          <t>CR-101</t>
        </is>
      </c>
      <c r="D688" t="inlineStr">
        <is>
          <t>ISO 7</t>
        </is>
      </c>
      <c r="E688" t="inlineStr">
        <is>
          <t>Compressed air</t>
        </is>
      </c>
      <c r="F688" t="n">
        <v>0</v>
      </c>
      <c r="G688" t="inlineStr">
        <is>
          <t>Tech B</t>
        </is>
      </c>
      <c r="H688">
        <f>INDEX(Limits!$B$2:$B$5,MATCH(E688,Limits!$A$2:$A$5,0))</f>
        <v/>
      </c>
      <c r="I688">
        <f>INDEX(Limits!$C$2:$C$5,MATCH(E688,Limits!$A$2:$A$5,0))</f>
        <v/>
      </c>
      <c r="J688">
        <f>IF(F688&gt;=I688,"Action",IF(F688&gt;=H688,"Alert","Pass"))</f>
        <v/>
      </c>
      <c r="K688" s="4">
        <f>DATE(YEAR(B688),MONTH(B688),1)</f>
        <v/>
      </c>
    </row>
    <row r="689">
      <c r="A689" t="inlineStr">
        <is>
          <t>EM000688</t>
        </is>
      </c>
      <c r="B689" s="7" t="n">
        <v>46077</v>
      </c>
      <c r="C689" t="inlineStr">
        <is>
          <t>CR-101</t>
        </is>
      </c>
      <c r="D689" t="inlineStr">
        <is>
          <t>ISO 7</t>
        </is>
      </c>
      <c r="E689" t="inlineStr">
        <is>
          <t>Personnel glove</t>
        </is>
      </c>
      <c r="F689" t="n">
        <v>0</v>
      </c>
      <c r="G689" t="inlineStr">
        <is>
          <t>Tech A</t>
        </is>
      </c>
      <c r="H689">
        <f>INDEX(Limits!$B$2:$B$5,MATCH(E689,Limits!$A$2:$A$5,0))</f>
        <v/>
      </c>
      <c r="I689">
        <f>INDEX(Limits!$C$2:$C$5,MATCH(E689,Limits!$A$2:$A$5,0))</f>
        <v/>
      </c>
      <c r="J689">
        <f>IF(F689&gt;=I689,"Action",IF(F689&gt;=H689,"Alert","Pass"))</f>
        <v/>
      </c>
      <c r="K689" s="4">
        <f>DATE(YEAR(B689),MONTH(B689),1)</f>
        <v/>
      </c>
    </row>
    <row r="690">
      <c r="A690" t="inlineStr">
        <is>
          <t>EM000689</t>
        </is>
      </c>
      <c r="B690" s="7" t="n">
        <v>46077</v>
      </c>
      <c r="C690" t="inlineStr">
        <is>
          <t>CR-102</t>
        </is>
      </c>
      <c r="D690" t="inlineStr">
        <is>
          <t>ISO 7</t>
        </is>
      </c>
      <c r="E690" t="inlineStr">
        <is>
          <t>Active air</t>
        </is>
      </c>
      <c r="F690" t="n">
        <v>0</v>
      </c>
      <c r="G690" t="inlineStr">
        <is>
          <t>Tech A</t>
        </is>
      </c>
      <c r="H690">
        <f>INDEX(Limits!$B$2:$B$5,MATCH(E690,Limits!$A$2:$A$5,0))</f>
        <v/>
      </c>
      <c r="I690">
        <f>INDEX(Limits!$C$2:$C$5,MATCH(E690,Limits!$A$2:$A$5,0))</f>
        <v/>
      </c>
      <c r="J690">
        <f>IF(F690&gt;=I690,"Action",IF(F690&gt;=H690,"Alert","Pass"))</f>
        <v/>
      </c>
      <c r="K690" s="4">
        <f>DATE(YEAR(B690),MONTH(B690),1)</f>
        <v/>
      </c>
    </row>
    <row r="691">
      <c r="A691" t="inlineStr">
        <is>
          <t>EM000690</t>
        </is>
      </c>
      <c r="B691" s="7" t="n">
        <v>46077</v>
      </c>
      <c r="C691" t="inlineStr">
        <is>
          <t>CR-102</t>
        </is>
      </c>
      <c r="D691" t="inlineStr">
        <is>
          <t>ISO 7</t>
        </is>
      </c>
      <c r="E691" t="inlineStr">
        <is>
          <t>Surface contact</t>
        </is>
      </c>
      <c r="F691" t="n">
        <v>1</v>
      </c>
      <c r="G691" t="inlineStr">
        <is>
          <t>Tech D</t>
        </is>
      </c>
      <c r="H691">
        <f>INDEX(Limits!$B$2:$B$5,MATCH(E691,Limits!$A$2:$A$5,0))</f>
        <v/>
      </c>
      <c r="I691">
        <f>INDEX(Limits!$C$2:$C$5,MATCH(E691,Limits!$A$2:$A$5,0))</f>
        <v/>
      </c>
      <c r="J691">
        <f>IF(F691&gt;=I691,"Action",IF(F691&gt;=H691,"Alert","Pass"))</f>
        <v/>
      </c>
      <c r="K691" s="4">
        <f>DATE(YEAR(B691),MONTH(B691),1)</f>
        <v/>
      </c>
    </row>
    <row r="692">
      <c r="A692" t="inlineStr">
        <is>
          <t>EM000691</t>
        </is>
      </c>
      <c r="B692" s="7" t="n">
        <v>46077</v>
      </c>
      <c r="C692" t="inlineStr">
        <is>
          <t>CR-102</t>
        </is>
      </c>
      <c r="D692" t="inlineStr">
        <is>
          <t>ISO 7</t>
        </is>
      </c>
      <c r="E692" t="inlineStr">
        <is>
          <t>Compressed air</t>
        </is>
      </c>
      <c r="F692" t="n">
        <v>0</v>
      </c>
      <c r="G692" t="inlineStr">
        <is>
          <t>Tech C</t>
        </is>
      </c>
      <c r="H692">
        <f>INDEX(Limits!$B$2:$B$5,MATCH(E692,Limits!$A$2:$A$5,0))</f>
        <v/>
      </c>
      <c r="I692">
        <f>INDEX(Limits!$C$2:$C$5,MATCH(E692,Limits!$A$2:$A$5,0))</f>
        <v/>
      </c>
      <c r="J692">
        <f>IF(F692&gt;=I692,"Action",IF(F692&gt;=H692,"Alert","Pass"))</f>
        <v/>
      </c>
      <c r="K692" s="4">
        <f>DATE(YEAR(B692),MONTH(B692),1)</f>
        <v/>
      </c>
    </row>
    <row r="693">
      <c r="A693" t="inlineStr">
        <is>
          <t>EM000692</t>
        </is>
      </c>
      <c r="B693" s="7" t="n">
        <v>46077</v>
      </c>
      <c r="C693" t="inlineStr">
        <is>
          <t>CR-102</t>
        </is>
      </c>
      <c r="D693" t="inlineStr">
        <is>
          <t>ISO 7</t>
        </is>
      </c>
      <c r="E693" t="inlineStr">
        <is>
          <t>Personnel glove</t>
        </is>
      </c>
      <c r="F693" t="n">
        <v>0</v>
      </c>
      <c r="G693" t="inlineStr">
        <is>
          <t>Tech B</t>
        </is>
      </c>
      <c r="H693">
        <f>INDEX(Limits!$B$2:$B$5,MATCH(E693,Limits!$A$2:$A$5,0))</f>
        <v/>
      </c>
      <c r="I693">
        <f>INDEX(Limits!$C$2:$C$5,MATCH(E693,Limits!$A$2:$A$5,0))</f>
        <v/>
      </c>
      <c r="J693">
        <f>IF(F693&gt;=I693,"Action",IF(F693&gt;=H693,"Alert","Pass"))</f>
        <v/>
      </c>
      <c r="K693" s="4">
        <f>DATE(YEAR(B693),MONTH(B693),1)</f>
        <v/>
      </c>
    </row>
    <row r="694">
      <c r="A694" t="inlineStr">
        <is>
          <t>EM000693</t>
        </is>
      </c>
      <c r="B694" s="7" t="n">
        <v>46077</v>
      </c>
      <c r="C694" t="inlineStr">
        <is>
          <t>CR-201</t>
        </is>
      </c>
      <c r="D694" t="inlineStr">
        <is>
          <t>ISO 8</t>
        </is>
      </c>
      <c r="E694" t="inlineStr">
        <is>
          <t>Active air</t>
        </is>
      </c>
      <c r="F694" t="n">
        <v>1</v>
      </c>
      <c r="G694" t="inlineStr">
        <is>
          <t>Tech A</t>
        </is>
      </c>
      <c r="H694">
        <f>INDEX(Limits!$B$2:$B$5,MATCH(E694,Limits!$A$2:$A$5,0))</f>
        <v/>
      </c>
      <c r="I694">
        <f>INDEX(Limits!$C$2:$C$5,MATCH(E694,Limits!$A$2:$A$5,0))</f>
        <v/>
      </c>
      <c r="J694">
        <f>IF(F694&gt;=I694,"Action",IF(F694&gt;=H694,"Alert","Pass"))</f>
        <v/>
      </c>
      <c r="K694" s="4">
        <f>DATE(YEAR(B694),MONTH(B694),1)</f>
        <v/>
      </c>
    </row>
    <row r="695">
      <c r="A695" t="inlineStr">
        <is>
          <t>EM000694</t>
        </is>
      </c>
      <c r="B695" s="7" t="n">
        <v>46077</v>
      </c>
      <c r="C695" t="inlineStr">
        <is>
          <t>CR-201</t>
        </is>
      </c>
      <c r="D695" t="inlineStr">
        <is>
          <t>ISO 8</t>
        </is>
      </c>
      <c r="E695" t="inlineStr">
        <is>
          <t>Surface contact</t>
        </is>
      </c>
      <c r="F695" t="n">
        <v>1</v>
      </c>
      <c r="G695" t="inlineStr">
        <is>
          <t>Tech B</t>
        </is>
      </c>
      <c r="H695">
        <f>INDEX(Limits!$B$2:$B$5,MATCH(E695,Limits!$A$2:$A$5,0))</f>
        <v/>
      </c>
      <c r="I695">
        <f>INDEX(Limits!$C$2:$C$5,MATCH(E695,Limits!$A$2:$A$5,0))</f>
        <v/>
      </c>
      <c r="J695">
        <f>IF(F695&gt;=I695,"Action",IF(F695&gt;=H695,"Alert","Pass"))</f>
        <v/>
      </c>
      <c r="K695" s="4">
        <f>DATE(YEAR(B695),MONTH(B695),1)</f>
        <v/>
      </c>
    </row>
    <row r="696">
      <c r="A696" t="inlineStr">
        <is>
          <t>EM000695</t>
        </is>
      </c>
      <c r="B696" s="7" t="n">
        <v>46077</v>
      </c>
      <c r="C696" t="inlineStr">
        <is>
          <t>CR-201</t>
        </is>
      </c>
      <c r="D696" t="inlineStr">
        <is>
          <t>ISO 8</t>
        </is>
      </c>
      <c r="E696" t="inlineStr">
        <is>
          <t>Compressed air</t>
        </is>
      </c>
      <c r="F696" t="n">
        <v>0</v>
      </c>
      <c r="G696" t="inlineStr">
        <is>
          <t>Tech A</t>
        </is>
      </c>
      <c r="H696">
        <f>INDEX(Limits!$B$2:$B$5,MATCH(E696,Limits!$A$2:$A$5,0))</f>
        <v/>
      </c>
      <c r="I696">
        <f>INDEX(Limits!$C$2:$C$5,MATCH(E696,Limits!$A$2:$A$5,0))</f>
        <v/>
      </c>
      <c r="J696">
        <f>IF(F696&gt;=I696,"Action",IF(F696&gt;=H696,"Alert","Pass"))</f>
        <v/>
      </c>
      <c r="K696" s="4">
        <f>DATE(YEAR(B696),MONTH(B696),1)</f>
        <v/>
      </c>
    </row>
    <row r="697">
      <c r="A697" t="inlineStr">
        <is>
          <t>EM000696</t>
        </is>
      </c>
      <c r="B697" s="7" t="n">
        <v>46077</v>
      </c>
      <c r="C697" t="inlineStr">
        <is>
          <t>CR-201</t>
        </is>
      </c>
      <c r="D697" t="inlineStr">
        <is>
          <t>ISO 8</t>
        </is>
      </c>
      <c r="E697" t="inlineStr">
        <is>
          <t>Personnel glove</t>
        </is>
      </c>
      <c r="F697" t="n">
        <v>0</v>
      </c>
      <c r="G697" t="inlineStr">
        <is>
          <t>Tech D</t>
        </is>
      </c>
      <c r="H697">
        <f>INDEX(Limits!$B$2:$B$5,MATCH(E697,Limits!$A$2:$A$5,0))</f>
        <v/>
      </c>
      <c r="I697">
        <f>INDEX(Limits!$C$2:$C$5,MATCH(E697,Limits!$A$2:$A$5,0))</f>
        <v/>
      </c>
      <c r="J697">
        <f>IF(F697&gt;=I697,"Action",IF(F697&gt;=H697,"Alert","Pass"))</f>
        <v/>
      </c>
      <c r="K697" s="4">
        <f>DATE(YEAR(B697),MONTH(B697),1)</f>
        <v/>
      </c>
    </row>
    <row r="698">
      <c r="A698" t="inlineStr">
        <is>
          <t>EM000697</t>
        </is>
      </c>
      <c r="B698" s="7" t="n">
        <v>46077</v>
      </c>
      <c r="C698" t="inlineStr">
        <is>
          <t>CR-202</t>
        </is>
      </c>
      <c r="D698" t="inlineStr">
        <is>
          <t>ISO 8</t>
        </is>
      </c>
      <c r="E698" t="inlineStr">
        <is>
          <t>Active air</t>
        </is>
      </c>
      <c r="F698" t="n">
        <v>1</v>
      </c>
      <c r="G698" t="inlineStr">
        <is>
          <t>Tech A</t>
        </is>
      </c>
      <c r="H698">
        <f>INDEX(Limits!$B$2:$B$5,MATCH(E698,Limits!$A$2:$A$5,0))</f>
        <v/>
      </c>
      <c r="I698">
        <f>INDEX(Limits!$C$2:$C$5,MATCH(E698,Limits!$A$2:$A$5,0))</f>
        <v/>
      </c>
      <c r="J698">
        <f>IF(F698&gt;=I698,"Action",IF(F698&gt;=H698,"Alert","Pass"))</f>
        <v/>
      </c>
      <c r="K698" s="4">
        <f>DATE(YEAR(B698),MONTH(B698),1)</f>
        <v/>
      </c>
    </row>
    <row r="699">
      <c r="A699" t="inlineStr">
        <is>
          <t>EM000698</t>
        </is>
      </c>
      <c r="B699" s="7" t="n">
        <v>46077</v>
      </c>
      <c r="C699" t="inlineStr">
        <is>
          <t>CR-202</t>
        </is>
      </c>
      <c r="D699" t="inlineStr">
        <is>
          <t>ISO 8</t>
        </is>
      </c>
      <c r="E699" t="inlineStr">
        <is>
          <t>Surface contact</t>
        </is>
      </c>
      <c r="F699" t="n">
        <v>1</v>
      </c>
      <c r="G699" t="inlineStr">
        <is>
          <t>Tech C</t>
        </is>
      </c>
      <c r="H699">
        <f>INDEX(Limits!$B$2:$B$5,MATCH(E699,Limits!$A$2:$A$5,0))</f>
        <v/>
      </c>
      <c r="I699">
        <f>INDEX(Limits!$C$2:$C$5,MATCH(E699,Limits!$A$2:$A$5,0))</f>
        <v/>
      </c>
      <c r="J699">
        <f>IF(F699&gt;=I699,"Action",IF(F699&gt;=H699,"Alert","Pass"))</f>
        <v/>
      </c>
      <c r="K699" s="4">
        <f>DATE(YEAR(B699),MONTH(B699),1)</f>
        <v/>
      </c>
    </row>
    <row r="700">
      <c r="A700" t="inlineStr">
        <is>
          <t>EM000699</t>
        </is>
      </c>
      <c r="B700" s="7" t="n">
        <v>46077</v>
      </c>
      <c r="C700" t="inlineStr">
        <is>
          <t>CR-202</t>
        </is>
      </c>
      <c r="D700" t="inlineStr">
        <is>
          <t>ISO 8</t>
        </is>
      </c>
      <c r="E700" t="inlineStr">
        <is>
          <t>Compressed air</t>
        </is>
      </c>
      <c r="F700" t="n">
        <v>0</v>
      </c>
      <c r="G700" t="inlineStr">
        <is>
          <t>Tech C</t>
        </is>
      </c>
      <c r="H700">
        <f>INDEX(Limits!$B$2:$B$5,MATCH(E700,Limits!$A$2:$A$5,0))</f>
        <v/>
      </c>
      <c r="I700">
        <f>INDEX(Limits!$C$2:$C$5,MATCH(E700,Limits!$A$2:$A$5,0))</f>
        <v/>
      </c>
      <c r="J700">
        <f>IF(F700&gt;=I700,"Action",IF(F700&gt;=H700,"Alert","Pass"))</f>
        <v/>
      </c>
      <c r="K700" s="4">
        <f>DATE(YEAR(B700),MONTH(B700),1)</f>
        <v/>
      </c>
    </row>
    <row r="701">
      <c r="A701" t="inlineStr">
        <is>
          <t>EM000700</t>
        </is>
      </c>
      <c r="B701" s="7" t="n">
        <v>46077</v>
      </c>
      <c r="C701" t="inlineStr">
        <is>
          <t>CR-202</t>
        </is>
      </c>
      <c r="D701" t="inlineStr">
        <is>
          <t>ISO 8</t>
        </is>
      </c>
      <c r="E701" t="inlineStr">
        <is>
          <t>Personnel glove</t>
        </is>
      </c>
      <c r="F701" t="n">
        <v>0</v>
      </c>
      <c r="G701" t="inlineStr">
        <is>
          <t>Tech C</t>
        </is>
      </c>
      <c r="H701">
        <f>INDEX(Limits!$B$2:$B$5,MATCH(E701,Limits!$A$2:$A$5,0))</f>
        <v/>
      </c>
      <c r="I701">
        <f>INDEX(Limits!$C$2:$C$5,MATCH(E701,Limits!$A$2:$A$5,0))</f>
        <v/>
      </c>
      <c r="J701">
        <f>IF(F701&gt;=I701,"Action",IF(F701&gt;=H701,"Alert","Pass"))</f>
        <v/>
      </c>
      <c r="K701" s="4">
        <f>DATE(YEAR(B701),MONTH(B701),1)</f>
        <v/>
      </c>
    </row>
    <row r="702">
      <c r="A702" t="inlineStr">
        <is>
          <t>EM000701</t>
        </is>
      </c>
      <c r="B702" s="7" t="n">
        <v>46077</v>
      </c>
      <c r="C702" t="inlineStr">
        <is>
          <t>Gowning</t>
        </is>
      </c>
      <c r="D702" t="inlineStr">
        <is>
          <t>ISO 8</t>
        </is>
      </c>
      <c r="E702" t="inlineStr">
        <is>
          <t>Active air</t>
        </is>
      </c>
      <c r="F702" t="n">
        <v>3</v>
      </c>
      <c r="G702" t="inlineStr">
        <is>
          <t>Tech D</t>
        </is>
      </c>
      <c r="H702">
        <f>INDEX(Limits!$B$2:$B$5,MATCH(E702,Limits!$A$2:$A$5,0))</f>
        <v/>
      </c>
      <c r="I702">
        <f>INDEX(Limits!$C$2:$C$5,MATCH(E702,Limits!$A$2:$A$5,0))</f>
        <v/>
      </c>
      <c r="J702">
        <f>IF(F702&gt;=I702,"Action",IF(F702&gt;=H702,"Alert","Pass"))</f>
        <v/>
      </c>
      <c r="K702" s="4">
        <f>DATE(YEAR(B702),MONTH(B702),1)</f>
        <v/>
      </c>
    </row>
    <row r="703">
      <c r="A703" t="inlineStr">
        <is>
          <t>EM000702</t>
        </is>
      </c>
      <c r="B703" s="7" t="n">
        <v>46077</v>
      </c>
      <c r="C703" t="inlineStr">
        <is>
          <t>Gowning</t>
        </is>
      </c>
      <c r="D703" t="inlineStr">
        <is>
          <t>ISO 8</t>
        </is>
      </c>
      <c r="E703" t="inlineStr">
        <is>
          <t>Surface contact</t>
        </is>
      </c>
      <c r="F703" t="n">
        <v>0</v>
      </c>
      <c r="G703" t="inlineStr">
        <is>
          <t>Tech C</t>
        </is>
      </c>
      <c r="H703">
        <f>INDEX(Limits!$B$2:$B$5,MATCH(E703,Limits!$A$2:$A$5,0))</f>
        <v/>
      </c>
      <c r="I703">
        <f>INDEX(Limits!$C$2:$C$5,MATCH(E703,Limits!$A$2:$A$5,0))</f>
        <v/>
      </c>
      <c r="J703">
        <f>IF(F703&gt;=I703,"Action",IF(F703&gt;=H703,"Alert","Pass"))</f>
        <v/>
      </c>
      <c r="K703" s="4">
        <f>DATE(YEAR(B703),MONTH(B703),1)</f>
        <v/>
      </c>
    </row>
    <row r="704">
      <c r="A704" t="inlineStr">
        <is>
          <t>EM000703</t>
        </is>
      </c>
      <c r="B704" s="7" t="n">
        <v>46077</v>
      </c>
      <c r="C704" t="inlineStr">
        <is>
          <t>Gowning</t>
        </is>
      </c>
      <c r="D704" t="inlineStr">
        <is>
          <t>ISO 8</t>
        </is>
      </c>
      <c r="E704" t="inlineStr">
        <is>
          <t>Personnel glove</t>
        </is>
      </c>
      <c r="F704" t="n">
        <v>0</v>
      </c>
      <c r="G704" t="inlineStr">
        <is>
          <t>Tech B</t>
        </is>
      </c>
      <c r="H704">
        <f>INDEX(Limits!$B$2:$B$5,MATCH(E704,Limits!$A$2:$A$5,0))</f>
        <v/>
      </c>
      <c r="I704">
        <f>INDEX(Limits!$C$2:$C$5,MATCH(E704,Limits!$A$2:$A$5,0))</f>
        <v/>
      </c>
      <c r="J704">
        <f>IF(F704&gt;=I704,"Action",IF(F704&gt;=H704,"Alert","Pass"))</f>
        <v/>
      </c>
      <c r="K704" s="4">
        <f>DATE(YEAR(B704),MONTH(B704),1)</f>
        <v/>
      </c>
    </row>
    <row r="705">
      <c r="A705" t="inlineStr">
        <is>
          <t>EM000704</t>
        </is>
      </c>
      <c r="B705" s="7" t="n">
        <v>46078</v>
      </c>
      <c r="C705" t="inlineStr">
        <is>
          <t>CR-101</t>
        </is>
      </c>
      <c r="D705" t="inlineStr">
        <is>
          <t>ISO 7</t>
        </is>
      </c>
      <c r="E705" t="inlineStr">
        <is>
          <t>Active air</t>
        </is>
      </c>
      <c r="F705" t="n">
        <v>2</v>
      </c>
      <c r="G705" t="inlineStr">
        <is>
          <t>Tech D</t>
        </is>
      </c>
      <c r="H705">
        <f>INDEX(Limits!$B$2:$B$5,MATCH(E705,Limits!$A$2:$A$5,0))</f>
        <v/>
      </c>
      <c r="I705">
        <f>INDEX(Limits!$C$2:$C$5,MATCH(E705,Limits!$A$2:$A$5,0))</f>
        <v/>
      </c>
      <c r="J705">
        <f>IF(F705&gt;=I705,"Action",IF(F705&gt;=H705,"Alert","Pass"))</f>
        <v/>
      </c>
      <c r="K705" s="4">
        <f>DATE(YEAR(B705),MONTH(B705),1)</f>
        <v/>
      </c>
    </row>
    <row r="706">
      <c r="A706" t="inlineStr">
        <is>
          <t>EM000705</t>
        </is>
      </c>
      <c r="B706" s="7" t="n">
        <v>46078</v>
      </c>
      <c r="C706" t="inlineStr">
        <is>
          <t>CR-101</t>
        </is>
      </c>
      <c r="D706" t="inlineStr">
        <is>
          <t>ISO 7</t>
        </is>
      </c>
      <c r="E706" t="inlineStr">
        <is>
          <t>Surface contact</t>
        </is>
      </c>
      <c r="F706" t="n">
        <v>0</v>
      </c>
      <c r="G706" t="inlineStr">
        <is>
          <t>Tech D</t>
        </is>
      </c>
      <c r="H706">
        <f>INDEX(Limits!$B$2:$B$5,MATCH(E706,Limits!$A$2:$A$5,0))</f>
        <v/>
      </c>
      <c r="I706">
        <f>INDEX(Limits!$C$2:$C$5,MATCH(E706,Limits!$A$2:$A$5,0))</f>
        <v/>
      </c>
      <c r="J706">
        <f>IF(F706&gt;=I706,"Action",IF(F706&gt;=H706,"Alert","Pass"))</f>
        <v/>
      </c>
      <c r="K706" s="4">
        <f>DATE(YEAR(B706),MONTH(B706),1)</f>
        <v/>
      </c>
    </row>
    <row r="707">
      <c r="A707" t="inlineStr">
        <is>
          <t>EM000706</t>
        </is>
      </c>
      <c r="B707" s="7" t="n">
        <v>46078</v>
      </c>
      <c r="C707" t="inlineStr">
        <is>
          <t>CR-101</t>
        </is>
      </c>
      <c r="D707" t="inlineStr">
        <is>
          <t>ISO 7</t>
        </is>
      </c>
      <c r="E707" t="inlineStr">
        <is>
          <t>Compressed air</t>
        </is>
      </c>
      <c r="F707" t="n">
        <v>0</v>
      </c>
      <c r="G707" t="inlineStr">
        <is>
          <t>Tech C</t>
        </is>
      </c>
      <c r="H707">
        <f>INDEX(Limits!$B$2:$B$5,MATCH(E707,Limits!$A$2:$A$5,0))</f>
        <v/>
      </c>
      <c r="I707">
        <f>INDEX(Limits!$C$2:$C$5,MATCH(E707,Limits!$A$2:$A$5,0))</f>
        <v/>
      </c>
      <c r="J707">
        <f>IF(F707&gt;=I707,"Action",IF(F707&gt;=H707,"Alert","Pass"))</f>
        <v/>
      </c>
      <c r="K707" s="4">
        <f>DATE(YEAR(B707),MONTH(B707),1)</f>
        <v/>
      </c>
    </row>
    <row r="708">
      <c r="A708" t="inlineStr">
        <is>
          <t>EM000707</t>
        </is>
      </c>
      <c r="B708" s="7" t="n">
        <v>46078</v>
      </c>
      <c r="C708" t="inlineStr">
        <is>
          <t>CR-101</t>
        </is>
      </c>
      <c r="D708" t="inlineStr">
        <is>
          <t>ISO 7</t>
        </is>
      </c>
      <c r="E708" t="inlineStr">
        <is>
          <t>Personnel glove</t>
        </is>
      </c>
      <c r="F708" t="n">
        <v>0</v>
      </c>
      <c r="G708" t="inlineStr">
        <is>
          <t>Tech A</t>
        </is>
      </c>
      <c r="H708">
        <f>INDEX(Limits!$B$2:$B$5,MATCH(E708,Limits!$A$2:$A$5,0))</f>
        <v/>
      </c>
      <c r="I708">
        <f>INDEX(Limits!$C$2:$C$5,MATCH(E708,Limits!$A$2:$A$5,0))</f>
        <v/>
      </c>
      <c r="J708">
        <f>IF(F708&gt;=I708,"Action",IF(F708&gt;=H708,"Alert","Pass"))</f>
        <v/>
      </c>
      <c r="K708" s="4">
        <f>DATE(YEAR(B708),MONTH(B708),1)</f>
        <v/>
      </c>
    </row>
    <row r="709">
      <c r="A709" t="inlineStr">
        <is>
          <t>EM000708</t>
        </is>
      </c>
      <c r="B709" s="7" t="n">
        <v>46078</v>
      </c>
      <c r="C709" t="inlineStr">
        <is>
          <t>CR-102</t>
        </is>
      </c>
      <c r="D709" t="inlineStr">
        <is>
          <t>ISO 7</t>
        </is>
      </c>
      <c r="E709" t="inlineStr">
        <is>
          <t>Active air</t>
        </is>
      </c>
      <c r="F709" t="n">
        <v>1</v>
      </c>
      <c r="G709" t="inlineStr">
        <is>
          <t>Tech C</t>
        </is>
      </c>
      <c r="H709">
        <f>INDEX(Limits!$B$2:$B$5,MATCH(E709,Limits!$A$2:$A$5,0))</f>
        <v/>
      </c>
      <c r="I709">
        <f>INDEX(Limits!$C$2:$C$5,MATCH(E709,Limits!$A$2:$A$5,0))</f>
        <v/>
      </c>
      <c r="J709">
        <f>IF(F709&gt;=I709,"Action",IF(F709&gt;=H709,"Alert","Pass"))</f>
        <v/>
      </c>
      <c r="K709" s="4">
        <f>DATE(YEAR(B709),MONTH(B709),1)</f>
        <v/>
      </c>
    </row>
    <row r="710">
      <c r="A710" t="inlineStr">
        <is>
          <t>EM000709</t>
        </is>
      </c>
      <c r="B710" s="7" t="n">
        <v>46078</v>
      </c>
      <c r="C710" t="inlineStr">
        <is>
          <t>CR-102</t>
        </is>
      </c>
      <c r="D710" t="inlineStr">
        <is>
          <t>ISO 7</t>
        </is>
      </c>
      <c r="E710" t="inlineStr">
        <is>
          <t>Surface contact</t>
        </is>
      </c>
      <c r="F710" t="n">
        <v>0</v>
      </c>
      <c r="G710" t="inlineStr">
        <is>
          <t>Tech A</t>
        </is>
      </c>
      <c r="H710">
        <f>INDEX(Limits!$B$2:$B$5,MATCH(E710,Limits!$A$2:$A$5,0))</f>
        <v/>
      </c>
      <c r="I710">
        <f>INDEX(Limits!$C$2:$C$5,MATCH(E710,Limits!$A$2:$A$5,0))</f>
        <v/>
      </c>
      <c r="J710">
        <f>IF(F710&gt;=I710,"Action",IF(F710&gt;=H710,"Alert","Pass"))</f>
        <v/>
      </c>
      <c r="K710" s="4">
        <f>DATE(YEAR(B710),MONTH(B710),1)</f>
        <v/>
      </c>
    </row>
    <row r="711">
      <c r="A711" t="inlineStr">
        <is>
          <t>EM000710</t>
        </is>
      </c>
      <c r="B711" s="7" t="n">
        <v>46078</v>
      </c>
      <c r="C711" t="inlineStr">
        <is>
          <t>CR-102</t>
        </is>
      </c>
      <c r="D711" t="inlineStr">
        <is>
          <t>ISO 7</t>
        </is>
      </c>
      <c r="E711" t="inlineStr">
        <is>
          <t>Compressed air</t>
        </is>
      </c>
      <c r="F711" t="n">
        <v>0</v>
      </c>
      <c r="G711" t="inlineStr">
        <is>
          <t>Tech D</t>
        </is>
      </c>
      <c r="H711">
        <f>INDEX(Limits!$B$2:$B$5,MATCH(E711,Limits!$A$2:$A$5,0))</f>
        <v/>
      </c>
      <c r="I711">
        <f>INDEX(Limits!$C$2:$C$5,MATCH(E711,Limits!$A$2:$A$5,0))</f>
        <v/>
      </c>
      <c r="J711">
        <f>IF(F711&gt;=I711,"Action",IF(F711&gt;=H711,"Alert","Pass"))</f>
        <v/>
      </c>
      <c r="K711" s="4">
        <f>DATE(YEAR(B711),MONTH(B711),1)</f>
        <v/>
      </c>
    </row>
    <row r="712">
      <c r="A712" t="inlineStr">
        <is>
          <t>EM000711</t>
        </is>
      </c>
      <c r="B712" s="7" t="n">
        <v>46078</v>
      </c>
      <c r="C712" t="inlineStr">
        <is>
          <t>CR-102</t>
        </is>
      </c>
      <c r="D712" t="inlineStr">
        <is>
          <t>ISO 7</t>
        </is>
      </c>
      <c r="E712" t="inlineStr">
        <is>
          <t>Personnel glove</t>
        </is>
      </c>
      <c r="F712" t="n">
        <v>0</v>
      </c>
      <c r="G712" t="inlineStr">
        <is>
          <t>Tech A</t>
        </is>
      </c>
      <c r="H712">
        <f>INDEX(Limits!$B$2:$B$5,MATCH(E712,Limits!$A$2:$A$5,0))</f>
        <v/>
      </c>
      <c r="I712">
        <f>INDEX(Limits!$C$2:$C$5,MATCH(E712,Limits!$A$2:$A$5,0))</f>
        <v/>
      </c>
      <c r="J712">
        <f>IF(F712&gt;=I712,"Action",IF(F712&gt;=H712,"Alert","Pass"))</f>
        <v/>
      </c>
      <c r="K712" s="4">
        <f>DATE(YEAR(B712),MONTH(B712),1)</f>
        <v/>
      </c>
    </row>
    <row r="713">
      <c r="A713" t="inlineStr">
        <is>
          <t>EM000712</t>
        </is>
      </c>
      <c r="B713" s="7" t="n">
        <v>46078</v>
      </c>
      <c r="C713" t="inlineStr">
        <is>
          <t>CR-201</t>
        </is>
      </c>
      <c r="D713" t="inlineStr">
        <is>
          <t>ISO 8</t>
        </is>
      </c>
      <c r="E713" t="inlineStr">
        <is>
          <t>Active air</t>
        </is>
      </c>
      <c r="F713" t="n">
        <v>2</v>
      </c>
      <c r="G713" t="inlineStr">
        <is>
          <t>Tech C</t>
        </is>
      </c>
      <c r="H713">
        <f>INDEX(Limits!$B$2:$B$5,MATCH(E713,Limits!$A$2:$A$5,0))</f>
        <v/>
      </c>
      <c r="I713">
        <f>INDEX(Limits!$C$2:$C$5,MATCH(E713,Limits!$A$2:$A$5,0))</f>
        <v/>
      </c>
      <c r="J713">
        <f>IF(F713&gt;=I713,"Action",IF(F713&gt;=H713,"Alert","Pass"))</f>
        <v/>
      </c>
      <c r="K713" s="4">
        <f>DATE(YEAR(B713),MONTH(B713),1)</f>
        <v/>
      </c>
    </row>
    <row r="714">
      <c r="A714" t="inlineStr">
        <is>
          <t>EM000713</t>
        </is>
      </c>
      <c r="B714" s="7" t="n">
        <v>46078</v>
      </c>
      <c r="C714" t="inlineStr">
        <is>
          <t>CR-201</t>
        </is>
      </c>
      <c r="D714" t="inlineStr">
        <is>
          <t>ISO 8</t>
        </is>
      </c>
      <c r="E714" t="inlineStr">
        <is>
          <t>Surface contact</t>
        </is>
      </c>
      <c r="F714" t="n">
        <v>2</v>
      </c>
      <c r="G714" t="inlineStr">
        <is>
          <t>Tech A</t>
        </is>
      </c>
      <c r="H714">
        <f>INDEX(Limits!$B$2:$B$5,MATCH(E714,Limits!$A$2:$A$5,0))</f>
        <v/>
      </c>
      <c r="I714">
        <f>INDEX(Limits!$C$2:$C$5,MATCH(E714,Limits!$A$2:$A$5,0))</f>
        <v/>
      </c>
      <c r="J714">
        <f>IF(F714&gt;=I714,"Action",IF(F714&gt;=H714,"Alert","Pass"))</f>
        <v/>
      </c>
      <c r="K714" s="4">
        <f>DATE(YEAR(B714),MONTH(B714),1)</f>
        <v/>
      </c>
    </row>
    <row r="715">
      <c r="A715" t="inlineStr">
        <is>
          <t>EM000714</t>
        </is>
      </c>
      <c r="B715" s="7" t="n">
        <v>46078</v>
      </c>
      <c r="C715" t="inlineStr">
        <is>
          <t>CR-201</t>
        </is>
      </c>
      <c r="D715" t="inlineStr">
        <is>
          <t>ISO 8</t>
        </is>
      </c>
      <c r="E715" t="inlineStr">
        <is>
          <t>Compressed air</t>
        </is>
      </c>
      <c r="F715" t="n">
        <v>0</v>
      </c>
      <c r="G715" t="inlineStr">
        <is>
          <t>Tech A</t>
        </is>
      </c>
      <c r="H715">
        <f>INDEX(Limits!$B$2:$B$5,MATCH(E715,Limits!$A$2:$A$5,0))</f>
        <v/>
      </c>
      <c r="I715">
        <f>INDEX(Limits!$C$2:$C$5,MATCH(E715,Limits!$A$2:$A$5,0))</f>
        <v/>
      </c>
      <c r="J715">
        <f>IF(F715&gt;=I715,"Action",IF(F715&gt;=H715,"Alert","Pass"))</f>
        <v/>
      </c>
      <c r="K715" s="4">
        <f>DATE(YEAR(B715),MONTH(B715),1)</f>
        <v/>
      </c>
    </row>
    <row r="716">
      <c r="A716" t="inlineStr">
        <is>
          <t>EM000715</t>
        </is>
      </c>
      <c r="B716" s="7" t="n">
        <v>46078</v>
      </c>
      <c r="C716" t="inlineStr">
        <is>
          <t>CR-201</t>
        </is>
      </c>
      <c r="D716" t="inlineStr">
        <is>
          <t>ISO 8</t>
        </is>
      </c>
      <c r="E716" t="inlineStr">
        <is>
          <t>Personnel glove</t>
        </is>
      </c>
      <c r="F716" t="n">
        <v>1</v>
      </c>
      <c r="G716" t="inlineStr">
        <is>
          <t>Tech A</t>
        </is>
      </c>
      <c r="H716">
        <f>INDEX(Limits!$B$2:$B$5,MATCH(E716,Limits!$A$2:$A$5,0))</f>
        <v/>
      </c>
      <c r="I716">
        <f>INDEX(Limits!$C$2:$C$5,MATCH(E716,Limits!$A$2:$A$5,0))</f>
        <v/>
      </c>
      <c r="J716">
        <f>IF(F716&gt;=I716,"Action",IF(F716&gt;=H716,"Alert","Pass"))</f>
        <v/>
      </c>
      <c r="K716" s="4">
        <f>DATE(YEAR(B716),MONTH(B716),1)</f>
        <v/>
      </c>
    </row>
    <row r="717">
      <c r="A717" t="inlineStr">
        <is>
          <t>EM000716</t>
        </is>
      </c>
      <c r="B717" s="7" t="n">
        <v>46078</v>
      </c>
      <c r="C717" t="inlineStr">
        <is>
          <t>CR-202</t>
        </is>
      </c>
      <c r="D717" t="inlineStr">
        <is>
          <t>ISO 8</t>
        </is>
      </c>
      <c r="E717" t="inlineStr">
        <is>
          <t>Active air</t>
        </is>
      </c>
      <c r="F717" t="n">
        <v>5</v>
      </c>
      <c r="G717" t="inlineStr">
        <is>
          <t>Tech A</t>
        </is>
      </c>
      <c r="H717">
        <f>INDEX(Limits!$B$2:$B$5,MATCH(E717,Limits!$A$2:$A$5,0))</f>
        <v/>
      </c>
      <c r="I717">
        <f>INDEX(Limits!$C$2:$C$5,MATCH(E717,Limits!$A$2:$A$5,0))</f>
        <v/>
      </c>
      <c r="J717">
        <f>IF(F717&gt;=I717,"Action",IF(F717&gt;=H717,"Alert","Pass"))</f>
        <v/>
      </c>
      <c r="K717" s="4">
        <f>DATE(YEAR(B717),MONTH(B717),1)</f>
        <v/>
      </c>
    </row>
    <row r="718">
      <c r="A718" t="inlineStr">
        <is>
          <t>EM000717</t>
        </is>
      </c>
      <c r="B718" s="7" t="n">
        <v>46078</v>
      </c>
      <c r="C718" t="inlineStr">
        <is>
          <t>CR-202</t>
        </is>
      </c>
      <c r="D718" t="inlineStr">
        <is>
          <t>ISO 8</t>
        </is>
      </c>
      <c r="E718" t="inlineStr">
        <is>
          <t>Surface contact</t>
        </is>
      </c>
      <c r="F718" t="n">
        <v>0</v>
      </c>
      <c r="G718" t="inlineStr">
        <is>
          <t>Tech B</t>
        </is>
      </c>
      <c r="H718">
        <f>INDEX(Limits!$B$2:$B$5,MATCH(E718,Limits!$A$2:$A$5,0))</f>
        <v/>
      </c>
      <c r="I718">
        <f>INDEX(Limits!$C$2:$C$5,MATCH(E718,Limits!$A$2:$A$5,0))</f>
        <v/>
      </c>
      <c r="J718">
        <f>IF(F718&gt;=I718,"Action",IF(F718&gt;=H718,"Alert","Pass"))</f>
        <v/>
      </c>
      <c r="K718" s="4">
        <f>DATE(YEAR(B718),MONTH(B718),1)</f>
        <v/>
      </c>
    </row>
    <row r="719">
      <c r="A719" t="inlineStr">
        <is>
          <t>EM000718</t>
        </is>
      </c>
      <c r="B719" s="7" t="n">
        <v>46078</v>
      </c>
      <c r="C719" t="inlineStr">
        <is>
          <t>CR-202</t>
        </is>
      </c>
      <c r="D719" t="inlineStr">
        <is>
          <t>ISO 8</t>
        </is>
      </c>
      <c r="E719" t="inlineStr">
        <is>
          <t>Compressed air</t>
        </is>
      </c>
      <c r="F719" t="n">
        <v>0</v>
      </c>
      <c r="G719" t="inlineStr">
        <is>
          <t>Tech B</t>
        </is>
      </c>
      <c r="H719">
        <f>INDEX(Limits!$B$2:$B$5,MATCH(E719,Limits!$A$2:$A$5,0))</f>
        <v/>
      </c>
      <c r="I719">
        <f>INDEX(Limits!$C$2:$C$5,MATCH(E719,Limits!$A$2:$A$5,0))</f>
        <v/>
      </c>
      <c r="J719">
        <f>IF(F719&gt;=I719,"Action",IF(F719&gt;=H719,"Alert","Pass"))</f>
        <v/>
      </c>
      <c r="K719" s="4">
        <f>DATE(YEAR(B719),MONTH(B719),1)</f>
        <v/>
      </c>
    </row>
    <row r="720">
      <c r="A720" t="inlineStr">
        <is>
          <t>EM000719</t>
        </is>
      </c>
      <c r="B720" s="7" t="n">
        <v>46078</v>
      </c>
      <c r="C720" t="inlineStr">
        <is>
          <t>CR-202</t>
        </is>
      </c>
      <c r="D720" t="inlineStr">
        <is>
          <t>ISO 8</t>
        </is>
      </c>
      <c r="E720" t="inlineStr">
        <is>
          <t>Personnel glove</t>
        </is>
      </c>
      <c r="F720" t="n">
        <v>0</v>
      </c>
      <c r="G720" t="inlineStr">
        <is>
          <t>Tech B</t>
        </is>
      </c>
      <c r="H720">
        <f>INDEX(Limits!$B$2:$B$5,MATCH(E720,Limits!$A$2:$A$5,0))</f>
        <v/>
      </c>
      <c r="I720">
        <f>INDEX(Limits!$C$2:$C$5,MATCH(E720,Limits!$A$2:$A$5,0))</f>
        <v/>
      </c>
      <c r="J720">
        <f>IF(F720&gt;=I720,"Action",IF(F720&gt;=H720,"Alert","Pass"))</f>
        <v/>
      </c>
      <c r="K720" s="4">
        <f>DATE(YEAR(B720),MONTH(B720),1)</f>
        <v/>
      </c>
    </row>
    <row r="721">
      <c r="A721" t="inlineStr">
        <is>
          <t>EM000720</t>
        </is>
      </c>
      <c r="B721" s="7" t="n">
        <v>46078</v>
      </c>
      <c r="C721" t="inlineStr">
        <is>
          <t>Gowning</t>
        </is>
      </c>
      <c r="D721" t="inlineStr">
        <is>
          <t>ISO 8</t>
        </is>
      </c>
      <c r="E721" t="inlineStr">
        <is>
          <t>Active air</t>
        </is>
      </c>
      <c r="F721" t="n">
        <v>3</v>
      </c>
      <c r="G721" t="inlineStr">
        <is>
          <t>Tech B</t>
        </is>
      </c>
      <c r="H721">
        <f>INDEX(Limits!$B$2:$B$5,MATCH(E721,Limits!$A$2:$A$5,0))</f>
        <v/>
      </c>
      <c r="I721">
        <f>INDEX(Limits!$C$2:$C$5,MATCH(E721,Limits!$A$2:$A$5,0))</f>
        <v/>
      </c>
      <c r="J721">
        <f>IF(F721&gt;=I721,"Action",IF(F721&gt;=H721,"Alert","Pass"))</f>
        <v/>
      </c>
      <c r="K721" s="4">
        <f>DATE(YEAR(B721),MONTH(B721),1)</f>
        <v/>
      </c>
    </row>
    <row r="722">
      <c r="A722" t="inlineStr">
        <is>
          <t>EM000721</t>
        </is>
      </c>
      <c r="B722" s="7" t="n">
        <v>46078</v>
      </c>
      <c r="C722" t="inlineStr">
        <is>
          <t>Gowning</t>
        </is>
      </c>
      <c r="D722" t="inlineStr">
        <is>
          <t>ISO 8</t>
        </is>
      </c>
      <c r="E722" t="inlineStr">
        <is>
          <t>Surface contact</t>
        </is>
      </c>
      <c r="F722" t="n">
        <v>1</v>
      </c>
      <c r="G722" t="inlineStr">
        <is>
          <t>Tech B</t>
        </is>
      </c>
      <c r="H722">
        <f>INDEX(Limits!$B$2:$B$5,MATCH(E722,Limits!$A$2:$A$5,0))</f>
        <v/>
      </c>
      <c r="I722">
        <f>INDEX(Limits!$C$2:$C$5,MATCH(E722,Limits!$A$2:$A$5,0))</f>
        <v/>
      </c>
      <c r="J722">
        <f>IF(F722&gt;=I722,"Action",IF(F722&gt;=H722,"Alert","Pass"))</f>
        <v/>
      </c>
      <c r="K722" s="4">
        <f>DATE(YEAR(B722),MONTH(B722),1)</f>
        <v/>
      </c>
    </row>
    <row r="723">
      <c r="A723" t="inlineStr">
        <is>
          <t>EM000722</t>
        </is>
      </c>
      <c r="B723" s="7" t="n">
        <v>46078</v>
      </c>
      <c r="C723" t="inlineStr">
        <is>
          <t>Gowning</t>
        </is>
      </c>
      <c r="D723" t="inlineStr">
        <is>
          <t>ISO 8</t>
        </is>
      </c>
      <c r="E723" t="inlineStr">
        <is>
          <t>Personnel glove</t>
        </is>
      </c>
      <c r="F723" t="n">
        <v>0</v>
      </c>
      <c r="G723" t="inlineStr">
        <is>
          <t>Tech D</t>
        </is>
      </c>
      <c r="H723">
        <f>INDEX(Limits!$B$2:$B$5,MATCH(E723,Limits!$A$2:$A$5,0))</f>
        <v/>
      </c>
      <c r="I723">
        <f>INDEX(Limits!$C$2:$C$5,MATCH(E723,Limits!$A$2:$A$5,0))</f>
        <v/>
      </c>
      <c r="J723">
        <f>IF(F723&gt;=I723,"Action",IF(F723&gt;=H723,"Alert","Pass"))</f>
        <v/>
      </c>
      <c r="K723" s="4">
        <f>DATE(YEAR(B723),MONTH(B723),1)</f>
        <v/>
      </c>
    </row>
    <row r="724">
      <c r="A724" t="inlineStr">
        <is>
          <t>EM000723</t>
        </is>
      </c>
      <c r="B724" s="7" t="n">
        <v>46079</v>
      </c>
      <c r="C724" t="inlineStr">
        <is>
          <t>CR-101</t>
        </is>
      </c>
      <c r="D724" t="inlineStr">
        <is>
          <t>ISO 7</t>
        </is>
      </c>
      <c r="E724" t="inlineStr">
        <is>
          <t>Active air</t>
        </is>
      </c>
      <c r="F724" t="n">
        <v>0</v>
      </c>
      <c r="G724" t="inlineStr">
        <is>
          <t>Tech D</t>
        </is>
      </c>
      <c r="H724">
        <f>INDEX(Limits!$B$2:$B$5,MATCH(E724,Limits!$A$2:$A$5,0))</f>
        <v/>
      </c>
      <c r="I724">
        <f>INDEX(Limits!$C$2:$C$5,MATCH(E724,Limits!$A$2:$A$5,0))</f>
        <v/>
      </c>
      <c r="J724">
        <f>IF(F724&gt;=I724,"Action",IF(F724&gt;=H724,"Alert","Pass"))</f>
        <v/>
      </c>
      <c r="K724" s="4">
        <f>DATE(YEAR(B724),MONTH(B724),1)</f>
        <v/>
      </c>
    </row>
    <row r="725">
      <c r="A725" t="inlineStr">
        <is>
          <t>EM000724</t>
        </is>
      </c>
      <c r="B725" s="7" t="n">
        <v>46079</v>
      </c>
      <c r="C725" t="inlineStr">
        <is>
          <t>CR-101</t>
        </is>
      </c>
      <c r="D725" t="inlineStr">
        <is>
          <t>ISO 7</t>
        </is>
      </c>
      <c r="E725" t="inlineStr">
        <is>
          <t>Surface contact</t>
        </is>
      </c>
      <c r="F725" t="n">
        <v>1</v>
      </c>
      <c r="G725" t="inlineStr">
        <is>
          <t>Tech A</t>
        </is>
      </c>
      <c r="H725">
        <f>INDEX(Limits!$B$2:$B$5,MATCH(E725,Limits!$A$2:$A$5,0))</f>
        <v/>
      </c>
      <c r="I725">
        <f>INDEX(Limits!$C$2:$C$5,MATCH(E725,Limits!$A$2:$A$5,0))</f>
        <v/>
      </c>
      <c r="J725">
        <f>IF(F725&gt;=I725,"Action",IF(F725&gt;=H725,"Alert","Pass"))</f>
        <v/>
      </c>
      <c r="K725" s="4">
        <f>DATE(YEAR(B725),MONTH(B725),1)</f>
        <v/>
      </c>
    </row>
    <row r="726">
      <c r="A726" t="inlineStr">
        <is>
          <t>EM000725</t>
        </is>
      </c>
      <c r="B726" s="7" t="n">
        <v>46079</v>
      </c>
      <c r="C726" t="inlineStr">
        <is>
          <t>CR-101</t>
        </is>
      </c>
      <c r="D726" t="inlineStr">
        <is>
          <t>ISO 7</t>
        </is>
      </c>
      <c r="E726" t="inlineStr">
        <is>
          <t>Compressed air</t>
        </is>
      </c>
      <c r="F726" t="n">
        <v>0</v>
      </c>
      <c r="G726" t="inlineStr">
        <is>
          <t>Tech D</t>
        </is>
      </c>
      <c r="H726">
        <f>INDEX(Limits!$B$2:$B$5,MATCH(E726,Limits!$A$2:$A$5,0))</f>
        <v/>
      </c>
      <c r="I726">
        <f>INDEX(Limits!$C$2:$C$5,MATCH(E726,Limits!$A$2:$A$5,0))</f>
        <v/>
      </c>
      <c r="J726">
        <f>IF(F726&gt;=I726,"Action",IF(F726&gt;=H726,"Alert","Pass"))</f>
        <v/>
      </c>
      <c r="K726" s="4">
        <f>DATE(YEAR(B726),MONTH(B726),1)</f>
        <v/>
      </c>
    </row>
    <row r="727">
      <c r="A727" t="inlineStr">
        <is>
          <t>EM000726</t>
        </is>
      </c>
      <c r="B727" s="7" t="n">
        <v>46079</v>
      </c>
      <c r="C727" t="inlineStr">
        <is>
          <t>CR-101</t>
        </is>
      </c>
      <c r="D727" t="inlineStr">
        <is>
          <t>ISO 7</t>
        </is>
      </c>
      <c r="E727" t="inlineStr">
        <is>
          <t>Personnel glove</t>
        </is>
      </c>
      <c r="F727" t="n">
        <v>0</v>
      </c>
      <c r="G727" t="inlineStr">
        <is>
          <t>Tech B</t>
        </is>
      </c>
      <c r="H727">
        <f>INDEX(Limits!$B$2:$B$5,MATCH(E727,Limits!$A$2:$A$5,0))</f>
        <v/>
      </c>
      <c r="I727">
        <f>INDEX(Limits!$C$2:$C$5,MATCH(E727,Limits!$A$2:$A$5,0))</f>
        <v/>
      </c>
      <c r="J727">
        <f>IF(F727&gt;=I727,"Action",IF(F727&gt;=H727,"Alert","Pass"))</f>
        <v/>
      </c>
      <c r="K727" s="4">
        <f>DATE(YEAR(B727),MONTH(B727),1)</f>
        <v/>
      </c>
    </row>
    <row r="728">
      <c r="A728" t="inlineStr">
        <is>
          <t>EM000727</t>
        </is>
      </c>
      <c r="B728" s="7" t="n">
        <v>46079</v>
      </c>
      <c r="C728" t="inlineStr">
        <is>
          <t>CR-102</t>
        </is>
      </c>
      <c r="D728" t="inlineStr">
        <is>
          <t>ISO 7</t>
        </is>
      </c>
      <c r="E728" t="inlineStr">
        <is>
          <t>Active air</t>
        </is>
      </c>
      <c r="F728" t="n">
        <v>3</v>
      </c>
      <c r="G728" t="inlineStr">
        <is>
          <t>Tech D</t>
        </is>
      </c>
      <c r="H728">
        <f>INDEX(Limits!$B$2:$B$5,MATCH(E728,Limits!$A$2:$A$5,0))</f>
        <v/>
      </c>
      <c r="I728">
        <f>INDEX(Limits!$C$2:$C$5,MATCH(E728,Limits!$A$2:$A$5,0))</f>
        <v/>
      </c>
      <c r="J728">
        <f>IF(F728&gt;=I728,"Action",IF(F728&gt;=H728,"Alert","Pass"))</f>
        <v/>
      </c>
      <c r="K728" s="4">
        <f>DATE(YEAR(B728),MONTH(B728),1)</f>
        <v/>
      </c>
    </row>
    <row r="729">
      <c r="A729" t="inlineStr">
        <is>
          <t>EM000728</t>
        </is>
      </c>
      <c r="B729" s="7" t="n">
        <v>46079</v>
      </c>
      <c r="C729" t="inlineStr">
        <is>
          <t>CR-102</t>
        </is>
      </c>
      <c r="D729" t="inlineStr">
        <is>
          <t>ISO 7</t>
        </is>
      </c>
      <c r="E729" t="inlineStr">
        <is>
          <t>Surface contact</t>
        </is>
      </c>
      <c r="F729" t="n">
        <v>2</v>
      </c>
      <c r="G729" t="inlineStr">
        <is>
          <t>Tech B</t>
        </is>
      </c>
      <c r="H729">
        <f>INDEX(Limits!$B$2:$B$5,MATCH(E729,Limits!$A$2:$A$5,0))</f>
        <v/>
      </c>
      <c r="I729">
        <f>INDEX(Limits!$C$2:$C$5,MATCH(E729,Limits!$A$2:$A$5,0))</f>
        <v/>
      </c>
      <c r="J729">
        <f>IF(F729&gt;=I729,"Action",IF(F729&gt;=H729,"Alert","Pass"))</f>
        <v/>
      </c>
      <c r="K729" s="4">
        <f>DATE(YEAR(B729),MONTH(B729),1)</f>
        <v/>
      </c>
    </row>
    <row r="730">
      <c r="A730" t="inlineStr">
        <is>
          <t>EM000729</t>
        </is>
      </c>
      <c r="B730" s="7" t="n">
        <v>46079</v>
      </c>
      <c r="C730" t="inlineStr">
        <is>
          <t>CR-102</t>
        </is>
      </c>
      <c r="D730" t="inlineStr">
        <is>
          <t>ISO 7</t>
        </is>
      </c>
      <c r="E730" t="inlineStr">
        <is>
          <t>Compressed air</t>
        </is>
      </c>
      <c r="F730" t="n">
        <v>1</v>
      </c>
      <c r="G730" t="inlineStr">
        <is>
          <t>Tech D</t>
        </is>
      </c>
      <c r="H730">
        <f>INDEX(Limits!$B$2:$B$5,MATCH(E730,Limits!$A$2:$A$5,0))</f>
        <v/>
      </c>
      <c r="I730">
        <f>INDEX(Limits!$C$2:$C$5,MATCH(E730,Limits!$A$2:$A$5,0))</f>
        <v/>
      </c>
      <c r="J730">
        <f>IF(F730&gt;=I730,"Action",IF(F730&gt;=H730,"Alert","Pass"))</f>
        <v/>
      </c>
      <c r="K730" s="4">
        <f>DATE(YEAR(B730),MONTH(B730),1)</f>
        <v/>
      </c>
    </row>
    <row r="731">
      <c r="A731" t="inlineStr">
        <is>
          <t>EM000730</t>
        </is>
      </c>
      <c r="B731" s="7" t="n">
        <v>46079</v>
      </c>
      <c r="C731" t="inlineStr">
        <is>
          <t>CR-102</t>
        </is>
      </c>
      <c r="D731" t="inlineStr">
        <is>
          <t>ISO 7</t>
        </is>
      </c>
      <c r="E731" t="inlineStr">
        <is>
          <t>Personnel glove</t>
        </is>
      </c>
      <c r="F731" t="n">
        <v>0</v>
      </c>
      <c r="G731" t="inlineStr">
        <is>
          <t>Tech B</t>
        </is>
      </c>
      <c r="H731">
        <f>INDEX(Limits!$B$2:$B$5,MATCH(E731,Limits!$A$2:$A$5,0))</f>
        <v/>
      </c>
      <c r="I731">
        <f>INDEX(Limits!$C$2:$C$5,MATCH(E731,Limits!$A$2:$A$5,0))</f>
        <v/>
      </c>
      <c r="J731">
        <f>IF(F731&gt;=I731,"Action",IF(F731&gt;=H731,"Alert","Pass"))</f>
        <v/>
      </c>
      <c r="K731" s="4">
        <f>DATE(YEAR(B731),MONTH(B731),1)</f>
        <v/>
      </c>
    </row>
    <row r="732">
      <c r="A732" t="inlineStr">
        <is>
          <t>EM000731</t>
        </is>
      </c>
      <c r="B732" s="7" t="n">
        <v>46079</v>
      </c>
      <c r="C732" t="inlineStr">
        <is>
          <t>CR-201</t>
        </is>
      </c>
      <c r="D732" t="inlineStr">
        <is>
          <t>ISO 8</t>
        </is>
      </c>
      <c r="E732" t="inlineStr">
        <is>
          <t>Active air</t>
        </is>
      </c>
      <c r="F732" t="n">
        <v>2</v>
      </c>
      <c r="G732" t="inlineStr">
        <is>
          <t>Tech A</t>
        </is>
      </c>
      <c r="H732">
        <f>INDEX(Limits!$B$2:$B$5,MATCH(E732,Limits!$A$2:$A$5,0))</f>
        <v/>
      </c>
      <c r="I732">
        <f>INDEX(Limits!$C$2:$C$5,MATCH(E732,Limits!$A$2:$A$5,0))</f>
        <v/>
      </c>
      <c r="J732">
        <f>IF(F732&gt;=I732,"Action",IF(F732&gt;=H732,"Alert","Pass"))</f>
        <v/>
      </c>
      <c r="K732" s="4">
        <f>DATE(YEAR(B732),MONTH(B732),1)</f>
        <v/>
      </c>
    </row>
    <row r="733">
      <c r="A733" t="inlineStr">
        <is>
          <t>EM000732</t>
        </is>
      </c>
      <c r="B733" s="7" t="n">
        <v>46079</v>
      </c>
      <c r="C733" t="inlineStr">
        <is>
          <t>CR-201</t>
        </is>
      </c>
      <c r="D733" t="inlineStr">
        <is>
          <t>ISO 8</t>
        </is>
      </c>
      <c r="E733" t="inlineStr">
        <is>
          <t>Surface contact</t>
        </is>
      </c>
      <c r="F733" t="n">
        <v>1</v>
      </c>
      <c r="G733" t="inlineStr">
        <is>
          <t>Tech C</t>
        </is>
      </c>
      <c r="H733">
        <f>INDEX(Limits!$B$2:$B$5,MATCH(E733,Limits!$A$2:$A$5,0))</f>
        <v/>
      </c>
      <c r="I733">
        <f>INDEX(Limits!$C$2:$C$5,MATCH(E733,Limits!$A$2:$A$5,0))</f>
        <v/>
      </c>
      <c r="J733">
        <f>IF(F733&gt;=I733,"Action",IF(F733&gt;=H733,"Alert","Pass"))</f>
        <v/>
      </c>
      <c r="K733" s="4">
        <f>DATE(YEAR(B733),MONTH(B733),1)</f>
        <v/>
      </c>
    </row>
    <row r="734">
      <c r="A734" t="inlineStr">
        <is>
          <t>EM000733</t>
        </is>
      </c>
      <c r="B734" s="7" t="n">
        <v>46079</v>
      </c>
      <c r="C734" t="inlineStr">
        <is>
          <t>CR-201</t>
        </is>
      </c>
      <c r="D734" t="inlineStr">
        <is>
          <t>ISO 8</t>
        </is>
      </c>
      <c r="E734" t="inlineStr">
        <is>
          <t>Compressed air</t>
        </is>
      </c>
      <c r="F734" t="n">
        <v>0</v>
      </c>
      <c r="G734" t="inlineStr">
        <is>
          <t>Tech A</t>
        </is>
      </c>
      <c r="H734">
        <f>INDEX(Limits!$B$2:$B$5,MATCH(E734,Limits!$A$2:$A$5,0))</f>
        <v/>
      </c>
      <c r="I734">
        <f>INDEX(Limits!$C$2:$C$5,MATCH(E734,Limits!$A$2:$A$5,0))</f>
        <v/>
      </c>
      <c r="J734">
        <f>IF(F734&gt;=I734,"Action",IF(F734&gt;=H734,"Alert","Pass"))</f>
        <v/>
      </c>
      <c r="K734" s="4">
        <f>DATE(YEAR(B734),MONTH(B734),1)</f>
        <v/>
      </c>
    </row>
    <row r="735">
      <c r="A735" t="inlineStr">
        <is>
          <t>EM000734</t>
        </is>
      </c>
      <c r="B735" s="7" t="n">
        <v>46079</v>
      </c>
      <c r="C735" t="inlineStr">
        <is>
          <t>CR-201</t>
        </is>
      </c>
      <c r="D735" t="inlineStr">
        <is>
          <t>ISO 8</t>
        </is>
      </c>
      <c r="E735" t="inlineStr">
        <is>
          <t>Personnel glove</t>
        </is>
      </c>
      <c r="F735" t="n">
        <v>0</v>
      </c>
      <c r="G735" t="inlineStr">
        <is>
          <t>Tech C</t>
        </is>
      </c>
      <c r="H735">
        <f>INDEX(Limits!$B$2:$B$5,MATCH(E735,Limits!$A$2:$A$5,0))</f>
        <v/>
      </c>
      <c r="I735">
        <f>INDEX(Limits!$C$2:$C$5,MATCH(E735,Limits!$A$2:$A$5,0))</f>
        <v/>
      </c>
      <c r="J735">
        <f>IF(F735&gt;=I735,"Action",IF(F735&gt;=H735,"Alert","Pass"))</f>
        <v/>
      </c>
      <c r="K735" s="4">
        <f>DATE(YEAR(B735),MONTH(B735),1)</f>
        <v/>
      </c>
    </row>
    <row r="736">
      <c r="A736" t="inlineStr">
        <is>
          <t>EM000735</t>
        </is>
      </c>
      <c r="B736" s="7" t="n">
        <v>46079</v>
      </c>
      <c r="C736" t="inlineStr">
        <is>
          <t>CR-202</t>
        </is>
      </c>
      <c r="D736" t="inlineStr">
        <is>
          <t>ISO 8</t>
        </is>
      </c>
      <c r="E736" t="inlineStr">
        <is>
          <t>Active air</t>
        </is>
      </c>
      <c r="F736" t="n">
        <v>2</v>
      </c>
      <c r="G736" t="inlineStr">
        <is>
          <t>Tech B</t>
        </is>
      </c>
      <c r="H736">
        <f>INDEX(Limits!$B$2:$B$5,MATCH(E736,Limits!$A$2:$A$5,0))</f>
        <v/>
      </c>
      <c r="I736">
        <f>INDEX(Limits!$C$2:$C$5,MATCH(E736,Limits!$A$2:$A$5,0))</f>
        <v/>
      </c>
      <c r="J736">
        <f>IF(F736&gt;=I736,"Action",IF(F736&gt;=H736,"Alert","Pass"))</f>
        <v/>
      </c>
      <c r="K736" s="4">
        <f>DATE(YEAR(B736),MONTH(B736),1)</f>
        <v/>
      </c>
    </row>
    <row r="737">
      <c r="A737" t="inlineStr">
        <is>
          <t>EM000736</t>
        </is>
      </c>
      <c r="B737" s="7" t="n">
        <v>46079</v>
      </c>
      <c r="C737" t="inlineStr">
        <is>
          <t>CR-202</t>
        </is>
      </c>
      <c r="D737" t="inlineStr">
        <is>
          <t>ISO 8</t>
        </is>
      </c>
      <c r="E737" t="inlineStr">
        <is>
          <t>Surface contact</t>
        </is>
      </c>
      <c r="F737" t="n">
        <v>2</v>
      </c>
      <c r="G737" t="inlineStr">
        <is>
          <t>Tech D</t>
        </is>
      </c>
      <c r="H737">
        <f>INDEX(Limits!$B$2:$B$5,MATCH(E737,Limits!$A$2:$A$5,0))</f>
        <v/>
      </c>
      <c r="I737">
        <f>INDEX(Limits!$C$2:$C$5,MATCH(E737,Limits!$A$2:$A$5,0))</f>
        <v/>
      </c>
      <c r="J737">
        <f>IF(F737&gt;=I737,"Action",IF(F737&gt;=H737,"Alert","Pass"))</f>
        <v/>
      </c>
      <c r="K737" s="4">
        <f>DATE(YEAR(B737),MONTH(B737),1)</f>
        <v/>
      </c>
    </row>
    <row r="738">
      <c r="A738" t="inlineStr">
        <is>
          <t>EM000737</t>
        </is>
      </c>
      <c r="B738" s="7" t="n">
        <v>46079</v>
      </c>
      <c r="C738" t="inlineStr">
        <is>
          <t>CR-202</t>
        </is>
      </c>
      <c r="D738" t="inlineStr">
        <is>
          <t>ISO 8</t>
        </is>
      </c>
      <c r="E738" t="inlineStr">
        <is>
          <t>Compressed air</t>
        </is>
      </c>
      <c r="F738" t="n">
        <v>0</v>
      </c>
      <c r="G738" t="inlineStr">
        <is>
          <t>Tech C</t>
        </is>
      </c>
      <c r="H738">
        <f>INDEX(Limits!$B$2:$B$5,MATCH(E738,Limits!$A$2:$A$5,0))</f>
        <v/>
      </c>
      <c r="I738">
        <f>INDEX(Limits!$C$2:$C$5,MATCH(E738,Limits!$A$2:$A$5,0))</f>
        <v/>
      </c>
      <c r="J738">
        <f>IF(F738&gt;=I738,"Action",IF(F738&gt;=H738,"Alert","Pass"))</f>
        <v/>
      </c>
      <c r="K738" s="4">
        <f>DATE(YEAR(B738),MONTH(B738),1)</f>
        <v/>
      </c>
    </row>
    <row r="739">
      <c r="A739" t="inlineStr">
        <is>
          <t>EM000738</t>
        </is>
      </c>
      <c r="B739" s="7" t="n">
        <v>46079</v>
      </c>
      <c r="C739" t="inlineStr">
        <is>
          <t>CR-202</t>
        </is>
      </c>
      <c r="D739" t="inlineStr">
        <is>
          <t>ISO 8</t>
        </is>
      </c>
      <c r="E739" t="inlineStr">
        <is>
          <t>Personnel glove</t>
        </is>
      </c>
      <c r="F739" t="n">
        <v>0</v>
      </c>
      <c r="G739" t="inlineStr">
        <is>
          <t>Tech B</t>
        </is>
      </c>
      <c r="H739">
        <f>INDEX(Limits!$B$2:$B$5,MATCH(E739,Limits!$A$2:$A$5,0))</f>
        <v/>
      </c>
      <c r="I739">
        <f>INDEX(Limits!$C$2:$C$5,MATCH(E739,Limits!$A$2:$A$5,0))</f>
        <v/>
      </c>
      <c r="J739">
        <f>IF(F739&gt;=I739,"Action",IF(F739&gt;=H739,"Alert","Pass"))</f>
        <v/>
      </c>
      <c r="K739" s="4">
        <f>DATE(YEAR(B739),MONTH(B739),1)</f>
        <v/>
      </c>
    </row>
    <row r="740">
      <c r="A740" t="inlineStr">
        <is>
          <t>EM000739</t>
        </is>
      </c>
      <c r="B740" s="7" t="n">
        <v>46079</v>
      </c>
      <c r="C740" t="inlineStr">
        <is>
          <t>Gowning</t>
        </is>
      </c>
      <c r="D740" t="inlineStr">
        <is>
          <t>ISO 8</t>
        </is>
      </c>
      <c r="E740" t="inlineStr">
        <is>
          <t>Active air</t>
        </is>
      </c>
      <c r="F740" t="n">
        <v>0</v>
      </c>
      <c r="G740" t="inlineStr">
        <is>
          <t>Tech D</t>
        </is>
      </c>
      <c r="H740">
        <f>INDEX(Limits!$B$2:$B$5,MATCH(E740,Limits!$A$2:$A$5,0))</f>
        <v/>
      </c>
      <c r="I740">
        <f>INDEX(Limits!$C$2:$C$5,MATCH(E740,Limits!$A$2:$A$5,0))</f>
        <v/>
      </c>
      <c r="J740">
        <f>IF(F740&gt;=I740,"Action",IF(F740&gt;=H740,"Alert","Pass"))</f>
        <v/>
      </c>
      <c r="K740" s="4">
        <f>DATE(YEAR(B740),MONTH(B740),1)</f>
        <v/>
      </c>
    </row>
    <row r="741">
      <c r="A741" t="inlineStr">
        <is>
          <t>EM000740</t>
        </is>
      </c>
      <c r="B741" s="7" t="n">
        <v>46079</v>
      </c>
      <c r="C741" t="inlineStr">
        <is>
          <t>Gowning</t>
        </is>
      </c>
      <c r="D741" t="inlineStr">
        <is>
          <t>ISO 8</t>
        </is>
      </c>
      <c r="E741" t="inlineStr">
        <is>
          <t>Surface contact</t>
        </is>
      </c>
      <c r="F741" t="n">
        <v>0</v>
      </c>
      <c r="G741" t="inlineStr">
        <is>
          <t>Tech B</t>
        </is>
      </c>
      <c r="H741">
        <f>INDEX(Limits!$B$2:$B$5,MATCH(E741,Limits!$A$2:$A$5,0))</f>
        <v/>
      </c>
      <c r="I741">
        <f>INDEX(Limits!$C$2:$C$5,MATCH(E741,Limits!$A$2:$A$5,0))</f>
        <v/>
      </c>
      <c r="J741">
        <f>IF(F741&gt;=I741,"Action",IF(F741&gt;=H741,"Alert","Pass"))</f>
        <v/>
      </c>
      <c r="K741" s="4">
        <f>DATE(YEAR(B741),MONTH(B741),1)</f>
        <v/>
      </c>
    </row>
    <row r="742">
      <c r="A742" t="inlineStr">
        <is>
          <t>EM000741</t>
        </is>
      </c>
      <c r="B742" s="7" t="n">
        <v>46079</v>
      </c>
      <c r="C742" t="inlineStr">
        <is>
          <t>Gowning</t>
        </is>
      </c>
      <c r="D742" t="inlineStr">
        <is>
          <t>ISO 8</t>
        </is>
      </c>
      <c r="E742" t="inlineStr">
        <is>
          <t>Personnel glove</t>
        </is>
      </c>
      <c r="F742" t="n">
        <v>0</v>
      </c>
      <c r="G742" t="inlineStr">
        <is>
          <t>Tech C</t>
        </is>
      </c>
      <c r="H742">
        <f>INDEX(Limits!$B$2:$B$5,MATCH(E742,Limits!$A$2:$A$5,0))</f>
        <v/>
      </c>
      <c r="I742">
        <f>INDEX(Limits!$C$2:$C$5,MATCH(E742,Limits!$A$2:$A$5,0))</f>
        <v/>
      </c>
      <c r="J742">
        <f>IF(F742&gt;=I742,"Action",IF(F742&gt;=H742,"Alert","Pass"))</f>
        <v/>
      </c>
      <c r="K742" s="4">
        <f>DATE(YEAR(B742),MONTH(B742),1)</f>
        <v/>
      </c>
    </row>
    <row r="743">
      <c r="A743" t="inlineStr">
        <is>
          <t>EM000742</t>
        </is>
      </c>
      <c r="B743" s="7" t="n">
        <v>46080</v>
      </c>
      <c r="C743" t="inlineStr">
        <is>
          <t>CR-101</t>
        </is>
      </c>
      <c r="D743" t="inlineStr">
        <is>
          <t>ISO 7</t>
        </is>
      </c>
      <c r="E743" t="inlineStr">
        <is>
          <t>Active air</t>
        </is>
      </c>
      <c r="F743" t="n">
        <v>0</v>
      </c>
      <c r="G743" t="inlineStr">
        <is>
          <t>Tech D</t>
        </is>
      </c>
      <c r="H743">
        <f>INDEX(Limits!$B$2:$B$5,MATCH(E743,Limits!$A$2:$A$5,0))</f>
        <v/>
      </c>
      <c r="I743">
        <f>INDEX(Limits!$C$2:$C$5,MATCH(E743,Limits!$A$2:$A$5,0))</f>
        <v/>
      </c>
      <c r="J743">
        <f>IF(F743&gt;=I743,"Action",IF(F743&gt;=H743,"Alert","Pass"))</f>
        <v/>
      </c>
      <c r="K743" s="4">
        <f>DATE(YEAR(B743),MONTH(B743),1)</f>
        <v/>
      </c>
    </row>
    <row r="744">
      <c r="A744" t="inlineStr">
        <is>
          <t>EM000743</t>
        </is>
      </c>
      <c r="B744" s="7" t="n">
        <v>46080</v>
      </c>
      <c r="C744" t="inlineStr">
        <is>
          <t>CR-101</t>
        </is>
      </c>
      <c r="D744" t="inlineStr">
        <is>
          <t>ISO 7</t>
        </is>
      </c>
      <c r="E744" t="inlineStr">
        <is>
          <t>Surface contact</t>
        </is>
      </c>
      <c r="F744" t="n">
        <v>0</v>
      </c>
      <c r="G744" t="inlineStr">
        <is>
          <t>Tech C</t>
        </is>
      </c>
      <c r="H744">
        <f>INDEX(Limits!$B$2:$B$5,MATCH(E744,Limits!$A$2:$A$5,0))</f>
        <v/>
      </c>
      <c r="I744">
        <f>INDEX(Limits!$C$2:$C$5,MATCH(E744,Limits!$A$2:$A$5,0))</f>
        <v/>
      </c>
      <c r="J744">
        <f>IF(F744&gt;=I744,"Action",IF(F744&gt;=H744,"Alert","Pass"))</f>
        <v/>
      </c>
      <c r="K744" s="4">
        <f>DATE(YEAR(B744),MONTH(B744),1)</f>
        <v/>
      </c>
    </row>
    <row r="745">
      <c r="A745" t="inlineStr">
        <is>
          <t>EM000744</t>
        </is>
      </c>
      <c r="B745" s="7" t="n">
        <v>46080</v>
      </c>
      <c r="C745" t="inlineStr">
        <is>
          <t>CR-101</t>
        </is>
      </c>
      <c r="D745" t="inlineStr">
        <is>
          <t>ISO 7</t>
        </is>
      </c>
      <c r="E745" t="inlineStr">
        <is>
          <t>Compressed air</t>
        </is>
      </c>
      <c r="F745" t="n">
        <v>0</v>
      </c>
      <c r="G745" t="inlineStr">
        <is>
          <t>Tech A</t>
        </is>
      </c>
      <c r="H745">
        <f>INDEX(Limits!$B$2:$B$5,MATCH(E745,Limits!$A$2:$A$5,0))</f>
        <v/>
      </c>
      <c r="I745">
        <f>INDEX(Limits!$C$2:$C$5,MATCH(E745,Limits!$A$2:$A$5,0))</f>
        <v/>
      </c>
      <c r="J745">
        <f>IF(F745&gt;=I745,"Action",IF(F745&gt;=H745,"Alert","Pass"))</f>
        <v/>
      </c>
      <c r="K745" s="4">
        <f>DATE(YEAR(B745),MONTH(B745),1)</f>
        <v/>
      </c>
    </row>
    <row r="746">
      <c r="A746" t="inlineStr">
        <is>
          <t>EM000745</t>
        </is>
      </c>
      <c r="B746" s="7" t="n">
        <v>46080</v>
      </c>
      <c r="C746" t="inlineStr">
        <is>
          <t>CR-101</t>
        </is>
      </c>
      <c r="D746" t="inlineStr">
        <is>
          <t>ISO 7</t>
        </is>
      </c>
      <c r="E746" t="inlineStr">
        <is>
          <t>Personnel glove</t>
        </is>
      </c>
      <c r="F746" t="n">
        <v>0</v>
      </c>
      <c r="G746" t="inlineStr">
        <is>
          <t>Tech B</t>
        </is>
      </c>
      <c r="H746">
        <f>INDEX(Limits!$B$2:$B$5,MATCH(E746,Limits!$A$2:$A$5,0))</f>
        <v/>
      </c>
      <c r="I746">
        <f>INDEX(Limits!$C$2:$C$5,MATCH(E746,Limits!$A$2:$A$5,0))</f>
        <v/>
      </c>
      <c r="J746">
        <f>IF(F746&gt;=I746,"Action",IF(F746&gt;=H746,"Alert","Pass"))</f>
        <v/>
      </c>
      <c r="K746" s="4">
        <f>DATE(YEAR(B746),MONTH(B746),1)</f>
        <v/>
      </c>
    </row>
    <row r="747">
      <c r="A747" t="inlineStr">
        <is>
          <t>EM000746</t>
        </is>
      </c>
      <c r="B747" s="7" t="n">
        <v>46080</v>
      </c>
      <c r="C747" t="inlineStr">
        <is>
          <t>CR-102</t>
        </is>
      </c>
      <c r="D747" t="inlineStr">
        <is>
          <t>ISO 7</t>
        </is>
      </c>
      <c r="E747" t="inlineStr">
        <is>
          <t>Active air</t>
        </is>
      </c>
      <c r="F747" t="n">
        <v>2</v>
      </c>
      <c r="G747" t="inlineStr">
        <is>
          <t>Tech D</t>
        </is>
      </c>
      <c r="H747">
        <f>INDEX(Limits!$B$2:$B$5,MATCH(E747,Limits!$A$2:$A$5,0))</f>
        <v/>
      </c>
      <c r="I747">
        <f>INDEX(Limits!$C$2:$C$5,MATCH(E747,Limits!$A$2:$A$5,0))</f>
        <v/>
      </c>
      <c r="J747">
        <f>IF(F747&gt;=I747,"Action",IF(F747&gt;=H747,"Alert","Pass"))</f>
        <v/>
      </c>
      <c r="K747" s="4">
        <f>DATE(YEAR(B747),MONTH(B747),1)</f>
        <v/>
      </c>
    </row>
    <row r="748">
      <c r="A748" t="inlineStr">
        <is>
          <t>EM000747</t>
        </is>
      </c>
      <c r="B748" s="7" t="n">
        <v>46080</v>
      </c>
      <c r="C748" t="inlineStr">
        <is>
          <t>CR-102</t>
        </is>
      </c>
      <c r="D748" t="inlineStr">
        <is>
          <t>ISO 7</t>
        </is>
      </c>
      <c r="E748" t="inlineStr">
        <is>
          <t>Surface contact</t>
        </is>
      </c>
      <c r="F748" t="n">
        <v>1</v>
      </c>
      <c r="G748" t="inlineStr">
        <is>
          <t>Tech D</t>
        </is>
      </c>
      <c r="H748">
        <f>INDEX(Limits!$B$2:$B$5,MATCH(E748,Limits!$A$2:$A$5,0))</f>
        <v/>
      </c>
      <c r="I748">
        <f>INDEX(Limits!$C$2:$C$5,MATCH(E748,Limits!$A$2:$A$5,0))</f>
        <v/>
      </c>
      <c r="J748">
        <f>IF(F748&gt;=I748,"Action",IF(F748&gt;=H748,"Alert","Pass"))</f>
        <v/>
      </c>
      <c r="K748" s="4">
        <f>DATE(YEAR(B748),MONTH(B748),1)</f>
        <v/>
      </c>
    </row>
    <row r="749">
      <c r="A749" t="inlineStr">
        <is>
          <t>EM000748</t>
        </is>
      </c>
      <c r="B749" s="7" t="n">
        <v>46080</v>
      </c>
      <c r="C749" t="inlineStr">
        <is>
          <t>CR-102</t>
        </is>
      </c>
      <c r="D749" t="inlineStr">
        <is>
          <t>ISO 7</t>
        </is>
      </c>
      <c r="E749" t="inlineStr">
        <is>
          <t>Compressed air</t>
        </is>
      </c>
      <c r="F749" t="n">
        <v>0</v>
      </c>
      <c r="G749" t="inlineStr">
        <is>
          <t>Tech C</t>
        </is>
      </c>
      <c r="H749">
        <f>INDEX(Limits!$B$2:$B$5,MATCH(E749,Limits!$A$2:$A$5,0))</f>
        <v/>
      </c>
      <c r="I749">
        <f>INDEX(Limits!$C$2:$C$5,MATCH(E749,Limits!$A$2:$A$5,0))</f>
        <v/>
      </c>
      <c r="J749">
        <f>IF(F749&gt;=I749,"Action",IF(F749&gt;=H749,"Alert","Pass"))</f>
        <v/>
      </c>
      <c r="K749" s="4">
        <f>DATE(YEAR(B749),MONTH(B749),1)</f>
        <v/>
      </c>
    </row>
    <row r="750">
      <c r="A750" t="inlineStr">
        <is>
          <t>EM000749</t>
        </is>
      </c>
      <c r="B750" s="7" t="n">
        <v>46080</v>
      </c>
      <c r="C750" t="inlineStr">
        <is>
          <t>CR-102</t>
        </is>
      </c>
      <c r="D750" t="inlineStr">
        <is>
          <t>ISO 7</t>
        </is>
      </c>
      <c r="E750" t="inlineStr">
        <is>
          <t>Personnel glove</t>
        </is>
      </c>
      <c r="F750" t="n">
        <v>0</v>
      </c>
      <c r="G750" t="inlineStr">
        <is>
          <t>Tech A</t>
        </is>
      </c>
      <c r="H750">
        <f>INDEX(Limits!$B$2:$B$5,MATCH(E750,Limits!$A$2:$A$5,0))</f>
        <v/>
      </c>
      <c r="I750">
        <f>INDEX(Limits!$C$2:$C$5,MATCH(E750,Limits!$A$2:$A$5,0))</f>
        <v/>
      </c>
      <c r="J750">
        <f>IF(F750&gt;=I750,"Action",IF(F750&gt;=H750,"Alert","Pass"))</f>
        <v/>
      </c>
      <c r="K750" s="4">
        <f>DATE(YEAR(B750),MONTH(B750),1)</f>
        <v/>
      </c>
    </row>
    <row r="751">
      <c r="A751" t="inlineStr">
        <is>
          <t>EM000750</t>
        </is>
      </c>
      <c r="B751" s="7" t="n">
        <v>46080</v>
      </c>
      <c r="C751" t="inlineStr">
        <is>
          <t>CR-201</t>
        </is>
      </c>
      <c r="D751" t="inlineStr">
        <is>
          <t>ISO 8</t>
        </is>
      </c>
      <c r="E751" t="inlineStr">
        <is>
          <t>Active air</t>
        </is>
      </c>
      <c r="F751" t="n">
        <v>1</v>
      </c>
      <c r="G751" t="inlineStr">
        <is>
          <t>Tech A</t>
        </is>
      </c>
      <c r="H751">
        <f>INDEX(Limits!$B$2:$B$5,MATCH(E751,Limits!$A$2:$A$5,0))</f>
        <v/>
      </c>
      <c r="I751">
        <f>INDEX(Limits!$C$2:$C$5,MATCH(E751,Limits!$A$2:$A$5,0))</f>
        <v/>
      </c>
      <c r="J751">
        <f>IF(F751&gt;=I751,"Action",IF(F751&gt;=H751,"Alert","Pass"))</f>
        <v/>
      </c>
      <c r="K751" s="4">
        <f>DATE(YEAR(B751),MONTH(B751),1)</f>
        <v/>
      </c>
    </row>
    <row r="752">
      <c r="A752" t="inlineStr">
        <is>
          <t>EM000751</t>
        </is>
      </c>
      <c r="B752" s="7" t="n">
        <v>46080</v>
      </c>
      <c r="C752" t="inlineStr">
        <is>
          <t>CR-201</t>
        </is>
      </c>
      <c r="D752" t="inlineStr">
        <is>
          <t>ISO 8</t>
        </is>
      </c>
      <c r="E752" t="inlineStr">
        <is>
          <t>Surface contact</t>
        </is>
      </c>
      <c r="F752" t="n">
        <v>1</v>
      </c>
      <c r="G752" t="inlineStr">
        <is>
          <t>Tech C</t>
        </is>
      </c>
      <c r="H752">
        <f>INDEX(Limits!$B$2:$B$5,MATCH(E752,Limits!$A$2:$A$5,0))</f>
        <v/>
      </c>
      <c r="I752">
        <f>INDEX(Limits!$C$2:$C$5,MATCH(E752,Limits!$A$2:$A$5,0))</f>
        <v/>
      </c>
      <c r="J752">
        <f>IF(F752&gt;=I752,"Action",IF(F752&gt;=H752,"Alert","Pass"))</f>
        <v/>
      </c>
      <c r="K752" s="4">
        <f>DATE(YEAR(B752),MONTH(B752),1)</f>
        <v/>
      </c>
    </row>
    <row r="753">
      <c r="A753" t="inlineStr">
        <is>
          <t>EM000752</t>
        </is>
      </c>
      <c r="B753" s="7" t="n">
        <v>46080</v>
      </c>
      <c r="C753" t="inlineStr">
        <is>
          <t>CR-201</t>
        </is>
      </c>
      <c r="D753" t="inlineStr">
        <is>
          <t>ISO 8</t>
        </is>
      </c>
      <c r="E753" t="inlineStr">
        <is>
          <t>Compressed air</t>
        </is>
      </c>
      <c r="F753" t="n">
        <v>0</v>
      </c>
      <c r="G753" t="inlineStr">
        <is>
          <t>Tech A</t>
        </is>
      </c>
      <c r="H753">
        <f>INDEX(Limits!$B$2:$B$5,MATCH(E753,Limits!$A$2:$A$5,0))</f>
        <v/>
      </c>
      <c r="I753">
        <f>INDEX(Limits!$C$2:$C$5,MATCH(E753,Limits!$A$2:$A$5,0))</f>
        <v/>
      </c>
      <c r="J753">
        <f>IF(F753&gt;=I753,"Action",IF(F753&gt;=H753,"Alert","Pass"))</f>
        <v/>
      </c>
      <c r="K753" s="4">
        <f>DATE(YEAR(B753),MONTH(B753),1)</f>
        <v/>
      </c>
    </row>
    <row r="754">
      <c r="A754" t="inlineStr">
        <is>
          <t>EM000753</t>
        </is>
      </c>
      <c r="B754" s="7" t="n">
        <v>46080</v>
      </c>
      <c r="C754" t="inlineStr">
        <is>
          <t>CR-201</t>
        </is>
      </c>
      <c r="D754" t="inlineStr">
        <is>
          <t>ISO 8</t>
        </is>
      </c>
      <c r="E754" t="inlineStr">
        <is>
          <t>Personnel glove</t>
        </is>
      </c>
      <c r="F754" t="n">
        <v>0</v>
      </c>
      <c r="G754" t="inlineStr">
        <is>
          <t>Tech A</t>
        </is>
      </c>
      <c r="H754">
        <f>INDEX(Limits!$B$2:$B$5,MATCH(E754,Limits!$A$2:$A$5,0))</f>
        <v/>
      </c>
      <c r="I754">
        <f>INDEX(Limits!$C$2:$C$5,MATCH(E754,Limits!$A$2:$A$5,0))</f>
        <v/>
      </c>
      <c r="J754">
        <f>IF(F754&gt;=I754,"Action",IF(F754&gt;=H754,"Alert","Pass"))</f>
        <v/>
      </c>
      <c r="K754" s="4">
        <f>DATE(YEAR(B754),MONTH(B754),1)</f>
        <v/>
      </c>
    </row>
    <row r="755">
      <c r="A755" t="inlineStr">
        <is>
          <t>EM000754</t>
        </is>
      </c>
      <c r="B755" s="7" t="n">
        <v>46080</v>
      </c>
      <c r="C755" t="inlineStr">
        <is>
          <t>CR-202</t>
        </is>
      </c>
      <c r="D755" t="inlineStr">
        <is>
          <t>ISO 8</t>
        </is>
      </c>
      <c r="E755" t="inlineStr">
        <is>
          <t>Active air</t>
        </is>
      </c>
      <c r="F755" t="n">
        <v>4</v>
      </c>
      <c r="G755" t="inlineStr">
        <is>
          <t>Tech C</t>
        </is>
      </c>
      <c r="H755">
        <f>INDEX(Limits!$B$2:$B$5,MATCH(E755,Limits!$A$2:$A$5,0))</f>
        <v/>
      </c>
      <c r="I755">
        <f>INDEX(Limits!$C$2:$C$5,MATCH(E755,Limits!$A$2:$A$5,0))</f>
        <v/>
      </c>
      <c r="J755">
        <f>IF(F755&gt;=I755,"Action",IF(F755&gt;=H755,"Alert","Pass"))</f>
        <v/>
      </c>
      <c r="K755" s="4">
        <f>DATE(YEAR(B755),MONTH(B755),1)</f>
        <v/>
      </c>
    </row>
    <row r="756">
      <c r="A756" t="inlineStr">
        <is>
          <t>EM000755</t>
        </is>
      </c>
      <c r="B756" s="7" t="n">
        <v>46080</v>
      </c>
      <c r="C756" t="inlineStr">
        <is>
          <t>CR-202</t>
        </is>
      </c>
      <c r="D756" t="inlineStr">
        <is>
          <t>ISO 8</t>
        </is>
      </c>
      <c r="E756" t="inlineStr">
        <is>
          <t>Surface contact</t>
        </is>
      </c>
      <c r="F756" t="n">
        <v>0</v>
      </c>
      <c r="G756" t="inlineStr">
        <is>
          <t>Tech C</t>
        </is>
      </c>
      <c r="H756">
        <f>INDEX(Limits!$B$2:$B$5,MATCH(E756,Limits!$A$2:$A$5,0))</f>
        <v/>
      </c>
      <c r="I756">
        <f>INDEX(Limits!$C$2:$C$5,MATCH(E756,Limits!$A$2:$A$5,0))</f>
        <v/>
      </c>
      <c r="J756">
        <f>IF(F756&gt;=I756,"Action",IF(F756&gt;=H756,"Alert","Pass"))</f>
        <v/>
      </c>
      <c r="K756" s="4">
        <f>DATE(YEAR(B756),MONTH(B756),1)</f>
        <v/>
      </c>
    </row>
    <row r="757">
      <c r="A757" t="inlineStr">
        <is>
          <t>EM000756</t>
        </is>
      </c>
      <c r="B757" s="7" t="n">
        <v>46080</v>
      </c>
      <c r="C757" t="inlineStr">
        <is>
          <t>CR-202</t>
        </is>
      </c>
      <c r="D757" t="inlineStr">
        <is>
          <t>ISO 8</t>
        </is>
      </c>
      <c r="E757" t="inlineStr">
        <is>
          <t>Compressed air</t>
        </is>
      </c>
      <c r="F757" t="n">
        <v>0</v>
      </c>
      <c r="G757" t="inlineStr">
        <is>
          <t>Tech D</t>
        </is>
      </c>
      <c r="H757">
        <f>INDEX(Limits!$B$2:$B$5,MATCH(E757,Limits!$A$2:$A$5,0))</f>
        <v/>
      </c>
      <c r="I757">
        <f>INDEX(Limits!$C$2:$C$5,MATCH(E757,Limits!$A$2:$A$5,0))</f>
        <v/>
      </c>
      <c r="J757">
        <f>IF(F757&gt;=I757,"Action",IF(F757&gt;=H757,"Alert","Pass"))</f>
        <v/>
      </c>
      <c r="K757" s="4">
        <f>DATE(YEAR(B757),MONTH(B757),1)</f>
        <v/>
      </c>
    </row>
    <row r="758">
      <c r="A758" t="inlineStr">
        <is>
          <t>EM000757</t>
        </is>
      </c>
      <c r="B758" s="7" t="n">
        <v>46080</v>
      </c>
      <c r="C758" t="inlineStr">
        <is>
          <t>CR-202</t>
        </is>
      </c>
      <c r="D758" t="inlineStr">
        <is>
          <t>ISO 8</t>
        </is>
      </c>
      <c r="E758" t="inlineStr">
        <is>
          <t>Personnel glove</t>
        </is>
      </c>
      <c r="F758" t="n">
        <v>0</v>
      </c>
      <c r="G758" t="inlineStr">
        <is>
          <t>Tech C</t>
        </is>
      </c>
      <c r="H758">
        <f>INDEX(Limits!$B$2:$B$5,MATCH(E758,Limits!$A$2:$A$5,0))</f>
        <v/>
      </c>
      <c r="I758">
        <f>INDEX(Limits!$C$2:$C$5,MATCH(E758,Limits!$A$2:$A$5,0))</f>
        <v/>
      </c>
      <c r="J758">
        <f>IF(F758&gt;=I758,"Action",IF(F758&gt;=H758,"Alert","Pass"))</f>
        <v/>
      </c>
      <c r="K758" s="4">
        <f>DATE(YEAR(B758),MONTH(B758),1)</f>
        <v/>
      </c>
    </row>
    <row r="759">
      <c r="A759" t="inlineStr">
        <is>
          <t>EM000758</t>
        </is>
      </c>
      <c r="B759" s="7" t="n">
        <v>46080</v>
      </c>
      <c r="C759" t="inlineStr">
        <is>
          <t>Gowning</t>
        </is>
      </c>
      <c r="D759" t="inlineStr">
        <is>
          <t>ISO 8</t>
        </is>
      </c>
      <c r="E759" t="inlineStr">
        <is>
          <t>Active air</t>
        </is>
      </c>
      <c r="F759" t="n">
        <v>2</v>
      </c>
      <c r="G759" t="inlineStr">
        <is>
          <t>Tech C</t>
        </is>
      </c>
      <c r="H759">
        <f>INDEX(Limits!$B$2:$B$5,MATCH(E759,Limits!$A$2:$A$5,0))</f>
        <v/>
      </c>
      <c r="I759">
        <f>INDEX(Limits!$C$2:$C$5,MATCH(E759,Limits!$A$2:$A$5,0))</f>
        <v/>
      </c>
      <c r="J759">
        <f>IF(F759&gt;=I759,"Action",IF(F759&gt;=H759,"Alert","Pass"))</f>
        <v/>
      </c>
      <c r="K759" s="4">
        <f>DATE(YEAR(B759),MONTH(B759),1)</f>
        <v/>
      </c>
    </row>
    <row r="760">
      <c r="A760" t="inlineStr">
        <is>
          <t>EM000759</t>
        </is>
      </c>
      <c r="B760" s="7" t="n">
        <v>46080</v>
      </c>
      <c r="C760" t="inlineStr">
        <is>
          <t>Gowning</t>
        </is>
      </c>
      <c r="D760" t="inlineStr">
        <is>
          <t>ISO 8</t>
        </is>
      </c>
      <c r="E760" t="inlineStr">
        <is>
          <t>Surface contact</t>
        </is>
      </c>
      <c r="F760" t="n">
        <v>0</v>
      </c>
      <c r="G760" t="inlineStr">
        <is>
          <t>Tech B</t>
        </is>
      </c>
      <c r="H760">
        <f>INDEX(Limits!$B$2:$B$5,MATCH(E760,Limits!$A$2:$A$5,0))</f>
        <v/>
      </c>
      <c r="I760">
        <f>INDEX(Limits!$C$2:$C$5,MATCH(E760,Limits!$A$2:$A$5,0))</f>
        <v/>
      </c>
      <c r="J760">
        <f>IF(F760&gt;=I760,"Action",IF(F760&gt;=H760,"Alert","Pass"))</f>
        <v/>
      </c>
      <c r="K760" s="4">
        <f>DATE(YEAR(B760),MONTH(B760),1)</f>
        <v/>
      </c>
    </row>
    <row r="761">
      <c r="A761" t="inlineStr">
        <is>
          <t>EM000760</t>
        </is>
      </c>
      <c r="B761" s="7" t="n">
        <v>46080</v>
      </c>
      <c r="C761" t="inlineStr">
        <is>
          <t>Gowning</t>
        </is>
      </c>
      <c r="D761" t="inlineStr">
        <is>
          <t>ISO 8</t>
        </is>
      </c>
      <c r="E761" t="inlineStr">
        <is>
          <t>Personnel glove</t>
        </is>
      </c>
      <c r="F761" t="n">
        <v>0</v>
      </c>
      <c r="G761" t="inlineStr">
        <is>
          <t>Tech A</t>
        </is>
      </c>
      <c r="H761">
        <f>INDEX(Limits!$B$2:$B$5,MATCH(E761,Limits!$A$2:$A$5,0))</f>
        <v/>
      </c>
      <c r="I761">
        <f>INDEX(Limits!$C$2:$C$5,MATCH(E761,Limits!$A$2:$A$5,0))</f>
        <v/>
      </c>
      <c r="J761">
        <f>IF(F761&gt;=I761,"Action",IF(F761&gt;=H761,"Alert","Pass"))</f>
        <v/>
      </c>
      <c r="K761" s="4">
        <f>DATE(YEAR(B761),MONTH(B761),1)</f>
        <v/>
      </c>
    </row>
    <row r="762">
      <c r="A762" t="inlineStr">
        <is>
          <t>EM000761</t>
        </is>
      </c>
      <c r="B762" s="7" t="n">
        <v>46083</v>
      </c>
      <c r="C762" t="inlineStr">
        <is>
          <t>CR-101</t>
        </is>
      </c>
      <c r="D762" t="inlineStr">
        <is>
          <t>ISO 7</t>
        </is>
      </c>
      <c r="E762" t="inlineStr">
        <is>
          <t>Active air</t>
        </is>
      </c>
      <c r="F762" t="n">
        <v>1</v>
      </c>
      <c r="G762" t="inlineStr">
        <is>
          <t>Tech C</t>
        </is>
      </c>
      <c r="H762">
        <f>INDEX(Limits!$B$2:$B$5,MATCH(E762,Limits!$A$2:$A$5,0))</f>
        <v/>
      </c>
      <c r="I762">
        <f>INDEX(Limits!$C$2:$C$5,MATCH(E762,Limits!$A$2:$A$5,0))</f>
        <v/>
      </c>
      <c r="J762">
        <f>IF(F762&gt;=I762,"Action",IF(F762&gt;=H762,"Alert","Pass"))</f>
        <v/>
      </c>
      <c r="K762" s="4">
        <f>DATE(YEAR(B762),MONTH(B762),1)</f>
        <v/>
      </c>
    </row>
    <row r="763">
      <c r="A763" t="inlineStr">
        <is>
          <t>EM000762</t>
        </is>
      </c>
      <c r="B763" s="7" t="n">
        <v>46083</v>
      </c>
      <c r="C763" t="inlineStr">
        <is>
          <t>CR-101</t>
        </is>
      </c>
      <c r="D763" t="inlineStr">
        <is>
          <t>ISO 7</t>
        </is>
      </c>
      <c r="E763" t="inlineStr">
        <is>
          <t>Surface contact</t>
        </is>
      </c>
      <c r="F763" t="n">
        <v>0</v>
      </c>
      <c r="G763" t="inlineStr">
        <is>
          <t>Tech A</t>
        </is>
      </c>
      <c r="H763">
        <f>INDEX(Limits!$B$2:$B$5,MATCH(E763,Limits!$A$2:$A$5,0))</f>
        <v/>
      </c>
      <c r="I763">
        <f>INDEX(Limits!$C$2:$C$5,MATCH(E763,Limits!$A$2:$A$5,0))</f>
        <v/>
      </c>
      <c r="J763">
        <f>IF(F763&gt;=I763,"Action",IF(F763&gt;=H763,"Alert","Pass"))</f>
        <v/>
      </c>
      <c r="K763" s="4">
        <f>DATE(YEAR(B763),MONTH(B763),1)</f>
        <v/>
      </c>
    </row>
    <row r="764">
      <c r="A764" t="inlineStr">
        <is>
          <t>EM000763</t>
        </is>
      </c>
      <c r="B764" s="7" t="n">
        <v>46083</v>
      </c>
      <c r="C764" t="inlineStr">
        <is>
          <t>CR-101</t>
        </is>
      </c>
      <c r="D764" t="inlineStr">
        <is>
          <t>ISO 7</t>
        </is>
      </c>
      <c r="E764" t="inlineStr">
        <is>
          <t>Compressed air</t>
        </is>
      </c>
      <c r="F764" t="n">
        <v>1</v>
      </c>
      <c r="G764" t="inlineStr">
        <is>
          <t>Tech C</t>
        </is>
      </c>
      <c r="H764">
        <f>INDEX(Limits!$B$2:$B$5,MATCH(E764,Limits!$A$2:$A$5,0))</f>
        <v/>
      </c>
      <c r="I764">
        <f>INDEX(Limits!$C$2:$C$5,MATCH(E764,Limits!$A$2:$A$5,0))</f>
        <v/>
      </c>
      <c r="J764">
        <f>IF(F764&gt;=I764,"Action",IF(F764&gt;=H764,"Alert","Pass"))</f>
        <v/>
      </c>
      <c r="K764" s="4">
        <f>DATE(YEAR(B764),MONTH(B764),1)</f>
        <v/>
      </c>
    </row>
    <row r="765">
      <c r="A765" t="inlineStr">
        <is>
          <t>EM000764</t>
        </is>
      </c>
      <c r="B765" s="7" t="n">
        <v>46083</v>
      </c>
      <c r="C765" t="inlineStr">
        <is>
          <t>CR-101</t>
        </is>
      </c>
      <c r="D765" t="inlineStr">
        <is>
          <t>ISO 7</t>
        </is>
      </c>
      <c r="E765" t="inlineStr">
        <is>
          <t>Personnel glove</t>
        </is>
      </c>
      <c r="F765" t="n">
        <v>0</v>
      </c>
      <c r="G765" t="inlineStr">
        <is>
          <t>Tech B</t>
        </is>
      </c>
      <c r="H765">
        <f>INDEX(Limits!$B$2:$B$5,MATCH(E765,Limits!$A$2:$A$5,0))</f>
        <v/>
      </c>
      <c r="I765">
        <f>INDEX(Limits!$C$2:$C$5,MATCH(E765,Limits!$A$2:$A$5,0))</f>
        <v/>
      </c>
      <c r="J765">
        <f>IF(F765&gt;=I765,"Action",IF(F765&gt;=H765,"Alert","Pass"))</f>
        <v/>
      </c>
      <c r="K765" s="4">
        <f>DATE(YEAR(B765),MONTH(B765),1)</f>
        <v/>
      </c>
    </row>
    <row r="766">
      <c r="A766" t="inlineStr">
        <is>
          <t>EM000765</t>
        </is>
      </c>
      <c r="B766" s="7" t="n">
        <v>46083</v>
      </c>
      <c r="C766" t="inlineStr">
        <is>
          <t>CR-102</t>
        </is>
      </c>
      <c r="D766" t="inlineStr">
        <is>
          <t>ISO 7</t>
        </is>
      </c>
      <c r="E766" t="inlineStr">
        <is>
          <t>Active air</t>
        </is>
      </c>
      <c r="F766" t="n">
        <v>1</v>
      </c>
      <c r="G766" t="inlineStr">
        <is>
          <t>Tech A</t>
        </is>
      </c>
      <c r="H766">
        <f>INDEX(Limits!$B$2:$B$5,MATCH(E766,Limits!$A$2:$A$5,0))</f>
        <v/>
      </c>
      <c r="I766">
        <f>INDEX(Limits!$C$2:$C$5,MATCH(E766,Limits!$A$2:$A$5,0))</f>
        <v/>
      </c>
      <c r="J766">
        <f>IF(F766&gt;=I766,"Action",IF(F766&gt;=H766,"Alert","Pass"))</f>
        <v/>
      </c>
      <c r="K766" s="4">
        <f>DATE(YEAR(B766),MONTH(B766),1)</f>
        <v/>
      </c>
    </row>
    <row r="767">
      <c r="A767" t="inlineStr">
        <is>
          <t>EM000766</t>
        </is>
      </c>
      <c r="B767" s="7" t="n">
        <v>46083</v>
      </c>
      <c r="C767" t="inlineStr">
        <is>
          <t>CR-102</t>
        </is>
      </c>
      <c r="D767" t="inlineStr">
        <is>
          <t>ISO 7</t>
        </is>
      </c>
      <c r="E767" t="inlineStr">
        <is>
          <t>Surface contact</t>
        </is>
      </c>
      <c r="F767" t="n">
        <v>0</v>
      </c>
      <c r="G767" t="inlineStr">
        <is>
          <t>Tech C</t>
        </is>
      </c>
      <c r="H767">
        <f>INDEX(Limits!$B$2:$B$5,MATCH(E767,Limits!$A$2:$A$5,0))</f>
        <v/>
      </c>
      <c r="I767">
        <f>INDEX(Limits!$C$2:$C$5,MATCH(E767,Limits!$A$2:$A$5,0))</f>
        <v/>
      </c>
      <c r="J767">
        <f>IF(F767&gt;=I767,"Action",IF(F767&gt;=H767,"Alert","Pass"))</f>
        <v/>
      </c>
      <c r="K767" s="4">
        <f>DATE(YEAR(B767),MONTH(B767),1)</f>
        <v/>
      </c>
    </row>
    <row r="768">
      <c r="A768" t="inlineStr">
        <is>
          <t>EM000767</t>
        </is>
      </c>
      <c r="B768" s="7" t="n">
        <v>46083</v>
      </c>
      <c r="C768" t="inlineStr">
        <is>
          <t>CR-102</t>
        </is>
      </c>
      <c r="D768" t="inlineStr">
        <is>
          <t>ISO 7</t>
        </is>
      </c>
      <c r="E768" t="inlineStr">
        <is>
          <t>Compressed air</t>
        </is>
      </c>
      <c r="F768" t="n">
        <v>0</v>
      </c>
      <c r="G768" t="inlineStr">
        <is>
          <t>Tech D</t>
        </is>
      </c>
      <c r="H768">
        <f>INDEX(Limits!$B$2:$B$5,MATCH(E768,Limits!$A$2:$A$5,0))</f>
        <v/>
      </c>
      <c r="I768">
        <f>INDEX(Limits!$C$2:$C$5,MATCH(E768,Limits!$A$2:$A$5,0))</f>
        <v/>
      </c>
      <c r="J768">
        <f>IF(F768&gt;=I768,"Action",IF(F768&gt;=H768,"Alert","Pass"))</f>
        <v/>
      </c>
      <c r="K768" s="4">
        <f>DATE(YEAR(B768),MONTH(B768),1)</f>
        <v/>
      </c>
    </row>
    <row r="769">
      <c r="A769" t="inlineStr">
        <is>
          <t>EM000768</t>
        </is>
      </c>
      <c r="B769" s="7" t="n">
        <v>46083</v>
      </c>
      <c r="C769" t="inlineStr">
        <is>
          <t>CR-102</t>
        </is>
      </c>
      <c r="D769" t="inlineStr">
        <is>
          <t>ISO 7</t>
        </is>
      </c>
      <c r="E769" t="inlineStr">
        <is>
          <t>Personnel glove</t>
        </is>
      </c>
      <c r="F769" t="n">
        <v>0</v>
      </c>
      <c r="G769" t="inlineStr">
        <is>
          <t>Tech D</t>
        </is>
      </c>
      <c r="H769">
        <f>INDEX(Limits!$B$2:$B$5,MATCH(E769,Limits!$A$2:$A$5,0))</f>
        <v/>
      </c>
      <c r="I769">
        <f>INDEX(Limits!$C$2:$C$5,MATCH(E769,Limits!$A$2:$A$5,0))</f>
        <v/>
      </c>
      <c r="J769">
        <f>IF(F769&gt;=I769,"Action",IF(F769&gt;=H769,"Alert","Pass"))</f>
        <v/>
      </c>
      <c r="K769" s="4">
        <f>DATE(YEAR(B769),MONTH(B769),1)</f>
        <v/>
      </c>
    </row>
    <row r="770">
      <c r="A770" t="inlineStr">
        <is>
          <t>EM000769</t>
        </is>
      </c>
      <c r="B770" s="7" t="n">
        <v>46083</v>
      </c>
      <c r="C770" t="inlineStr">
        <is>
          <t>CR-201</t>
        </is>
      </c>
      <c r="D770" t="inlineStr">
        <is>
          <t>ISO 8</t>
        </is>
      </c>
      <c r="E770" t="inlineStr">
        <is>
          <t>Active air</t>
        </is>
      </c>
      <c r="F770" t="n">
        <v>1</v>
      </c>
      <c r="G770" t="inlineStr">
        <is>
          <t>Tech B</t>
        </is>
      </c>
      <c r="H770">
        <f>INDEX(Limits!$B$2:$B$5,MATCH(E770,Limits!$A$2:$A$5,0))</f>
        <v/>
      </c>
      <c r="I770">
        <f>INDEX(Limits!$C$2:$C$5,MATCH(E770,Limits!$A$2:$A$5,0))</f>
        <v/>
      </c>
      <c r="J770">
        <f>IF(F770&gt;=I770,"Action",IF(F770&gt;=H770,"Alert","Pass"))</f>
        <v/>
      </c>
      <c r="K770" s="4">
        <f>DATE(YEAR(B770),MONTH(B770),1)</f>
        <v/>
      </c>
    </row>
    <row r="771">
      <c r="A771" t="inlineStr">
        <is>
          <t>EM000770</t>
        </is>
      </c>
      <c r="B771" s="7" t="n">
        <v>46083</v>
      </c>
      <c r="C771" t="inlineStr">
        <is>
          <t>CR-201</t>
        </is>
      </c>
      <c r="D771" t="inlineStr">
        <is>
          <t>ISO 8</t>
        </is>
      </c>
      <c r="E771" t="inlineStr">
        <is>
          <t>Surface contact</t>
        </is>
      </c>
      <c r="F771" t="n">
        <v>0</v>
      </c>
      <c r="G771" t="inlineStr">
        <is>
          <t>Tech C</t>
        </is>
      </c>
      <c r="H771">
        <f>INDEX(Limits!$B$2:$B$5,MATCH(E771,Limits!$A$2:$A$5,0))</f>
        <v/>
      </c>
      <c r="I771">
        <f>INDEX(Limits!$C$2:$C$5,MATCH(E771,Limits!$A$2:$A$5,0))</f>
        <v/>
      </c>
      <c r="J771">
        <f>IF(F771&gt;=I771,"Action",IF(F771&gt;=H771,"Alert","Pass"))</f>
        <v/>
      </c>
      <c r="K771" s="4">
        <f>DATE(YEAR(B771),MONTH(B771),1)</f>
        <v/>
      </c>
    </row>
    <row r="772">
      <c r="A772" t="inlineStr">
        <is>
          <t>EM000771</t>
        </is>
      </c>
      <c r="B772" s="7" t="n">
        <v>46083</v>
      </c>
      <c r="C772" t="inlineStr">
        <is>
          <t>CR-201</t>
        </is>
      </c>
      <c r="D772" t="inlineStr">
        <is>
          <t>ISO 8</t>
        </is>
      </c>
      <c r="E772" t="inlineStr">
        <is>
          <t>Compressed air</t>
        </is>
      </c>
      <c r="F772" t="n">
        <v>0</v>
      </c>
      <c r="G772" t="inlineStr">
        <is>
          <t>Tech B</t>
        </is>
      </c>
      <c r="H772">
        <f>INDEX(Limits!$B$2:$B$5,MATCH(E772,Limits!$A$2:$A$5,0))</f>
        <v/>
      </c>
      <c r="I772">
        <f>INDEX(Limits!$C$2:$C$5,MATCH(E772,Limits!$A$2:$A$5,0))</f>
        <v/>
      </c>
      <c r="J772">
        <f>IF(F772&gt;=I772,"Action",IF(F772&gt;=H772,"Alert","Pass"))</f>
        <v/>
      </c>
      <c r="K772" s="4">
        <f>DATE(YEAR(B772),MONTH(B772),1)</f>
        <v/>
      </c>
    </row>
    <row r="773">
      <c r="A773" t="inlineStr">
        <is>
          <t>EM000772</t>
        </is>
      </c>
      <c r="B773" s="7" t="n">
        <v>46083</v>
      </c>
      <c r="C773" t="inlineStr">
        <is>
          <t>CR-201</t>
        </is>
      </c>
      <c r="D773" t="inlineStr">
        <is>
          <t>ISO 8</t>
        </is>
      </c>
      <c r="E773" t="inlineStr">
        <is>
          <t>Personnel glove</t>
        </is>
      </c>
      <c r="F773" t="n">
        <v>0</v>
      </c>
      <c r="G773" t="inlineStr">
        <is>
          <t>Tech A</t>
        </is>
      </c>
      <c r="H773">
        <f>INDEX(Limits!$B$2:$B$5,MATCH(E773,Limits!$A$2:$A$5,0))</f>
        <v/>
      </c>
      <c r="I773">
        <f>INDEX(Limits!$C$2:$C$5,MATCH(E773,Limits!$A$2:$A$5,0))</f>
        <v/>
      </c>
      <c r="J773">
        <f>IF(F773&gt;=I773,"Action",IF(F773&gt;=H773,"Alert","Pass"))</f>
        <v/>
      </c>
      <c r="K773" s="4">
        <f>DATE(YEAR(B773),MONTH(B773),1)</f>
        <v/>
      </c>
    </row>
    <row r="774">
      <c r="A774" t="inlineStr">
        <is>
          <t>EM000773</t>
        </is>
      </c>
      <c r="B774" s="7" t="n">
        <v>46083</v>
      </c>
      <c r="C774" t="inlineStr">
        <is>
          <t>CR-202</t>
        </is>
      </c>
      <c r="D774" t="inlineStr">
        <is>
          <t>ISO 8</t>
        </is>
      </c>
      <c r="E774" t="inlineStr">
        <is>
          <t>Active air</t>
        </is>
      </c>
      <c r="F774" t="n">
        <v>4</v>
      </c>
      <c r="G774" t="inlineStr">
        <is>
          <t>Tech D</t>
        </is>
      </c>
      <c r="H774">
        <f>INDEX(Limits!$B$2:$B$5,MATCH(E774,Limits!$A$2:$A$5,0))</f>
        <v/>
      </c>
      <c r="I774">
        <f>INDEX(Limits!$C$2:$C$5,MATCH(E774,Limits!$A$2:$A$5,0))</f>
        <v/>
      </c>
      <c r="J774">
        <f>IF(F774&gt;=I774,"Action",IF(F774&gt;=H774,"Alert","Pass"))</f>
        <v/>
      </c>
      <c r="K774" s="4">
        <f>DATE(YEAR(B774),MONTH(B774),1)</f>
        <v/>
      </c>
    </row>
    <row r="775">
      <c r="A775" t="inlineStr">
        <is>
          <t>EM000774</t>
        </is>
      </c>
      <c r="B775" s="7" t="n">
        <v>46083</v>
      </c>
      <c r="C775" t="inlineStr">
        <is>
          <t>CR-202</t>
        </is>
      </c>
      <c r="D775" t="inlineStr">
        <is>
          <t>ISO 8</t>
        </is>
      </c>
      <c r="E775" t="inlineStr">
        <is>
          <t>Surface contact</t>
        </is>
      </c>
      <c r="F775" t="n">
        <v>1</v>
      </c>
      <c r="G775" t="inlineStr">
        <is>
          <t>Tech D</t>
        </is>
      </c>
      <c r="H775">
        <f>INDEX(Limits!$B$2:$B$5,MATCH(E775,Limits!$A$2:$A$5,0))</f>
        <v/>
      </c>
      <c r="I775">
        <f>INDEX(Limits!$C$2:$C$5,MATCH(E775,Limits!$A$2:$A$5,0))</f>
        <v/>
      </c>
      <c r="J775">
        <f>IF(F775&gt;=I775,"Action",IF(F775&gt;=H775,"Alert","Pass"))</f>
        <v/>
      </c>
      <c r="K775" s="4">
        <f>DATE(YEAR(B775),MONTH(B775),1)</f>
        <v/>
      </c>
    </row>
    <row r="776">
      <c r="A776" t="inlineStr">
        <is>
          <t>EM000775</t>
        </is>
      </c>
      <c r="B776" s="7" t="n">
        <v>46083</v>
      </c>
      <c r="C776" t="inlineStr">
        <is>
          <t>CR-202</t>
        </is>
      </c>
      <c r="D776" t="inlineStr">
        <is>
          <t>ISO 8</t>
        </is>
      </c>
      <c r="E776" t="inlineStr">
        <is>
          <t>Compressed air</t>
        </is>
      </c>
      <c r="F776" t="n">
        <v>0</v>
      </c>
      <c r="G776" t="inlineStr">
        <is>
          <t>Tech D</t>
        </is>
      </c>
      <c r="H776">
        <f>INDEX(Limits!$B$2:$B$5,MATCH(E776,Limits!$A$2:$A$5,0))</f>
        <v/>
      </c>
      <c r="I776">
        <f>INDEX(Limits!$C$2:$C$5,MATCH(E776,Limits!$A$2:$A$5,0))</f>
        <v/>
      </c>
      <c r="J776">
        <f>IF(F776&gt;=I776,"Action",IF(F776&gt;=H776,"Alert","Pass"))</f>
        <v/>
      </c>
      <c r="K776" s="4">
        <f>DATE(YEAR(B776),MONTH(B776),1)</f>
        <v/>
      </c>
    </row>
    <row r="777">
      <c r="A777" t="inlineStr">
        <is>
          <t>EM000776</t>
        </is>
      </c>
      <c r="B777" s="7" t="n">
        <v>46083</v>
      </c>
      <c r="C777" t="inlineStr">
        <is>
          <t>CR-202</t>
        </is>
      </c>
      <c r="D777" t="inlineStr">
        <is>
          <t>ISO 8</t>
        </is>
      </c>
      <c r="E777" t="inlineStr">
        <is>
          <t>Personnel glove</t>
        </is>
      </c>
      <c r="F777" t="n">
        <v>0</v>
      </c>
      <c r="G777" t="inlineStr">
        <is>
          <t>Tech C</t>
        </is>
      </c>
      <c r="H777">
        <f>INDEX(Limits!$B$2:$B$5,MATCH(E777,Limits!$A$2:$A$5,0))</f>
        <v/>
      </c>
      <c r="I777">
        <f>INDEX(Limits!$C$2:$C$5,MATCH(E777,Limits!$A$2:$A$5,0))</f>
        <v/>
      </c>
      <c r="J777">
        <f>IF(F777&gt;=I777,"Action",IF(F777&gt;=H777,"Alert","Pass"))</f>
        <v/>
      </c>
      <c r="K777" s="4">
        <f>DATE(YEAR(B777),MONTH(B777),1)</f>
        <v/>
      </c>
    </row>
    <row r="778">
      <c r="A778" t="inlineStr">
        <is>
          <t>EM000777</t>
        </is>
      </c>
      <c r="B778" s="7" t="n">
        <v>46083</v>
      </c>
      <c r="C778" t="inlineStr">
        <is>
          <t>Gowning</t>
        </is>
      </c>
      <c r="D778" t="inlineStr">
        <is>
          <t>ISO 8</t>
        </is>
      </c>
      <c r="E778" t="inlineStr">
        <is>
          <t>Active air</t>
        </is>
      </c>
      <c r="F778" t="n">
        <v>1</v>
      </c>
      <c r="G778" t="inlineStr">
        <is>
          <t>Tech A</t>
        </is>
      </c>
      <c r="H778">
        <f>INDEX(Limits!$B$2:$B$5,MATCH(E778,Limits!$A$2:$A$5,0))</f>
        <v/>
      </c>
      <c r="I778">
        <f>INDEX(Limits!$C$2:$C$5,MATCH(E778,Limits!$A$2:$A$5,0))</f>
        <v/>
      </c>
      <c r="J778">
        <f>IF(F778&gt;=I778,"Action",IF(F778&gt;=H778,"Alert","Pass"))</f>
        <v/>
      </c>
      <c r="K778" s="4">
        <f>DATE(YEAR(B778),MONTH(B778),1)</f>
        <v/>
      </c>
    </row>
    <row r="779">
      <c r="A779" t="inlineStr">
        <is>
          <t>EM000778</t>
        </is>
      </c>
      <c r="B779" s="7" t="n">
        <v>46083</v>
      </c>
      <c r="C779" t="inlineStr">
        <is>
          <t>Gowning</t>
        </is>
      </c>
      <c r="D779" t="inlineStr">
        <is>
          <t>ISO 8</t>
        </is>
      </c>
      <c r="E779" t="inlineStr">
        <is>
          <t>Surface contact</t>
        </is>
      </c>
      <c r="F779" t="n">
        <v>0</v>
      </c>
      <c r="G779" t="inlineStr">
        <is>
          <t>Tech A</t>
        </is>
      </c>
      <c r="H779">
        <f>INDEX(Limits!$B$2:$B$5,MATCH(E779,Limits!$A$2:$A$5,0))</f>
        <v/>
      </c>
      <c r="I779">
        <f>INDEX(Limits!$C$2:$C$5,MATCH(E779,Limits!$A$2:$A$5,0))</f>
        <v/>
      </c>
      <c r="J779">
        <f>IF(F779&gt;=I779,"Action",IF(F779&gt;=H779,"Alert","Pass"))</f>
        <v/>
      </c>
      <c r="K779" s="4">
        <f>DATE(YEAR(B779),MONTH(B779),1)</f>
        <v/>
      </c>
    </row>
    <row r="780">
      <c r="A780" t="inlineStr">
        <is>
          <t>EM000779</t>
        </is>
      </c>
      <c r="B780" s="7" t="n">
        <v>46083</v>
      </c>
      <c r="C780" t="inlineStr">
        <is>
          <t>Gowning</t>
        </is>
      </c>
      <c r="D780" t="inlineStr">
        <is>
          <t>ISO 8</t>
        </is>
      </c>
      <c r="E780" t="inlineStr">
        <is>
          <t>Personnel glove</t>
        </is>
      </c>
      <c r="F780" t="n">
        <v>1</v>
      </c>
      <c r="G780" t="inlineStr">
        <is>
          <t>Tech C</t>
        </is>
      </c>
      <c r="H780">
        <f>INDEX(Limits!$B$2:$B$5,MATCH(E780,Limits!$A$2:$A$5,0))</f>
        <v/>
      </c>
      <c r="I780">
        <f>INDEX(Limits!$C$2:$C$5,MATCH(E780,Limits!$A$2:$A$5,0))</f>
        <v/>
      </c>
      <c r="J780">
        <f>IF(F780&gt;=I780,"Action",IF(F780&gt;=H780,"Alert","Pass"))</f>
        <v/>
      </c>
      <c r="K780" s="4">
        <f>DATE(YEAR(B780),MONTH(B780),1)</f>
        <v/>
      </c>
    </row>
    <row r="781">
      <c r="A781" t="inlineStr">
        <is>
          <t>EM000780</t>
        </is>
      </c>
      <c r="B781" s="7" t="n">
        <v>46084</v>
      </c>
      <c r="C781" t="inlineStr">
        <is>
          <t>CR-101</t>
        </is>
      </c>
      <c r="D781" t="inlineStr">
        <is>
          <t>ISO 7</t>
        </is>
      </c>
      <c r="E781" t="inlineStr">
        <is>
          <t>Active air</t>
        </is>
      </c>
      <c r="F781" t="n">
        <v>0</v>
      </c>
      <c r="G781" t="inlineStr">
        <is>
          <t>Tech C</t>
        </is>
      </c>
      <c r="H781">
        <f>INDEX(Limits!$B$2:$B$5,MATCH(E781,Limits!$A$2:$A$5,0))</f>
        <v/>
      </c>
      <c r="I781">
        <f>INDEX(Limits!$C$2:$C$5,MATCH(E781,Limits!$A$2:$A$5,0))</f>
        <v/>
      </c>
      <c r="J781">
        <f>IF(F781&gt;=I781,"Action",IF(F781&gt;=H781,"Alert","Pass"))</f>
        <v/>
      </c>
      <c r="K781" s="4">
        <f>DATE(YEAR(B781),MONTH(B781),1)</f>
        <v/>
      </c>
    </row>
    <row r="782">
      <c r="A782" t="inlineStr">
        <is>
          <t>EM000781</t>
        </is>
      </c>
      <c r="B782" s="7" t="n">
        <v>46084</v>
      </c>
      <c r="C782" t="inlineStr">
        <is>
          <t>CR-101</t>
        </is>
      </c>
      <c r="D782" t="inlineStr">
        <is>
          <t>ISO 7</t>
        </is>
      </c>
      <c r="E782" t="inlineStr">
        <is>
          <t>Surface contact</t>
        </is>
      </c>
      <c r="F782" t="n">
        <v>0</v>
      </c>
      <c r="G782" t="inlineStr">
        <is>
          <t>Tech C</t>
        </is>
      </c>
      <c r="H782">
        <f>INDEX(Limits!$B$2:$B$5,MATCH(E782,Limits!$A$2:$A$5,0))</f>
        <v/>
      </c>
      <c r="I782">
        <f>INDEX(Limits!$C$2:$C$5,MATCH(E782,Limits!$A$2:$A$5,0))</f>
        <v/>
      </c>
      <c r="J782">
        <f>IF(F782&gt;=I782,"Action",IF(F782&gt;=H782,"Alert","Pass"))</f>
        <v/>
      </c>
      <c r="K782" s="4">
        <f>DATE(YEAR(B782),MONTH(B782),1)</f>
        <v/>
      </c>
    </row>
    <row r="783">
      <c r="A783" t="inlineStr">
        <is>
          <t>EM000782</t>
        </is>
      </c>
      <c r="B783" s="7" t="n">
        <v>46084</v>
      </c>
      <c r="C783" t="inlineStr">
        <is>
          <t>CR-101</t>
        </is>
      </c>
      <c r="D783" t="inlineStr">
        <is>
          <t>ISO 7</t>
        </is>
      </c>
      <c r="E783" t="inlineStr">
        <is>
          <t>Compressed air</t>
        </is>
      </c>
      <c r="F783" t="n">
        <v>0</v>
      </c>
      <c r="G783" t="inlineStr">
        <is>
          <t>Tech D</t>
        </is>
      </c>
      <c r="H783">
        <f>INDEX(Limits!$B$2:$B$5,MATCH(E783,Limits!$A$2:$A$5,0))</f>
        <v/>
      </c>
      <c r="I783">
        <f>INDEX(Limits!$C$2:$C$5,MATCH(E783,Limits!$A$2:$A$5,0))</f>
        <v/>
      </c>
      <c r="J783">
        <f>IF(F783&gt;=I783,"Action",IF(F783&gt;=H783,"Alert","Pass"))</f>
        <v/>
      </c>
      <c r="K783" s="4">
        <f>DATE(YEAR(B783),MONTH(B783),1)</f>
        <v/>
      </c>
    </row>
    <row r="784">
      <c r="A784" t="inlineStr">
        <is>
          <t>EM000783</t>
        </is>
      </c>
      <c r="B784" s="7" t="n">
        <v>46084</v>
      </c>
      <c r="C784" t="inlineStr">
        <is>
          <t>CR-101</t>
        </is>
      </c>
      <c r="D784" t="inlineStr">
        <is>
          <t>ISO 7</t>
        </is>
      </c>
      <c r="E784" t="inlineStr">
        <is>
          <t>Personnel glove</t>
        </is>
      </c>
      <c r="F784" t="n">
        <v>0</v>
      </c>
      <c r="G784" t="inlineStr">
        <is>
          <t>Tech B</t>
        </is>
      </c>
      <c r="H784">
        <f>INDEX(Limits!$B$2:$B$5,MATCH(E784,Limits!$A$2:$A$5,0))</f>
        <v/>
      </c>
      <c r="I784">
        <f>INDEX(Limits!$C$2:$C$5,MATCH(E784,Limits!$A$2:$A$5,0))</f>
        <v/>
      </c>
      <c r="J784">
        <f>IF(F784&gt;=I784,"Action",IF(F784&gt;=H784,"Alert","Pass"))</f>
        <v/>
      </c>
      <c r="K784" s="4">
        <f>DATE(YEAR(B784),MONTH(B784),1)</f>
        <v/>
      </c>
    </row>
    <row r="785">
      <c r="A785" t="inlineStr">
        <is>
          <t>EM000784</t>
        </is>
      </c>
      <c r="B785" s="7" t="n">
        <v>46084</v>
      </c>
      <c r="C785" t="inlineStr">
        <is>
          <t>CR-102</t>
        </is>
      </c>
      <c r="D785" t="inlineStr">
        <is>
          <t>ISO 7</t>
        </is>
      </c>
      <c r="E785" t="inlineStr">
        <is>
          <t>Active air</t>
        </is>
      </c>
      <c r="F785" t="n">
        <v>0</v>
      </c>
      <c r="G785" t="inlineStr">
        <is>
          <t>Tech D</t>
        </is>
      </c>
      <c r="H785">
        <f>INDEX(Limits!$B$2:$B$5,MATCH(E785,Limits!$A$2:$A$5,0))</f>
        <v/>
      </c>
      <c r="I785">
        <f>INDEX(Limits!$C$2:$C$5,MATCH(E785,Limits!$A$2:$A$5,0))</f>
        <v/>
      </c>
      <c r="J785">
        <f>IF(F785&gt;=I785,"Action",IF(F785&gt;=H785,"Alert","Pass"))</f>
        <v/>
      </c>
      <c r="K785" s="4">
        <f>DATE(YEAR(B785),MONTH(B785),1)</f>
        <v/>
      </c>
    </row>
    <row r="786">
      <c r="A786" t="inlineStr">
        <is>
          <t>EM000785</t>
        </is>
      </c>
      <c r="B786" s="7" t="n">
        <v>46084</v>
      </c>
      <c r="C786" t="inlineStr">
        <is>
          <t>CR-102</t>
        </is>
      </c>
      <c r="D786" t="inlineStr">
        <is>
          <t>ISO 7</t>
        </is>
      </c>
      <c r="E786" t="inlineStr">
        <is>
          <t>Surface contact</t>
        </is>
      </c>
      <c r="F786" t="n">
        <v>3</v>
      </c>
      <c r="G786" t="inlineStr">
        <is>
          <t>Tech A</t>
        </is>
      </c>
      <c r="H786">
        <f>INDEX(Limits!$B$2:$B$5,MATCH(E786,Limits!$A$2:$A$5,0))</f>
        <v/>
      </c>
      <c r="I786">
        <f>INDEX(Limits!$C$2:$C$5,MATCH(E786,Limits!$A$2:$A$5,0))</f>
        <v/>
      </c>
      <c r="J786">
        <f>IF(F786&gt;=I786,"Action",IF(F786&gt;=H786,"Alert","Pass"))</f>
        <v/>
      </c>
      <c r="K786" s="4">
        <f>DATE(YEAR(B786),MONTH(B786),1)</f>
        <v/>
      </c>
    </row>
    <row r="787">
      <c r="A787" t="inlineStr">
        <is>
          <t>EM000786</t>
        </is>
      </c>
      <c r="B787" s="7" t="n">
        <v>46084</v>
      </c>
      <c r="C787" t="inlineStr">
        <is>
          <t>CR-102</t>
        </is>
      </c>
      <c r="D787" t="inlineStr">
        <is>
          <t>ISO 7</t>
        </is>
      </c>
      <c r="E787" t="inlineStr">
        <is>
          <t>Compressed air</t>
        </is>
      </c>
      <c r="F787" t="n">
        <v>0</v>
      </c>
      <c r="G787" t="inlineStr">
        <is>
          <t>Tech B</t>
        </is>
      </c>
      <c r="H787">
        <f>INDEX(Limits!$B$2:$B$5,MATCH(E787,Limits!$A$2:$A$5,0))</f>
        <v/>
      </c>
      <c r="I787">
        <f>INDEX(Limits!$C$2:$C$5,MATCH(E787,Limits!$A$2:$A$5,0))</f>
        <v/>
      </c>
      <c r="J787">
        <f>IF(F787&gt;=I787,"Action",IF(F787&gt;=H787,"Alert","Pass"))</f>
        <v/>
      </c>
      <c r="K787" s="4">
        <f>DATE(YEAR(B787),MONTH(B787),1)</f>
        <v/>
      </c>
    </row>
    <row r="788">
      <c r="A788" t="inlineStr">
        <is>
          <t>EM000787</t>
        </is>
      </c>
      <c r="B788" s="7" t="n">
        <v>46084</v>
      </c>
      <c r="C788" t="inlineStr">
        <is>
          <t>CR-102</t>
        </is>
      </c>
      <c r="D788" t="inlineStr">
        <is>
          <t>ISO 7</t>
        </is>
      </c>
      <c r="E788" t="inlineStr">
        <is>
          <t>Personnel glove</t>
        </is>
      </c>
      <c r="F788" t="n">
        <v>0</v>
      </c>
      <c r="G788" t="inlineStr">
        <is>
          <t>Tech A</t>
        </is>
      </c>
      <c r="H788">
        <f>INDEX(Limits!$B$2:$B$5,MATCH(E788,Limits!$A$2:$A$5,0))</f>
        <v/>
      </c>
      <c r="I788">
        <f>INDEX(Limits!$C$2:$C$5,MATCH(E788,Limits!$A$2:$A$5,0))</f>
        <v/>
      </c>
      <c r="J788">
        <f>IF(F788&gt;=I788,"Action",IF(F788&gt;=H788,"Alert","Pass"))</f>
        <v/>
      </c>
      <c r="K788" s="4">
        <f>DATE(YEAR(B788),MONTH(B788),1)</f>
        <v/>
      </c>
    </row>
    <row r="789">
      <c r="A789" t="inlineStr">
        <is>
          <t>EM000788</t>
        </is>
      </c>
      <c r="B789" s="7" t="n">
        <v>46084</v>
      </c>
      <c r="C789" t="inlineStr">
        <is>
          <t>CR-201</t>
        </is>
      </c>
      <c r="D789" t="inlineStr">
        <is>
          <t>ISO 8</t>
        </is>
      </c>
      <c r="E789" t="inlineStr">
        <is>
          <t>Active air</t>
        </is>
      </c>
      <c r="F789" t="n">
        <v>0</v>
      </c>
      <c r="G789" t="inlineStr">
        <is>
          <t>Tech C</t>
        </is>
      </c>
      <c r="H789">
        <f>INDEX(Limits!$B$2:$B$5,MATCH(E789,Limits!$A$2:$A$5,0))</f>
        <v/>
      </c>
      <c r="I789">
        <f>INDEX(Limits!$C$2:$C$5,MATCH(E789,Limits!$A$2:$A$5,0))</f>
        <v/>
      </c>
      <c r="J789">
        <f>IF(F789&gt;=I789,"Action",IF(F789&gt;=H789,"Alert","Pass"))</f>
        <v/>
      </c>
      <c r="K789" s="4">
        <f>DATE(YEAR(B789),MONTH(B789),1)</f>
        <v/>
      </c>
    </row>
    <row r="790">
      <c r="A790" t="inlineStr">
        <is>
          <t>EM000789</t>
        </is>
      </c>
      <c r="B790" s="7" t="n">
        <v>46084</v>
      </c>
      <c r="C790" t="inlineStr">
        <is>
          <t>CR-201</t>
        </is>
      </c>
      <c r="D790" t="inlineStr">
        <is>
          <t>ISO 8</t>
        </is>
      </c>
      <c r="E790" t="inlineStr">
        <is>
          <t>Surface contact</t>
        </is>
      </c>
      <c r="F790" t="n">
        <v>1</v>
      </c>
      <c r="G790" t="inlineStr">
        <is>
          <t>Tech D</t>
        </is>
      </c>
      <c r="H790">
        <f>INDEX(Limits!$B$2:$B$5,MATCH(E790,Limits!$A$2:$A$5,0))</f>
        <v/>
      </c>
      <c r="I790">
        <f>INDEX(Limits!$C$2:$C$5,MATCH(E790,Limits!$A$2:$A$5,0))</f>
        <v/>
      </c>
      <c r="J790">
        <f>IF(F790&gt;=I790,"Action",IF(F790&gt;=H790,"Alert","Pass"))</f>
        <v/>
      </c>
      <c r="K790" s="4">
        <f>DATE(YEAR(B790),MONTH(B790),1)</f>
        <v/>
      </c>
    </row>
    <row r="791">
      <c r="A791" t="inlineStr">
        <is>
          <t>EM000790</t>
        </is>
      </c>
      <c r="B791" s="7" t="n">
        <v>46084</v>
      </c>
      <c r="C791" t="inlineStr">
        <is>
          <t>CR-201</t>
        </is>
      </c>
      <c r="D791" t="inlineStr">
        <is>
          <t>ISO 8</t>
        </is>
      </c>
      <c r="E791" t="inlineStr">
        <is>
          <t>Compressed air</t>
        </is>
      </c>
      <c r="F791" t="n">
        <v>0</v>
      </c>
      <c r="G791" t="inlineStr">
        <is>
          <t>Tech C</t>
        </is>
      </c>
      <c r="H791">
        <f>INDEX(Limits!$B$2:$B$5,MATCH(E791,Limits!$A$2:$A$5,0))</f>
        <v/>
      </c>
      <c r="I791">
        <f>INDEX(Limits!$C$2:$C$5,MATCH(E791,Limits!$A$2:$A$5,0))</f>
        <v/>
      </c>
      <c r="J791">
        <f>IF(F791&gt;=I791,"Action",IF(F791&gt;=H791,"Alert","Pass"))</f>
        <v/>
      </c>
      <c r="K791" s="4">
        <f>DATE(YEAR(B791),MONTH(B791),1)</f>
        <v/>
      </c>
    </row>
    <row r="792">
      <c r="A792" t="inlineStr">
        <is>
          <t>EM000791</t>
        </is>
      </c>
      <c r="B792" s="7" t="n">
        <v>46084</v>
      </c>
      <c r="C792" t="inlineStr">
        <is>
          <t>CR-201</t>
        </is>
      </c>
      <c r="D792" t="inlineStr">
        <is>
          <t>ISO 8</t>
        </is>
      </c>
      <c r="E792" t="inlineStr">
        <is>
          <t>Personnel glove</t>
        </is>
      </c>
      <c r="F792" t="n">
        <v>0</v>
      </c>
      <c r="G792" t="inlineStr">
        <is>
          <t>Tech A</t>
        </is>
      </c>
      <c r="H792">
        <f>INDEX(Limits!$B$2:$B$5,MATCH(E792,Limits!$A$2:$A$5,0))</f>
        <v/>
      </c>
      <c r="I792">
        <f>INDEX(Limits!$C$2:$C$5,MATCH(E792,Limits!$A$2:$A$5,0))</f>
        <v/>
      </c>
      <c r="J792">
        <f>IF(F792&gt;=I792,"Action",IF(F792&gt;=H792,"Alert","Pass"))</f>
        <v/>
      </c>
      <c r="K792" s="4">
        <f>DATE(YEAR(B792),MONTH(B792),1)</f>
        <v/>
      </c>
    </row>
    <row r="793">
      <c r="A793" t="inlineStr">
        <is>
          <t>EM000792</t>
        </is>
      </c>
      <c r="B793" s="7" t="n">
        <v>46084</v>
      </c>
      <c r="C793" t="inlineStr">
        <is>
          <t>CR-202</t>
        </is>
      </c>
      <c r="D793" t="inlineStr">
        <is>
          <t>ISO 8</t>
        </is>
      </c>
      <c r="E793" t="inlineStr">
        <is>
          <t>Active air</t>
        </is>
      </c>
      <c r="F793" t="n">
        <v>2</v>
      </c>
      <c r="G793" t="inlineStr">
        <is>
          <t>Tech C</t>
        </is>
      </c>
      <c r="H793">
        <f>INDEX(Limits!$B$2:$B$5,MATCH(E793,Limits!$A$2:$A$5,0))</f>
        <v/>
      </c>
      <c r="I793">
        <f>INDEX(Limits!$C$2:$C$5,MATCH(E793,Limits!$A$2:$A$5,0))</f>
        <v/>
      </c>
      <c r="J793">
        <f>IF(F793&gt;=I793,"Action",IF(F793&gt;=H793,"Alert","Pass"))</f>
        <v/>
      </c>
      <c r="K793" s="4">
        <f>DATE(YEAR(B793),MONTH(B793),1)</f>
        <v/>
      </c>
    </row>
    <row r="794">
      <c r="A794" t="inlineStr">
        <is>
          <t>EM000793</t>
        </is>
      </c>
      <c r="B794" s="7" t="n">
        <v>46084</v>
      </c>
      <c r="C794" t="inlineStr">
        <is>
          <t>CR-202</t>
        </is>
      </c>
      <c r="D794" t="inlineStr">
        <is>
          <t>ISO 8</t>
        </is>
      </c>
      <c r="E794" t="inlineStr">
        <is>
          <t>Surface contact</t>
        </is>
      </c>
      <c r="F794" t="n">
        <v>0</v>
      </c>
      <c r="G794" t="inlineStr">
        <is>
          <t>Tech D</t>
        </is>
      </c>
      <c r="H794">
        <f>INDEX(Limits!$B$2:$B$5,MATCH(E794,Limits!$A$2:$A$5,0))</f>
        <v/>
      </c>
      <c r="I794">
        <f>INDEX(Limits!$C$2:$C$5,MATCH(E794,Limits!$A$2:$A$5,0))</f>
        <v/>
      </c>
      <c r="J794">
        <f>IF(F794&gt;=I794,"Action",IF(F794&gt;=H794,"Alert","Pass"))</f>
        <v/>
      </c>
      <c r="K794" s="4">
        <f>DATE(YEAR(B794),MONTH(B794),1)</f>
        <v/>
      </c>
    </row>
    <row r="795">
      <c r="A795" t="inlineStr">
        <is>
          <t>EM000794</t>
        </is>
      </c>
      <c r="B795" s="7" t="n">
        <v>46084</v>
      </c>
      <c r="C795" t="inlineStr">
        <is>
          <t>CR-202</t>
        </is>
      </c>
      <c r="D795" t="inlineStr">
        <is>
          <t>ISO 8</t>
        </is>
      </c>
      <c r="E795" t="inlineStr">
        <is>
          <t>Compressed air</t>
        </is>
      </c>
      <c r="F795" t="n">
        <v>0</v>
      </c>
      <c r="G795" t="inlineStr">
        <is>
          <t>Tech D</t>
        </is>
      </c>
      <c r="H795">
        <f>INDEX(Limits!$B$2:$B$5,MATCH(E795,Limits!$A$2:$A$5,0))</f>
        <v/>
      </c>
      <c r="I795">
        <f>INDEX(Limits!$C$2:$C$5,MATCH(E795,Limits!$A$2:$A$5,0))</f>
        <v/>
      </c>
      <c r="J795">
        <f>IF(F795&gt;=I795,"Action",IF(F795&gt;=H795,"Alert","Pass"))</f>
        <v/>
      </c>
      <c r="K795" s="4">
        <f>DATE(YEAR(B795),MONTH(B795),1)</f>
        <v/>
      </c>
    </row>
    <row r="796">
      <c r="A796" t="inlineStr">
        <is>
          <t>EM000795</t>
        </is>
      </c>
      <c r="B796" s="7" t="n">
        <v>46084</v>
      </c>
      <c r="C796" t="inlineStr">
        <is>
          <t>CR-202</t>
        </is>
      </c>
      <c r="D796" t="inlineStr">
        <is>
          <t>ISO 8</t>
        </is>
      </c>
      <c r="E796" t="inlineStr">
        <is>
          <t>Personnel glove</t>
        </is>
      </c>
      <c r="F796" t="n">
        <v>0</v>
      </c>
      <c r="G796" t="inlineStr">
        <is>
          <t>Tech D</t>
        </is>
      </c>
      <c r="H796">
        <f>INDEX(Limits!$B$2:$B$5,MATCH(E796,Limits!$A$2:$A$5,0))</f>
        <v/>
      </c>
      <c r="I796">
        <f>INDEX(Limits!$C$2:$C$5,MATCH(E796,Limits!$A$2:$A$5,0))</f>
        <v/>
      </c>
      <c r="J796">
        <f>IF(F796&gt;=I796,"Action",IF(F796&gt;=H796,"Alert","Pass"))</f>
        <v/>
      </c>
      <c r="K796" s="4">
        <f>DATE(YEAR(B796),MONTH(B796),1)</f>
        <v/>
      </c>
    </row>
    <row r="797">
      <c r="A797" t="inlineStr">
        <is>
          <t>EM000796</t>
        </is>
      </c>
      <c r="B797" s="7" t="n">
        <v>46084</v>
      </c>
      <c r="C797" t="inlineStr">
        <is>
          <t>Gowning</t>
        </is>
      </c>
      <c r="D797" t="inlineStr">
        <is>
          <t>ISO 8</t>
        </is>
      </c>
      <c r="E797" t="inlineStr">
        <is>
          <t>Active air</t>
        </is>
      </c>
      <c r="F797" t="n">
        <v>1</v>
      </c>
      <c r="G797" t="inlineStr">
        <is>
          <t>Tech D</t>
        </is>
      </c>
      <c r="H797">
        <f>INDEX(Limits!$B$2:$B$5,MATCH(E797,Limits!$A$2:$A$5,0))</f>
        <v/>
      </c>
      <c r="I797">
        <f>INDEX(Limits!$C$2:$C$5,MATCH(E797,Limits!$A$2:$A$5,0))</f>
        <v/>
      </c>
      <c r="J797">
        <f>IF(F797&gt;=I797,"Action",IF(F797&gt;=H797,"Alert","Pass"))</f>
        <v/>
      </c>
      <c r="K797" s="4">
        <f>DATE(YEAR(B797),MONTH(B797),1)</f>
        <v/>
      </c>
    </row>
    <row r="798">
      <c r="A798" t="inlineStr">
        <is>
          <t>EM000797</t>
        </is>
      </c>
      <c r="B798" s="7" t="n">
        <v>46084</v>
      </c>
      <c r="C798" t="inlineStr">
        <is>
          <t>Gowning</t>
        </is>
      </c>
      <c r="D798" t="inlineStr">
        <is>
          <t>ISO 8</t>
        </is>
      </c>
      <c r="E798" t="inlineStr">
        <is>
          <t>Surface contact</t>
        </is>
      </c>
      <c r="F798" t="n">
        <v>2</v>
      </c>
      <c r="G798" t="inlineStr">
        <is>
          <t>Tech D</t>
        </is>
      </c>
      <c r="H798">
        <f>INDEX(Limits!$B$2:$B$5,MATCH(E798,Limits!$A$2:$A$5,0))</f>
        <v/>
      </c>
      <c r="I798">
        <f>INDEX(Limits!$C$2:$C$5,MATCH(E798,Limits!$A$2:$A$5,0))</f>
        <v/>
      </c>
      <c r="J798">
        <f>IF(F798&gt;=I798,"Action",IF(F798&gt;=H798,"Alert","Pass"))</f>
        <v/>
      </c>
      <c r="K798" s="4">
        <f>DATE(YEAR(B798),MONTH(B798),1)</f>
        <v/>
      </c>
    </row>
    <row r="799">
      <c r="A799" t="inlineStr">
        <is>
          <t>EM000798</t>
        </is>
      </c>
      <c r="B799" s="7" t="n">
        <v>46084</v>
      </c>
      <c r="C799" t="inlineStr">
        <is>
          <t>Gowning</t>
        </is>
      </c>
      <c r="D799" t="inlineStr">
        <is>
          <t>ISO 8</t>
        </is>
      </c>
      <c r="E799" t="inlineStr">
        <is>
          <t>Personnel glove</t>
        </is>
      </c>
      <c r="F799" t="n">
        <v>0</v>
      </c>
      <c r="G799" t="inlineStr">
        <is>
          <t>Tech D</t>
        </is>
      </c>
      <c r="H799">
        <f>INDEX(Limits!$B$2:$B$5,MATCH(E799,Limits!$A$2:$A$5,0))</f>
        <v/>
      </c>
      <c r="I799">
        <f>INDEX(Limits!$C$2:$C$5,MATCH(E799,Limits!$A$2:$A$5,0))</f>
        <v/>
      </c>
      <c r="J799">
        <f>IF(F799&gt;=I799,"Action",IF(F799&gt;=H799,"Alert","Pass"))</f>
        <v/>
      </c>
      <c r="K799" s="4">
        <f>DATE(YEAR(B799),MONTH(B799),1)</f>
        <v/>
      </c>
    </row>
    <row r="800">
      <c r="A800" t="inlineStr">
        <is>
          <t>EM000799</t>
        </is>
      </c>
      <c r="B800" s="7" t="n">
        <v>46085</v>
      </c>
      <c r="C800" t="inlineStr">
        <is>
          <t>CR-101</t>
        </is>
      </c>
      <c r="D800" t="inlineStr">
        <is>
          <t>ISO 7</t>
        </is>
      </c>
      <c r="E800" t="inlineStr">
        <is>
          <t>Active air</t>
        </is>
      </c>
      <c r="F800" t="n">
        <v>0</v>
      </c>
      <c r="G800" t="inlineStr">
        <is>
          <t>Tech A</t>
        </is>
      </c>
      <c r="H800">
        <f>INDEX(Limits!$B$2:$B$5,MATCH(E800,Limits!$A$2:$A$5,0))</f>
        <v/>
      </c>
      <c r="I800">
        <f>INDEX(Limits!$C$2:$C$5,MATCH(E800,Limits!$A$2:$A$5,0))</f>
        <v/>
      </c>
      <c r="J800">
        <f>IF(F800&gt;=I800,"Action",IF(F800&gt;=H800,"Alert","Pass"))</f>
        <v/>
      </c>
      <c r="K800" s="4">
        <f>DATE(YEAR(B800),MONTH(B800),1)</f>
        <v/>
      </c>
    </row>
    <row r="801">
      <c r="A801" t="inlineStr">
        <is>
          <t>EM000800</t>
        </is>
      </c>
      <c r="B801" s="7" t="n">
        <v>46085</v>
      </c>
      <c r="C801" t="inlineStr">
        <is>
          <t>CR-101</t>
        </is>
      </c>
      <c r="D801" t="inlineStr">
        <is>
          <t>ISO 7</t>
        </is>
      </c>
      <c r="E801" t="inlineStr">
        <is>
          <t>Surface contact</t>
        </is>
      </c>
      <c r="F801" t="n">
        <v>0</v>
      </c>
      <c r="G801" t="inlineStr">
        <is>
          <t>Tech B</t>
        </is>
      </c>
      <c r="H801">
        <f>INDEX(Limits!$B$2:$B$5,MATCH(E801,Limits!$A$2:$A$5,0))</f>
        <v/>
      </c>
      <c r="I801">
        <f>INDEX(Limits!$C$2:$C$5,MATCH(E801,Limits!$A$2:$A$5,0))</f>
        <v/>
      </c>
      <c r="J801">
        <f>IF(F801&gt;=I801,"Action",IF(F801&gt;=H801,"Alert","Pass"))</f>
        <v/>
      </c>
      <c r="K801" s="4">
        <f>DATE(YEAR(B801),MONTH(B801),1)</f>
        <v/>
      </c>
    </row>
    <row r="802">
      <c r="A802" t="inlineStr">
        <is>
          <t>EM000801</t>
        </is>
      </c>
      <c r="B802" s="7" t="n">
        <v>46085</v>
      </c>
      <c r="C802" t="inlineStr">
        <is>
          <t>CR-101</t>
        </is>
      </c>
      <c r="D802" t="inlineStr">
        <is>
          <t>ISO 7</t>
        </is>
      </c>
      <c r="E802" t="inlineStr">
        <is>
          <t>Compressed air</t>
        </is>
      </c>
      <c r="F802" t="n">
        <v>0</v>
      </c>
      <c r="G802" t="inlineStr">
        <is>
          <t>Tech A</t>
        </is>
      </c>
      <c r="H802">
        <f>INDEX(Limits!$B$2:$B$5,MATCH(E802,Limits!$A$2:$A$5,0))</f>
        <v/>
      </c>
      <c r="I802">
        <f>INDEX(Limits!$C$2:$C$5,MATCH(E802,Limits!$A$2:$A$5,0))</f>
        <v/>
      </c>
      <c r="J802">
        <f>IF(F802&gt;=I802,"Action",IF(F802&gt;=H802,"Alert","Pass"))</f>
        <v/>
      </c>
      <c r="K802" s="4">
        <f>DATE(YEAR(B802),MONTH(B802),1)</f>
        <v/>
      </c>
    </row>
    <row r="803">
      <c r="A803" t="inlineStr">
        <is>
          <t>EM000802</t>
        </is>
      </c>
      <c r="B803" s="7" t="n">
        <v>46085</v>
      </c>
      <c r="C803" t="inlineStr">
        <is>
          <t>CR-101</t>
        </is>
      </c>
      <c r="D803" t="inlineStr">
        <is>
          <t>ISO 7</t>
        </is>
      </c>
      <c r="E803" t="inlineStr">
        <is>
          <t>Personnel glove</t>
        </is>
      </c>
      <c r="F803" t="n">
        <v>0</v>
      </c>
      <c r="G803" t="inlineStr">
        <is>
          <t>Tech D</t>
        </is>
      </c>
      <c r="H803">
        <f>INDEX(Limits!$B$2:$B$5,MATCH(E803,Limits!$A$2:$A$5,0))</f>
        <v/>
      </c>
      <c r="I803">
        <f>INDEX(Limits!$C$2:$C$5,MATCH(E803,Limits!$A$2:$A$5,0))</f>
        <v/>
      </c>
      <c r="J803">
        <f>IF(F803&gt;=I803,"Action",IF(F803&gt;=H803,"Alert","Pass"))</f>
        <v/>
      </c>
      <c r="K803" s="4">
        <f>DATE(YEAR(B803),MONTH(B803),1)</f>
        <v/>
      </c>
    </row>
    <row r="804">
      <c r="A804" t="inlineStr">
        <is>
          <t>EM000803</t>
        </is>
      </c>
      <c r="B804" s="7" t="n">
        <v>46085</v>
      </c>
      <c r="C804" t="inlineStr">
        <is>
          <t>CR-102</t>
        </is>
      </c>
      <c r="D804" t="inlineStr">
        <is>
          <t>ISO 7</t>
        </is>
      </c>
      <c r="E804" t="inlineStr">
        <is>
          <t>Active air</t>
        </is>
      </c>
      <c r="F804" t="n">
        <v>1</v>
      </c>
      <c r="G804" t="inlineStr">
        <is>
          <t>Tech A</t>
        </is>
      </c>
      <c r="H804">
        <f>INDEX(Limits!$B$2:$B$5,MATCH(E804,Limits!$A$2:$A$5,0))</f>
        <v/>
      </c>
      <c r="I804">
        <f>INDEX(Limits!$C$2:$C$5,MATCH(E804,Limits!$A$2:$A$5,0))</f>
        <v/>
      </c>
      <c r="J804">
        <f>IF(F804&gt;=I804,"Action",IF(F804&gt;=H804,"Alert","Pass"))</f>
        <v/>
      </c>
      <c r="K804" s="4">
        <f>DATE(YEAR(B804),MONTH(B804),1)</f>
        <v/>
      </c>
    </row>
    <row r="805">
      <c r="A805" t="inlineStr">
        <is>
          <t>EM000804</t>
        </is>
      </c>
      <c r="B805" s="7" t="n">
        <v>46085</v>
      </c>
      <c r="C805" t="inlineStr">
        <is>
          <t>CR-102</t>
        </is>
      </c>
      <c r="D805" t="inlineStr">
        <is>
          <t>ISO 7</t>
        </is>
      </c>
      <c r="E805" t="inlineStr">
        <is>
          <t>Surface contact</t>
        </is>
      </c>
      <c r="F805" t="n">
        <v>0</v>
      </c>
      <c r="G805" t="inlineStr">
        <is>
          <t>Tech A</t>
        </is>
      </c>
      <c r="H805">
        <f>INDEX(Limits!$B$2:$B$5,MATCH(E805,Limits!$A$2:$A$5,0))</f>
        <v/>
      </c>
      <c r="I805">
        <f>INDEX(Limits!$C$2:$C$5,MATCH(E805,Limits!$A$2:$A$5,0))</f>
        <v/>
      </c>
      <c r="J805">
        <f>IF(F805&gt;=I805,"Action",IF(F805&gt;=H805,"Alert","Pass"))</f>
        <v/>
      </c>
      <c r="K805" s="4">
        <f>DATE(YEAR(B805),MONTH(B805),1)</f>
        <v/>
      </c>
    </row>
    <row r="806">
      <c r="A806" t="inlineStr">
        <is>
          <t>EM000805</t>
        </is>
      </c>
      <c r="B806" s="7" t="n">
        <v>46085</v>
      </c>
      <c r="C806" t="inlineStr">
        <is>
          <t>CR-102</t>
        </is>
      </c>
      <c r="D806" t="inlineStr">
        <is>
          <t>ISO 7</t>
        </is>
      </c>
      <c r="E806" t="inlineStr">
        <is>
          <t>Compressed air</t>
        </is>
      </c>
      <c r="F806" t="n">
        <v>0</v>
      </c>
      <c r="G806" t="inlineStr">
        <is>
          <t>Tech B</t>
        </is>
      </c>
      <c r="H806">
        <f>INDEX(Limits!$B$2:$B$5,MATCH(E806,Limits!$A$2:$A$5,0))</f>
        <v/>
      </c>
      <c r="I806">
        <f>INDEX(Limits!$C$2:$C$5,MATCH(E806,Limits!$A$2:$A$5,0))</f>
        <v/>
      </c>
      <c r="J806">
        <f>IF(F806&gt;=I806,"Action",IF(F806&gt;=H806,"Alert","Pass"))</f>
        <v/>
      </c>
      <c r="K806" s="4">
        <f>DATE(YEAR(B806),MONTH(B806),1)</f>
        <v/>
      </c>
    </row>
    <row r="807">
      <c r="A807" t="inlineStr">
        <is>
          <t>EM000806</t>
        </is>
      </c>
      <c r="B807" s="7" t="n">
        <v>46085</v>
      </c>
      <c r="C807" t="inlineStr">
        <is>
          <t>CR-102</t>
        </is>
      </c>
      <c r="D807" t="inlineStr">
        <is>
          <t>ISO 7</t>
        </is>
      </c>
      <c r="E807" t="inlineStr">
        <is>
          <t>Personnel glove</t>
        </is>
      </c>
      <c r="F807" t="n">
        <v>0</v>
      </c>
      <c r="G807" t="inlineStr">
        <is>
          <t>Tech D</t>
        </is>
      </c>
      <c r="H807">
        <f>INDEX(Limits!$B$2:$B$5,MATCH(E807,Limits!$A$2:$A$5,0))</f>
        <v/>
      </c>
      <c r="I807">
        <f>INDEX(Limits!$C$2:$C$5,MATCH(E807,Limits!$A$2:$A$5,0))</f>
        <v/>
      </c>
      <c r="J807">
        <f>IF(F807&gt;=I807,"Action",IF(F807&gt;=H807,"Alert","Pass"))</f>
        <v/>
      </c>
      <c r="K807" s="4">
        <f>DATE(YEAR(B807),MONTH(B807),1)</f>
        <v/>
      </c>
    </row>
    <row r="808">
      <c r="A808" t="inlineStr">
        <is>
          <t>EM000807</t>
        </is>
      </c>
      <c r="B808" s="7" t="n">
        <v>46085</v>
      </c>
      <c r="C808" t="inlineStr">
        <is>
          <t>CR-201</t>
        </is>
      </c>
      <c r="D808" t="inlineStr">
        <is>
          <t>ISO 8</t>
        </is>
      </c>
      <c r="E808" t="inlineStr">
        <is>
          <t>Active air</t>
        </is>
      </c>
      <c r="F808" t="n">
        <v>1</v>
      </c>
      <c r="G808" t="inlineStr">
        <is>
          <t>Tech C</t>
        </is>
      </c>
      <c r="H808">
        <f>INDEX(Limits!$B$2:$B$5,MATCH(E808,Limits!$A$2:$A$5,0))</f>
        <v/>
      </c>
      <c r="I808">
        <f>INDEX(Limits!$C$2:$C$5,MATCH(E808,Limits!$A$2:$A$5,0))</f>
        <v/>
      </c>
      <c r="J808">
        <f>IF(F808&gt;=I808,"Action",IF(F808&gt;=H808,"Alert","Pass"))</f>
        <v/>
      </c>
      <c r="K808" s="4">
        <f>DATE(YEAR(B808),MONTH(B808),1)</f>
        <v/>
      </c>
    </row>
    <row r="809">
      <c r="A809" t="inlineStr">
        <is>
          <t>EM000808</t>
        </is>
      </c>
      <c r="B809" s="7" t="n">
        <v>46085</v>
      </c>
      <c r="C809" t="inlineStr">
        <is>
          <t>CR-201</t>
        </is>
      </c>
      <c r="D809" t="inlineStr">
        <is>
          <t>ISO 8</t>
        </is>
      </c>
      <c r="E809" t="inlineStr">
        <is>
          <t>Surface contact</t>
        </is>
      </c>
      <c r="F809" t="n">
        <v>0</v>
      </c>
      <c r="G809" t="inlineStr">
        <is>
          <t>Tech D</t>
        </is>
      </c>
      <c r="H809">
        <f>INDEX(Limits!$B$2:$B$5,MATCH(E809,Limits!$A$2:$A$5,0))</f>
        <v/>
      </c>
      <c r="I809">
        <f>INDEX(Limits!$C$2:$C$5,MATCH(E809,Limits!$A$2:$A$5,0))</f>
        <v/>
      </c>
      <c r="J809">
        <f>IF(F809&gt;=I809,"Action",IF(F809&gt;=H809,"Alert","Pass"))</f>
        <v/>
      </c>
      <c r="K809" s="4">
        <f>DATE(YEAR(B809),MONTH(B809),1)</f>
        <v/>
      </c>
    </row>
    <row r="810">
      <c r="A810" t="inlineStr">
        <is>
          <t>EM000809</t>
        </is>
      </c>
      <c r="B810" s="7" t="n">
        <v>46085</v>
      </c>
      <c r="C810" t="inlineStr">
        <is>
          <t>CR-201</t>
        </is>
      </c>
      <c r="D810" t="inlineStr">
        <is>
          <t>ISO 8</t>
        </is>
      </c>
      <c r="E810" t="inlineStr">
        <is>
          <t>Compressed air</t>
        </is>
      </c>
      <c r="F810" t="n">
        <v>0</v>
      </c>
      <c r="G810" t="inlineStr">
        <is>
          <t>Tech B</t>
        </is>
      </c>
      <c r="H810">
        <f>INDEX(Limits!$B$2:$B$5,MATCH(E810,Limits!$A$2:$A$5,0))</f>
        <v/>
      </c>
      <c r="I810">
        <f>INDEX(Limits!$C$2:$C$5,MATCH(E810,Limits!$A$2:$A$5,0))</f>
        <v/>
      </c>
      <c r="J810">
        <f>IF(F810&gt;=I810,"Action",IF(F810&gt;=H810,"Alert","Pass"))</f>
        <v/>
      </c>
      <c r="K810" s="4">
        <f>DATE(YEAR(B810),MONTH(B810),1)</f>
        <v/>
      </c>
    </row>
    <row r="811">
      <c r="A811" t="inlineStr">
        <is>
          <t>EM000810</t>
        </is>
      </c>
      <c r="B811" s="7" t="n">
        <v>46085</v>
      </c>
      <c r="C811" t="inlineStr">
        <is>
          <t>CR-201</t>
        </is>
      </c>
      <c r="D811" t="inlineStr">
        <is>
          <t>ISO 8</t>
        </is>
      </c>
      <c r="E811" t="inlineStr">
        <is>
          <t>Personnel glove</t>
        </is>
      </c>
      <c r="F811" t="n">
        <v>0</v>
      </c>
      <c r="G811" t="inlineStr">
        <is>
          <t>Tech C</t>
        </is>
      </c>
      <c r="H811">
        <f>INDEX(Limits!$B$2:$B$5,MATCH(E811,Limits!$A$2:$A$5,0))</f>
        <v/>
      </c>
      <c r="I811">
        <f>INDEX(Limits!$C$2:$C$5,MATCH(E811,Limits!$A$2:$A$5,0))</f>
        <v/>
      </c>
      <c r="J811">
        <f>IF(F811&gt;=I811,"Action",IF(F811&gt;=H811,"Alert","Pass"))</f>
        <v/>
      </c>
      <c r="K811" s="4">
        <f>DATE(YEAR(B811),MONTH(B811),1)</f>
        <v/>
      </c>
    </row>
    <row r="812">
      <c r="A812" t="inlineStr">
        <is>
          <t>EM000811</t>
        </is>
      </c>
      <c r="B812" s="7" t="n">
        <v>46085</v>
      </c>
      <c r="C812" t="inlineStr">
        <is>
          <t>CR-202</t>
        </is>
      </c>
      <c r="D812" t="inlineStr">
        <is>
          <t>ISO 8</t>
        </is>
      </c>
      <c r="E812" t="inlineStr">
        <is>
          <t>Active air</t>
        </is>
      </c>
      <c r="F812" t="n">
        <v>2</v>
      </c>
      <c r="G812" t="inlineStr">
        <is>
          <t>Tech A</t>
        </is>
      </c>
      <c r="H812">
        <f>INDEX(Limits!$B$2:$B$5,MATCH(E812,Limits!$A$2:$A$5,0))</f>
        <v/>
      </c>
      <c r="I812">
        <f>INDEX(Limits!$C$2:$C$5,MATCH(E812,Limits!$A$2:$A$5,0))</f>
        <v/>
      </c>
      <c r="J812">
        <f>IF(F812&gt;=I812,"Action",IF(F812&gt;=H812,"Alert","Pass"))</f>
        <v/>
      </c>
      <c r="K812" s="4">
        <f>DATE(YEAR(B812),MONTH(B812),1)</f>
        <v/>
      </c>
    </row>
    <row r="813">
      <c r="A813" t="inlineStr">
        <is>
          <t>EM000812</t>
        </is>
      </c>
      <c r="B813" s="7" t="n">
        <v>46085</v>
      </c>
      <c r="C813" t="inlineStr">
        <is>
          <t>CR-202</t>
        </is>
      </c>
      <c r="D813" t="inlineStr">
        <is>
          <t>ISO 8</t>
        </is>
      </c>
      <c r="E813" t="inlineStr">
        <is>
          <t>Surface contact</t>
        </is>
      </c>
      <c r="F813" t="n">
        <v>0</v>
      </c>
      <c r="G813" t="inlineStr">
        <is>
          <t>Tech D</t>
        </is>
      </c>
      <c r="H813">
        <f>INDEX(Limits!$B$2:$B$5,MATCH(E813,Limits!$A$2:$A$5,0))</f>
        <v/>
      </c>
      <c r="I813">
        <f>INDEX(Limits!$C$2:$C$5,MATCH(E813,Limits!$A$2:$A$5,0))</f>
        <v/>
      </c>
      <c r="J813">
        <f>IF(F813&gt;=I813,"Action",IF(F813&gt;=H813,"Alert","Pass"))</f>
        <v/>
      </c>
      <c r="K813" s="4">
        <f>DATE(YEAR(B813),MONTH(B813),1)</f>
        <v/>
      </c>
    </row>
    <row r="814">
      <c r="A814" t="inlineStr">
        <is>
          <t>EM000813</t>
        </is>
      </c>
      <c r="B814" s="7" t="n">
        <v>46085</v>
      </c>
      <c r="C814" t="inlineStr">
        <is>
          <t>CR-202</t>
        </is>
      </c>
      <c r="D814" t="inlineStr">
        <is>
          <t>ISO 8</t>
        </is>
      </c>
      <c r="E814" t="inlineStr">
        <is>
          <t>Compressed air</t>
        </is>
      </c>
      <c r="F814" t="n">
        <v>0</v>
      </c>
      <c r="G814" t="inlineStr">
        <is>
          <t>Tech B</t>
        </is>
      </c>
      <c r="H814">
        <f>INDEX(Limits!$B$2:$B$5,MATCH(E814,Limits!$A$2:$A$5,0))</f>
        <v/>
      </c>
      <c r="I814">
        <f>INDEX(Limits!$C$2:$C$5,MATCH(E814,Limits!$A$2:$A$5,0))</f>
        <v/>
      </c>
      <c r="J814">
        <f>IF(F814&gt;=I814,"Action",IF(F814&gt;=H814,"Alert","Pass"))</f>
        <v/>
      </c>
      <c r="K814" s="4">
        <f>DATE(YEAR(B814),MONTH(B814),1)</f>
        <v/>
      </c>
    </row>
    <row r="815">
      <c r="A815" t="inlineStr">
        <is>
          <t>EM000814</t>
        </is>
      </c>
      <c r="B815" s="7" t="n">
        <v>46085</v>
      </c>
      <c r="C815" t="inlineStr">
        <is>
          <t>CR-202</t>
        </is>
      </c>
      <c r="D815" t="inlineStr">
        <is>
          <t>ISO 8</t>
        </is>
      </c>
      <c r="E815" t="inlineStr">
        <is>
          <t>Personnel glove</t>
        </is>
      </c>
      <c r="F815" t="n">
        <v>0</v>
      </c>
      <c r="G815" t="inlineStr">
        <is>
          <t>Tech C</t>
        </is>
      </c>
      <c r="H815">
        <f>INDEX(Limits!$B$2:$B$5,MATCH(E815,Limits!$A$2:$A$5,0))</f>
        <v/>
      </c>
      <c r="I815">
        <f>INDEX(Limits!$C$2:$C$5,MATCH(E815,Limits!$A$2:$A$5,0))</f>
        <v/>
      </c>
      <c r="J815">
        <f>IF(F815&gt;=I815,"Action",IF(F815&gt;=H815,"Alert","Pass"))</f>
        <v/>
      </c>
      <c r="K815" s="4">
        <f>DATE(YEAR(B815),MONTH(B815),1)</f>
        <v/>
      </c>
    </row>
    <row r="816">
      <c r="A816" t="inlineStr">
        <is>
          <t>EM000815</t>
        </is>
      </c>
      <c r="B816" s="7" t="n">
        <v>46085</v>
      </c>
      <c r="C816" t="inlineStr">
        <is>
          <t>Gowning</t>
        </is>
      </c>
      <c r="D816" t="inlineStr">
        <is>
          <t>ISO 8</t>
        </is>
      </c>
      <c r="E816" t="inlineStr">
        <is>
          <t>Active air</t>
        </is>
      </c>
      <c r="F816" t="n">
        <v>0</v>
      </c>
      <c r="G816" t="inlineStr">
        <is>
          <t>Tech B</t>
        </is>
      </c>
      <c r="H816">
        <f>INDEX(Limits!$B$2:$B$5,MATCH(E816,Limits!$A$2:$A$5,0))</f>
        <v/>
      </c>
      <c r="I816">
        <f>INDEX(Limits!$C$2:$C$5,MATCH(E816,Limits!$A$2:$A$5,0))</f>
        <v/>
      </c>
      <c r="J816">
        <f>IF(F816&gt;=I816,"Action",IF(F816&gt;=H816,"Alert","Pass"))</f>
        <v/>
      </c>
      <c r="K816" s="4">
        <f>DATE(YEAR(B816),MONTH(B816),1)</f>
        <v/>
      </c>
    </row>
    <row r="817">
      <c r="A817" t="inlineStr">
        <is>
          <t>EM000816</t>
        </is>
      </c>
      <c r="B817" s="7" t="n">
        <v>46085</v>
      </c>
      <c r="C817" t="inlineStr">
        <is>
          <t>Gowning</t>
        </is>
      </c>
      <c r="D817" t="inlineStr">
        <is>
          <t>ISO 8</t>
        </is>
      </c>
      <c r="E817" t="inlineStr">
        <is>
          <t>Surface contact</t>
        </is>
      </c>
      <c r="F817" t="n">
        <v>0</v>
      </c>
      <c r="G817" t="inlineStr">
        <is>
          <t>Tech D</t>
        </is>
      </c>
      <c r="H817">
        <f>INDEX(Limits!$B$2:$B$5,MATCH(E817,Limits!$A$2:$A$5,0))</f>
        <v/>
      </c>
      <c r="I817">
        <f>INDEX(Limits!$C$2:$C$5,MATCH(E817,Limits!$A$2:$A$5,0))</f>
        <v/>
      </c>
      <c r="J817">
        <f>IF(F817&gt;=I817,"Action",IF(F817&gt;=H817,"Alert","Pass"))</f>
        <v/>
      </c>
      <c r="K817" s="4">
        <f>DATE(YEAR(B817),MONTH(B817),1)</f>
        <v/>
      </c>
    </row>
    <row r="818">
      <c r="A818" t="inlineStr">
        <is>
          <t>EM000817</t>
        </is>
      </c>
      <c r="B818" s="7" t="n">
        <v>46085</v>
      </c>
      <c r="C818" t="inlineStr">
        <is>
          <t>Gowning</t>
        </is>
      </c>
      <c r="D818" t="inlineStr">
        <is>
          <t>ISO 8</t>
        </is>
      </c>
      <c r="E818" t="inlineStr">
        <is>
          <t>Personnel glove</t>
        </is>
      </c>
      <c r="F818" t="n">
        <v>0</v>
      </c>
      <c r="G818" t="inlineStr">
        <is>
          <t>Tech C</t>
        </is>
      </c>
      <c r="H818">
        <f>INDEX(Limits!$B$2:$B$5,MATCH(E818,Limits!$A$2:$A$5,0))</f>
        <v/>
      </c>
      <c r="I818">
        <f>INDEX(Limits!$C$2:$C$5,MATCH(E818,Limits!$A$2:$A$5,0))</f>
        <v/>
      </c>
      <c r="J818">
        <f>IF(F818&gt;=I818,"Action",IF(F818&gt;=H818,"Alert","Pass"))</f>
        <v/>
      </c>
      <c r="K818" s="4">
        <f>DATE(YEAR(B818),MONTH(B818),1)</f>
        <v/>
      </c>
    </row>
    <row r="819">
      <c r="A819" t="inlineStr">
        <is>
          <t>EM000818</t>
        </is>
      </c>
      <c r="B819" s="7" t="n">
        <v>46086</v>
      </c>
      <c r="C819" t="inlineStr">
        <is>
          <t>CR-101</t>
        </is>
      </c>
      <c r="D819" t="inlineStr">
        <is>
          <t>ISO 7</t>
        </is>
      </c>
      <c r="E819" t="inlineStr">
        <is>
          <t>Active air</t>
        </is>
      </c>
      <c r="F819" t="n">
        <v>1</v>
      </c>
      <c r="G819" t="inlineStr">
        <is>
          <t>Tech C</t>
        </is>
      </c>
      <c r="H819">
        <f>INDEX(Limits!$B$2:$B$5,MATCH(E819,Limits!$A$2:$A$5,0))</f>
        <v/>
      </c>
      <c r="I819">
        <f>INDEX(Limits!$C$2:$C$5,MATCH(E819,Limits!$A$2:$A$5,0))</f>
        <v/>
      </c>
      <c r="J819">
        <f>IF(F819&gt;=I819,"Action",IF(F819&gt;=H819,"Alert","Pass"))</f>
        <v/>
      </c>
      <c r="K819" s="4">
        <f>DATE(YEAR(B819),MONTH(B819),1)</f>
        <v/>
      </c>
    </row>
    <row r="820">
      <c r="A820" t="inlineStr">
        <is>
          <t>EM000819</t>
        </is>
      </c>
      <c r="B820" s="7" t="n">
        <v>46086</v>
      </c>
      <c r="C820" t="inlineStr">
        <is>
          <t>CR-101</t>
        </is>
      </c>
      <c r="D820" t="inlineStr">
        <is>
          <t>ISO 7</t>
        </is>
      </c>
      <c r="E820" t="inlineStr">
        <is>
          <t>Surface contact</t>
        </is>
      </c>
      <c r="F820" t="n">
        <v>0</v>
      </c>
      <c r="G820" t="inlineStr">
        <is>
          <t>Tech C</t>
        </is>
      </c>
      <c r="H820">
        <f>INDEX(Limits!$B$2:$B$5,MATCH(E820,Limits!$A$2:$A$5,0))</f>
        <v/>
      </c>
      <c r="I820">
        <f>INDEX(Limits!$C$2:$C$5,MATCH(E820,Limits!$A$2:$A$5,0))</f>
        <v/>
      </c>
      <c r="J820">
        <f>IF(F820&gt;=I820,"Action",IF(F820&gt;=H820,"Alert","Pass"))</f>
        <v/>
      </c>
      <c r="K820" s="4">
        <f>DATE(YEAR(B820),MONTH(B820),1)</f>
        <v/>
      </c>
    </row>
    <row r="821">
      <c r="A821" t="inlineStr">
        <is>
          <t>EM000820</t>
        </is>
      </c>
      <c r="B821" s="7" t="n">
        <v>46086</v>
      </c>
      <c r="C821" t="inlineStr">
        <is>
          <t>CR-101</t>
        </is>
      </c>
      <c r="D821" t="inlineStr">
        <is>
          <t>ISO 7</t>
        </is>
      </c>
      <c r="E821" t="inlineStr">
        <is>
          <t>Compressed air</t>
        </is>
      </c>
      <c r="F821" t="n">
        <v>0</v>
      </c>
      <c r="G821" t="inlineStr">
        <is>
          <t>Tech A</t>
        </is>
      </c>
      <c r="H821">
        <f>INDEX(Limits!$B$2:$B$5,MATCH(E821,Limits!$A$2:$A$5,0))</f>
        <v/>
      </c>
      <c r="I821">
        <f>INDEX(Limits!$C$2:$C$5,MATCH(E821,Limits!$A$2:$A$5,0))</f>
        <v/>
      </c>
      <c r="J821">
        <f>IF(F821&gt;=I821,"Action",IF(F821&gt;=H821,"Alert","Pass"))</f>
        <v/>
      </c>
      <c r="K821" s="4">
        <f>DATE(YEAR(B821),MONTH(B821),1)</f>
        <v/>
      </c>
    </row>
    <row r="822">
      <c r="A822" t="inlineStr">
        <is>
          <t>EM000821</t>
        </is>
      </c>
      <c r="B822" s="7" t="n">
        <v>46086</v>
      </c>
      <c r="C822" t="inlineStr">
        <is>
          <t>CR-101</t>
        </is>
      </c>
      <c r="D822" t="inlineStr">
        <is>
          <t>ISO 7</t>
        </is>
      </c>
      <c r="E822" t="inlineStr">
        <is>
          <t>Personnel glove</t>
        </is>
      </c>
      <c r="F822" t="n">
        <v>1</v>
      </c>
      <c r="G822" t="inlineStr">
        <is>
          <t>Tech A</t>
        </is>
      </c>
      <c r="H822">
        <f>INDEX(Limits!$B$2:$B$5,MATCH(E822,Limits!$A$2:$A$5,0))</f>
        <v/>
      </c>
      <c r="I822">
        <f>INDEX(Limits!$C$2:$C$5,MATCH(E822,Limits!$A$2:$A$5,0))</f>
        <v/>
      </c>
      <c r="J822">
        <f>IF(F822&gt;=I822,"Action",IF(F822&gt;=H822,"Alert","Pass"))</f>
        <v/>
      </c>
      <c r="K822" s="4">
        <f>DATE(YEAR(B822),MONTH(B822),1)</f>
        <v/>
      </c>
    </row>
    <row r="823">
      <c r="A823" t="inlineStr">
        <is>
          <t>EM000822</t>
        </is>
      </c>
      <c r="B823" s="7" t="n">
        <v>46086</v>
      </c>
      <c r="C823" t="inlineStr">
        <is>
          <t>CR-102</t>
        </is>
      </c>
      <c r="D823" t="inlineStr">
        <is>
          <t>ISO 7</t>
        </is>
      </c>
      <c r="E823" t="inlineStr">
        <is>
          <t>Active air</t>
        </is>
      </c>
      <c r="F823" t="n">
        <v>0</v>
      </c>
      <c r="G823" t="inlineStr">
        <is>
          <t>Tech B</t>
        </is>
      </c>
      <c r="H823">
        <f>INDEX(Limits!$B$2:$B$5,MATCH(E823,Limits!$A$2:$A$5,0))</f>
        <v/>
      </c>
      <c r="I823">
        <f>INDEX(Limits!$C$2:$C$5,MATCH(E823,Limits!$A$2:$A$5,0))</f>
        <v/>
      </c>
      <c r="J823">
        <f>IF(F823&gt;=I823,"Action",IF(F823&gt;=H823,"Alert","Pass"))</f>
        <v/>
      </c>
      <c r="K823" s="4">
        <f>DATE(YEAR(B823),MONTH(B823),1)</f>
        <v/>
      </c>
    </row>
    <row r="824">
      <c r="A824" t="inlineStr">
        <is>
          <t>EM000823</t>
        </is>
      </c>
      <c r="B824" s="7" t="n">
        <v>46086</v>
      </c>
      <c r="C824" t="inlineStr">
        <is>
          <t>CR-102</t>
        </is>
      </c>
      <c r="D824" t="inlineStr">
        <is>
          <t>ISO 7</t>
        </is>
      </c>
      <c r="E824" t="inlineStr">
        <is>
          <t>Surface contact</t>
        </is>
      </c>
      <c r="F824" t="n">
        <v>2</v>
      </c>
      <c r="G824" t="inlineStr">
        <is>
          <t>Tech A</t>
        </is>
      </c>
      <c r="H824">
        <f>INDEX(Limits!$B$2:$B$5,MATCH(E824,Limits!$A$2:$A$5,0))</f>
        <v/>
      </c>
      <c r="I824">
        <f>INDEX(Limits!$C$2:$C$5,MATCH(E824,Limits!$A$2:$A$5,0))</f>
        <v/>
      </c>
      <c r="J824">
        <f>IF(F824&gt;=I824,"Action",IF(F824&gt;=H824,"Alert","Pass"))</f>
        <v/>
      </c>
      <c r="K824" s="4">
        <f>DATE(YEAR(B824),MONTH(B824),1)</f>
        <v/>
      </c>
    </row>
    <row r="825">
      <c r="A825" t="inlineStr">
        <is>
          <t>EM000824</t>
        </is>
      </c>
      <c r="B825" s="7" t="n">
        <v>46086</v>
      </c>
      <c r="C825" t="inlineStr">
        <is>
          <t>CR-102</t>
        </is>
      </c>
      <c r="D825" t="inlineStr">
        <is>
          <t>ISO 7</t>
        </is>
      </c>
      <c r="E825" t="inlineStr">
        <is>
          <t>Compressed air</t>
        </is>
      </c>
      <c r="F825" t="n">
        <v>0</v>
      </c>
      <c r="G825" t="inlineStr">
        <is>
          <t>Tech A</t>
        </is>
      </c>
      <c r="H825">
        <f>INDEX(Limits!$B$2:$B$5,MATCH(E825,Limits!$A$2:$A$5,0))</f>
        <v/>
      </c>
      <c r="I825">
        <f>INDEX(Limits!$C$2:$C$5,MATCH(E825,Limits!$A$2:$A$5,0))</f>
        <v/>
      </c>
      <c r="J825">
        <f>IF(F825&gt;=I825,"Action",IF(F825&gt;=H825,"Alert","Pass"))</f>
        <v/>
      </c>
      <c r="K825" s="4">
        <f>DATE(YEAR(B825),MONTH(B825),1)</f>
        <v/>
      </c>
    </row>
    <row r="826">
      <c r="A826" t="inlineStr">
        <is>
          <t>EM000825</t>
        </is>
      </c>
      <c r="B826" s="7" t="n">
        <v>46086</v>
      </c>
      <c r="C826" t="inlineStr">
        <is>
          <t>CR-102</t>
        </is>
      </c>
      <c r="D826" t="inlineStr">
        <is>
          <t>ISO 7</t>
        </is>
      </c>
      <c r="E826" t="inlineStr">
        <is>
          <t>Personnel glove</t>
        </is>
      </c>
      <c r="F826" t="n">
        <v>0</v>
      </c>
      <c r="G826" t="inlineStr">
        <is>
          <t>Tech C</t>
        </is>
      </c>
      <c r="H826">
        <f>INDEX(Limits!$B$2:$B$5,MATCH(E826,Limits!$A$2:$A$5,0))</f>
        <v/>
      </c>
      <c r="I826">
        <f>INDEX(Limits!$C$2:$C$5,MATCH(E826,Limits!$A$2:$A$5,0))</f>
        <v/>
      </c>
      <c r="J826">
        <f>IF(F826&gt;=I826,"Action",IF(F826&gt;=H826,"Alert","Pass"))</f>
        <v/>
      </c>
      <c r="K826" s="4">
        <f>DATE(YEAR(B826),MONTH(B826),1)</f>
        <v/>
      </c>
    </row>
    <row r="827">
      <c r="A827" t="inlineStr">
        <is>
          <t>EM000826</t>
        </is>
      </c>
      <c r="B827" s="7" t="n">
        <v>46086</v>
      </c>
      <c r="C827" t="inlineStr">
        <is>
          <t>CR-201</t>
        </is>
      </c>
      <c r="D827" t="inlineStr">
        <is>
          <t>ISO 8</t>
        </is>
      </c>
      <c r="E827" t="inlineStr">
        <is>
          <t>Active air</t>
        </is>
      </c>
      <c r="F827" t="n">
        <v>0</v>
      </c>
      <c r="G827" t="inlineStr">
        <is>
          <t>Tech A</t>
        </is>
      </c>
      <c r="H827">
        <f>INDEX(Limits!$B$2:$B$5,MATCH(E827,Limits!$A$2:$A$5,0))</f>
        <v/>
      </c>
      <c r="I827">
        <f>INDEX(Limits!$C$2:$C$5,MATCH(E827,Limits!$A$2:$A$5,0))</f>
        <v/>
      </c>
      <c r="J827">
        <f>IF(F827&gt;=I827,"Action",IF(F827&gt;=H827,"Alert","Pass"))</f>
        <v/>
      </c>
      <c r="K827" s="4">
        <f>DATE(YEAR(B827),MONTH(B827),1)</f>
        <v/>
      </c>
    </row>
    <row r="828">
      <c r="A828" t="inlineStr">
        <is>
          <t>EM000827</t>
        </is>
      </c>
      <c r="B828" s="7" t="n">
        <v>46086</v>
      </c>
      <c r="C828" t="inlineStr">
        <is>
          <t>CR-201</t>
        </is>
      </c>
      <c r="D828" t="inlineStr">
        <is>
          <t>ISO 8</t>
        </is>
      </c>
      <c r="E828" t="inlineStr">
        <is>
          <t>Surface contact</t>
        </is>
      </c>
      <c r="F828" t="n">
        <v>0</v>
      </c>
      <c r="G828" t="inlineStr">
        <is>
          <t>Tech C</t>
        </is>
      </c>
      <c r="H828">
        <f>INDEX(Limits!$B$2:$B$5,MATCH(E828,Limits!$A$2:$A$5,0))</f>
        <v/>
      </c>
      <c r="I828">
        <f>INDEX(Limits!$C$2:$C$5,MATCH(E828,Limits!$A$2:$A$5,0))</f>
        <v/>
      </c>
      <c r="J828">
        <f>IF(F828&gt;=I828,"Action",IF(F828&gt;=H828,"Alert","Pass"))</f>
        <v/>
      </c>
      <c r="K828" s="4">
        <f>DATE(YEAR(B828),MONTH(B828),1)</f>
        <v/>
      </c>
    </row>
    <row r="829">
      <c r="A829" t="inlineStr">
        <is>
          <t>EM000828</t>
        </is>
      </c>
      <c r="B829" s="7" t="n">
        <v>46086</v>
      </c>
      <c r="C829" t="inlineStr">
        <is>
          <t>CR-201</t>
        </is>
      </c>
      <c r="D829" t="inlineStr">
        <is>
          <t>ISO 8</t>
        </is>
      </c>
      <c r="E829" t="inlineStr">
        <is>
          <t>Compressed air</t>
        </is>
      </c>
      <c r="F829" t="n">
        <v>0</v>
      </c>
      <c r="G829" t="inlineStr">
        <is>
          <t>Tech C</t>
        </is>
      </c>
      <c r="H829">
        <f>INDEX(Limits!$B$2:$B$5,MATCH(E829,Limits!$A$2:$A$5,0))</f>
        <v/>
      </c>
      <c r="I829">
        <f>INDEX(Limits!$C$2:$C$5,MATCH(E829,Limits!$A$2:$A$5,0))</f>
        <v/>
      </c>
      <c r="J829">
        <f>IF(F829&gt;=I829,"Action",IF(F829&gt;=H829,"Alert","Pass"))</f>
        <v/>
      </c>
      <c r="K829" s="4">
        <f>DATE(YEAR(B829),MONTH(B829),1)</f>
        <v/>
      </c>
    </row>
    <row r="830">
      <c r="A830" t="inlineStr">
        <is>
          <t>EM000829</t>
        </is>
      </c>
      <c r="B830" s="7" t="n">
        <v>46086</v>
      </c>
      <c r="C830" t="inlineStr">
        <is>
          <t>CR-201</t>
        </is>
      </c>
      <c r="D830" t="inlineStr">
        <is>
          <t>ISO 8</t>
        </is>
      </c>
      <c r="E830" t="inlineStr">
        <is>
          <t>Personnel glove</t>
        </is>
      </c>
      <c r="F830" t="n">
        <v>0</v>
      </c>
      <c r="G830" t="inlineStr">
        <is>
          <t>Tech A</t>
        </is>
      </c>
      <c r="H830">
        <f>INDEX(Limits!$B$2:$B$5,MATCH(E830,Limits!$A$2:$A$5,0))</f>
        <v/>
      </c>
      <c r="I830">
        <f>INDEX(Limits!$C$2:$C$5,MATCH(E830,Limits!$A$2:$A$5,0))</f>
        <v/>
      </c>
      <c r="J830">
        <f>IF(F830&gt;=I830,"Action",IF(F830&gt;=H830,"Alert","Pass"))</f>
        <v/>
      </c>
      <c r="K830" s="4">
        <f>DATE(YEAR(B830),MONTH(B830),1)</f>
        <v/>
      </c>
    </row>
    <row r="831">
      <c r="A831" t="inlineStr">
        <is>
          <t>EM000830</t>
        </is>
      </c>
      <c r="B831" s="7" t="n">
        <v>46086</v>
      </c>
      <c r="C831" t="inlineStr">
        <is>
          <t>CR-202</t>
        </is>
      </c>
      <c r="D831" t="inlineStr">
        <is>
          <t>ISO 8</t>
        </is>
      </c>
      <c r="E831" t="inlineStr">
        <is>
          <t>Active air</t>
        </is>
      </c>
      <c r="F831" t="n">
        <v>2</v>
      </c>
      <c r="G831" t="inlineStr">
        <is>
          <t>Tech D</t>
        </is>
      </c>
      <c r="H831">
        <f>INDEX(Limits!$B$2:$B$5,MATCH(E831,Limits!$A$2:$A$5,0))</f>
        <v/>
      </c>
      <c r="I831">
        <f>INDEX(Limits!$C$2:$C$5,MATCH(E831,Limits!$A$2:$A$5,0))</f>
        <v/>
      </c>
      <c r="J831">
        <f>IF(F831&gt;=I831,"Action",IF(F831&gt;=H831,"Alert","Pass"))</f>
        <v/>
      </c>
      <c r="K831" s="4">
        <f>DATE(YEAR(B831),MONTH(B831),1)</f>
        <v/>
      </c>
    </row>
    <row r="832">
      <c r="A832" t="inlineStr">
        <is>
          <t>EM000831</t>
        </is>
      </c>
      <c r="B832" s="7" t="n">
        <v>46086</v>
      </c>
      <c r="C832" t="inlineStr">
        <is>
          <t>CR-202</t>
        </is>
      </c>
      <c r="D832" t="inlineStr">
        <is>
          <t>ISO 8</t>
        </is>
      </c>
      <c r="E832" t="inlineStr">
        <is>
          <t>Surface contact</t>
        </is>
      </c>
      <c r="F832" t="n">
        <v>0</v>
      </c>
      <c r="G832" t="inlineStr">
        <is>
          <t>Tech A</t>
        </is>
      </c>
      <c r="H832">
        <f>INDEX(Limits!$B$2:$B$5,MATCH(E832,Limits!$A$2:$A$5,0))</f>
        <v/>
      </c>
      <c r="I832">
        <f>INDEX(Limits!$C$2:$C$5,MATCH(E832,Limits!$A$2:$A$5,0))</f>
        <v/>
      </c>
      <c r="J832">
        <f>IF(F832&gt;=I832,"Action",IF(F832&gt;=H832,"Alert","Pass"))</f>
        <v/>
      </c>
      <c r="K832" s="4">
        <f>DATE(YEAR(B832),MONTH(B832),1)</f>
        <v/>
      </c>
    </row>
    <row r="833">
      <c r="A833" t="inlineStr">
        <is>
          <t>EM000832</t>
        </is>
      </c>
      <c r="B833" s="7" t="n">
        <v>46086</v>
      </c>
      <c r="C833" t="inlineStr">
        <is>
          <t>CR-202</t>
        </is>
      </c>
      <c r="D833" t="inlineStr">
        <is>
          <t>ISO 8</t>
        </is>
      </c>
      <c r="E833" t="inlineStr">
        <is>
          <t>Compressed air</t>
        </is>
      </c>
      <c r="F833" t="n">
        <v>0</v>
      </c>
      <c r="G833" t="inlineStr">
        <is>
          <t>Tech C</t>
        </is>
      </c>
      <c r="H833">
        <f>INDEX(Limits!$B$2:$B$5,MATCH(E833,Limits!$A$2:$A$5,0))</f>
        <v/>
      </c>
      <c r="I833">
        <f>INDEX(Limits!$C$2:$C$5,MATCH(E833,Limits!$A$2:$A$5,0))</f>
        <v/>
      </c>
      <c r="J833">
        <f>IF(F833&gt;=I833,"Action",IF(F833&gt;=H833,"Alert","Pass"))</f>
        <v/>
      </c>
      <c r="K833" s="4">
        <f>DATE(YEAR(B833),MONTH(B833),1)</f>
        <v/>
      </c>
    </row>
    <row r="834">
      <c r="A834" t="inlineStr">
        <is>
          <t>EM000833</t>
        </is>
      </c>
      <c r="B834" s="7" t="n">
        <v>46086</v>
      </c>
      <c r="C834" t="inlineStr">
        <is>
          <t>CR-202</t>
        </is>
      </c>
      <c r="D834" t="inlineStr">
        <is>
          <t>ISO 8</t>
        </is>
      </c>
      <c r="E834" t="inlineStr">
        <is>
          <t>Personnel glove</t>
        </is>
      </c>
      <c r="F834" t="n">
        <v>0</v>
      </c>
      <c r="G834" t="inlineStr">
        <is>
          <t>Tech C</t>
        </is>
      </c>
      <c r="H834">
        <f>INDEX(Limits!$B$2:$B$5,MATCH(E834,Limits!$A$2:$A$5,0))</f>
        <v/>
      </c>
      <c r="I834">
        <f>INDEX(Limits!$C$2:$C$5,MATCH(E834,Limits!$A$2:$A$5,0))</f>
        <v/>
      </c>
      <c r="J834">
        <f>IF(F834&gt;=I834,"Action",IF(F834&gt;=H834,"Alert","Pass"))</f>
        <v/>
      </c>
      <c r="K834" s="4">
        <f>DATE(YEAR(B834),MONTH(B834),1)</f>
        <v/>
      </c>
    </row>
    <row r="835">
      <c r="A835" t="inlineStr">
        <is>
          <t>EM000834</t>
        </is>
      </c>
      <c r="B835" s="7" t="n">
        <v>46086</v>
      </c>
      <c r="C835" t="inlineStr">
        <is>
          <t>Gowning</t>
        </is>
      </c>
      <c r="D835" t="inlineStr">
        <is>
          <t>ISO 8</t>
        </is>
      </c>
      <c r="E835" t="inlineStr">
        <is>
          <t>Active air</t>
        </is>
      </c>
      <c r="F835" t="n">
        <v>1</v>
      </c>
      <c r="G835" t="inlineStr">
        <is>
          <t>Tech B</t>
        </is>
      </c>
      <c r="H835">
        <f>INDEX(Limits!$B$2:$B$5,MATCH(E835,Limits!$A$2:$A$5,0))</f>
        <v/>
      </c>
      <c r="I835">
        <f>INDEX(Limits!$C$2:$C$5,MATCH(E835,Limits!$A$2:$A$5,0))</f>
        <v/>
      </c>
      <c r="J835">
        <f>IF(F835&gt;=I835,"Action",IF(F835&gt;=H835,"Alert","Pass"))</f>
        <v/>
      </c>
      <c r="K835" s="4">
        <f>DATE(YEAR(B835),MONTH(B835),1)</f>
        <v/>
      </c>
    </row>
    <row r="836">
      <c r="A836" t="inlineStr">
        <is>
          <t>EM000835</t>
        </is>
      </c>
      <c r="B836" s="7" t="n">
        <v>46086</v>
      </c>
      <c r="C836" t="inlineStr">
        <is>
          <t>Gowning</t>
        </is>
      </c>
      <c r="D836" t="inlineStr">
        <is>
          <t>ISO 8</t>
        </is>
      </c>
      <c r="E836" t="inlineStr">
        <is>
          <t>Surface contact</t>
        </is>
      </c>
      <c r="F836" t="n">
        <v>0</v>
      </c>
      <c r="G836" t="inlineStr">
        <is>
          <t>Tech B</t>
        </is>
      </c>
      <c r="H836">
        <f>INDEX(Limits!$B$2:$B$5,MATCH(E836,Limits!$A$2:$A$5,0))</f>
        <v/>
      </c>
      <c r="I836">
        <f>INDEX(Limits!$C$2:$C$5,MATCH(E836,Limits!$A$2:$A$5,0))</f>
        <v/>
      </c>
      <c r="J836">
        <f>IF(F836&gt;=I836,"Action",IF(F836&gt;=H836,"Alert","Pass"))</f>
        <v/>
      </c>
      <c r="K836" s="4">
        <f>DATE(YEAR(B836),MONTH(B836),1)</f>
        <v/>
      </c>
    </row>
    <row r="837">
      <c r="A837" t="inlineStr">
        <is>
          <t>EM000836</t>
        </is>
      </c>
      <c r="B837" s="7" t="n">
        <v>46086</v>
      </c>
      <c r="C837" t="inlineStr">
        <is>
          <t>Gowning</t>
        </is>
      </c>
      <c r="D837" t="inlineStr">
        <is>
          <t>ISO 8</t>
        </is>
      </c>
      <c r="E837" t="inlineStr">
        <is>
          <t>Personnel glove</t>
        </is>
      </c>
      <c r="F837" t="n">
        <v>0</v>
      </c>
      <c r="G837" t="inlineStr">
        <is>
          <t>Tech A</t>
        </is>
      </c>
      <c r="H837">
        <f>INDEX(Limits!$B$2:$B$5,MATCH(E837,Limits!$A$2:$A$5,0))</f>
        <v/>
      </c>
      <c r="I837">
        <f>INDEX(Limits!$C$2:$C$5,MATCH(E837,Limits!$A$2:$A$5,0))</f>
        <v/>
      </c>
      <c r="J837">
        <f>IF(F837&gt;=I837,"Action",IF(F837&gt;=H837,"Alert","Pass"))</f>
        <v/>
      </c>
      <c r="K837" s="4">
        <f>DATE(YEAR(B837),MONTH(B837),1)</f>
        <v/>
      </c>
    </row>
    <row r="838">
      <c r="A838" t="inlineStr">
        <is>
          <t>EM000837</t>
        </is>
      </c>
      <c r="B838" s="7" t="n">
        <v>46087</v>
      </c>
      <c r="C838" t="inlineStr">
        <is>
          <t>CR-101</t>
        </is>
      </c>
      <c r="D838" t="inlineStr">
        <is>
          <t>ISO 7</t>
        </is>
      </c>
      <c r="E838" t="inlineStr">
        <is>
          <t>Active air</t>
        </is>
      </c>
      <c r="F838" t="n">
        <v>0</v>
      </c>
      <c r="G838" t="inlineStr">
        <is>
          <t>Tech B</t>
        </is>
      </c>
      <c r="H838">
        <f>INDEX(Limits!$B$2:$B$5,MATCH(E838,Limits!$A$2:$A$5,0))</f>
        <v/>
      </c>
      <c r="I838">
        <f>INDEX(Limits!$C$2:$C$5,MATCH(E838,Limits!$A$2:$A$5,0))</f>
        <v/>
      </c>
      <c r="J838">
        <f>IF(F838&gt;=I838,"Action",IF(F838&gt;=H838,"Alert","Pass"))</f>
        <v/>
      </c>
      <c r="K838" s="4">
        <f>DATE(YEAR(B838),MONTH(B838),1)</f>
        <v/>
      </c>
    </row>
    <row r="839">
      <c r="A839" t="inlineStr">
        <is>
          <t>EM000838</t>
        </is>
      </c>
      <c r="B839" s="7" t="n">
        <v>46087</v>
      </c>
      <c r="C839" t="inlineStr">
        <is>
          <t>CR-101</t>
        </is>
      </c>
      <c r="D839" t="inlineStr">
        <is>
          <t>ISO 7</t>
        </is>
      </c>
      <c r="E839" t="inlineStr">
        <is>
          <t>Surface contact</t>
        </is>
      </c>
      <c r="F839" t="n">
        <v>0</v>
      </c>
      <c r="G839" t="inlineStr">
        <is>
          <t>Tech D</t>
        </is>
      </c>
      <c r="H839">
        <f>INDEX(Limits!$B$2:$B$5,MATCH(E839,Limits!$A$2:$A$5,0))</f>
        <v/>
      </c>
      <c r="I839">
        <f>INDEX(Limits!$C$2:$C$5,MATCH(E839,Limits!$A$2:$A$5,0))</f>
        <v/>
      </c>
      <c r="J839">
        <f>IF(F839&gt;=I839,"Action",IF(F839&gt;=H839,"Alert","Pass"))</f>
        <v/>
      </c>
      <c r="K839" s="4">
        <f>DATE(YEAR(B839),MONTH(B839),1)</f>
        <v/>
      </c>
    </row>
    <row r="840">
      <c r="A840" t="inlineStr">
        <is>
          <t>EM000839</t>
        </is>
      </c>
      <c r="B840" s="7" t="n">
        <v>46087</v>
      </c>
      <c r="C840" t="inlineStr">
        <is>
          <t>CR-101</t>
        </is>
      </c>
      <c r="D840" t="inlineStr">
        <is>
          <t>ISO 7</t>
        </is>
      </c>
      <c r="E840" t="inlineStr">
        <is>
          <t>Compressed air</t>
        </is>
      </c>
      <c r="F840" t="n">
        <v>0</v>
      </c>
      <c r="G840" t="inlineStr">
        <is>
          <t>Tech D</t>
        </is>
      </c>
      <c r="H840">
        <f>INDEX(Limits!$B$2:$B$5,MATCH(E840,Limits!$A$2:$A$5,0))</f>
        <v/>
      </c>
      <c r="I840">
        <f>INDEX(Limits!$C$2:$C$5,MATCH(E840,Limits!$A$2:$A$5,0))</f>
        <v/>
      </c>
      <c r="J840">
        <f>IF(F840&gt;=I840,"Action",IF(F840&gt;=H840,"Alert","Pass"))</f>
        <v/>
      </c>
      <c r="K840" s="4">
        <f>DATE(YEAR(B840),MONTH(B840),1)</f>
        <v/>
      </c>
    </row>
    <row r="841">
      <c r="A841" t="inlineStr">
        <is>
          <t>EM000840</t>
        </is>
      </c>
      <c r="B841" s="7" t="n">
        <v>46087</v>
      </c>
      <c r="C841" t="inlineStr">
        <is>
          <t>CR-101</t>
        </is>
      </c>
      <c r="D841" t="inlineStr">
        <is>
          <t>ISO 7</t>
        </is>
      </c>
      <c r="E841" t="inlineStr">
        <is>
          <t>Personnel glove</t>
        </is>
      </c>
      <c r="F841" t="n">
        <v>0</v>
      </c>
      <c r="G841" t="inlineStr">
        <is>
          <t>Tech B</t>
        </is>
      </c>
      <c r="H841">
        <f>INDEX(Limits!$B$2:$B$5,MATCH(E841,Limits!$A$2:$A$5,0))</f>
        <v/>
      </c>
      <c r="I841">
        <f>INDEX(Limits!$C$2:$C$5,MATCH(E841,Limits!$A$2:$A$5,0))</f>
        <v/>
      </c>
      <c r="J841">
        <f>IF(F841&gt;=I841,"Action",IF(F841&gt;=H841,"Alert","Pass"))</f>
        <v/>
      </c>
      <c r="K841" s="4">
        <f>DATE(YEAR(B841),MONTH(B841),1)</f>
        <v/>
      </c>
    </row>
    <row r="842">
      <c r="A842" t="inlineStr">
        <is>
          <t>EM000841</t>
        </is>
      </c>
      <c r="B842" s="7" t="n">
        <v>46087</v>
      </c>
      <c r="C842" t="inlineStr">
        <is>
          <t>CR-102</t>
        </is>
      </c>
      <c r="D842" t="inlineStr">
        <is>
          <t>ISO 7</t>
        </is>
      </c>
      <c r="E842" t="inlineStr">
        <is>
          <t>Active air</t>
        </is>
      </c>
      <c r="F842" t="n">
        <v>1</v>
      </c>
      <c r="G842" t="inlineStr">
        <is>
          <t>Tech B</t>
        </is>
      </c>
      <c r="H842">
        <f>INDEX(Limits!$B$2:$B$5,MATCH(E842,Limits!$A$2:$A$5,0))</f>
        <v/>
      </c>
      <c r="I842">
        <f>INDEX(Limits!$C$2:$C$5,MATCH(E842,Limits!$A$2:$A$5,0))</f>
        <v/>
      </c>
      <c r="J842">
        <f>IF(F842&gt;=I842,"Action",IF(F842&gt;=H842,"Alert","Pass"))</f>
        <v/>
      </c>
      <c r="K842" s="4">
        <f>DATE(YEAR(B842),MONTH(B842),1)</f>
        <v/>
      </c>
    </row>
    <row r="843">
      <c r="A843" t="inlineStr">
        <is>
          <t>EM000842</t>
        </is>
      </c>
      <c r="B843" s="7" t="n">
        <v>46087</v>
      </c>
      <c r="C843" t="inlineStr">
        <is>
          <t>CR-102</t>
        </is>
      </c>
      <c r="D843" t="inlineStr">
        <is>
          <t>ISO 7</t>
        </is>
      </c>
      <c r="E843" t="inlineStr">
        <is>
          <t>Surface contact</t>
        </is>
      </c>
      <c r="F843" t="n">
        <v>0</v>
      </c>
      <c r="G843" t="inlineStr">
        <is>
          <t>Tech B</t>
        </is>
      </c>
      <c r="H843">
        <f>INDEX(Limits!$B$2:$B$5,MATCH(E843,Limits!$A$2:$A$5,0))</f>
        <v/>
      </c>
      <c r="I843">
        <f>INDEX(Limits!$C$2:$C$5,MATCH(E843,Limits!$A$2:$A$5,0))</f>
        <v/>
      </c>
      <c r="J843">
        <f>IF(F843&gt;=I843,"Action",IF(F843&gt;=H843,"Alert","Pass"))</f>
        <v/>
      </c>
      <c r="K843" s="4">
        <f>DATE(YEAR(B843),MONTH(B843),1)</f>
        <v/>
      </c>
    </row>
    <row r="844">
      <c r="A844" t="inlineStr">
        <is>
          <t>EM000843</t>
        </is>
      </c>
      <c r="B844" s="7" t="n">
        <v>46087</v>
      </c>
      <c r="C844" t="inlineStr">
        <is>
          <t>CR-102</t>
        </is>
      </c>
      <c r="D844" t="inlineStr">
        <is>
          <t>ISO 7</t>
        </is>
      </c>
      <c r="E844" t="inlineStr">
        <is>
          <t>Compressed air</t>
        </is>
      </c>
      <c r="F844" t="n">
        <v>0</v>
      </c>
      <c r="G844" t="inlineStr">
        <is>
          <t>Tech D</t>
        </is>
      </c>
      <c r="H844">
        <f>INDEX(Limits!$B$2:$B$5,MATCH(E844,Limits!$A$2:$A$5,0))</f>
        <v/>
      </c>
      <c r="I844">
        <f>INDEX(Limits!$C$2:$C$5,MATCH(E844,Limits!$A$2:$A$5,0))</f>
        <v/>
      </c>
      <c r="J844">
        <f>IF(F844&gt;=I844,"Action",IF(F844&gt;=H844,"Alert","Pass"))</f>
        <v/>
      </c>
      <c r="K844" s="4">
        <f>DATE(YEAR(B844),MONTH(B844),1)</f>
        <v/>
      </c>
    </row>
    <row r="845">
      <c r="A845" t="inlineStr">
        <is>
          <t>EM000844</t>
        </is>
      </c>
      <c r="B845" s="7" t="n">
        <v>46087</v>
      </c>
      <c r="C845" t="inlineStr">
        <is>
          <t>CR-102</t>
        </is>
      </c>
      <c r="D845" t="inlineStr">
        <is>
          <t>ISO 7</t>
        </is>
      </c>
      <c r="E845" t="inlineStr">
        <is>
          <t>Personnel glove</t>
        </is>
      </c>
      <c r="F845" t="n">
        <v>0</v>
      </c>
      <c r="G845" t="inlineStr">
        <is>
          <t>Tech A</t>
        </is>
      </c>
      <c r="H845">
        <f>INDEX(Limits!$B$2:$B$5,MATCH(E845,Limits!$A$2:$A$5,0))</f>
        <v/>
      </c>
      <c r="I845">
        <f>INDEX(Limits!$C$2:$C$5,MATCH(E845,Limits!$A$2:$A$5,0))</f>
        <v/>
      </c>
      <c r="J845">
        <f>IF(F845&gt;=I845,"Action",IF(F845&gt;=H845,"Alert","Pass"))</f>
        <v/>
      </c>
      <c r="K845" s="4">
        <f>DATE(YEAR(B845),MONTH(B845),1)</f>
        <v/>
      </c>
    </row>
    <row r="846">
      <c r="A846" t="inlineStr">
        <is>
          <t>EM000845</t>
        </is>
      </c>
      <c r="B846" s="7" t="n">
        <v>46087</v>
      </c>
      <c r="C846" t="inlineStr">
        <is>
          <t>CR-201</t>
        </is>
      </c>
      <c r="D846" t="inlineStr">
        <is>
          <t>ISO 8</t>
        </is>
      </c>
      <c r="E846" t="inlineStr">
        <is>
          <t>Active air</t>
        </is>
      </c>
      <c r="F846" t="n">
        <v>2</v>
      </c>
      <c r="G846" t="inlineStr">
        <is>
          <t>Tech C</t>
        </is>
      </c>
      <c r="H846">
        <f>INDEX(Limits!$B$2:$B$5,MATCH(E846,Limits!$A$2:$A$5,0))</f>
        <v/>
      </c>
      <c r="I846">
        <f>INDEX(Limits!$C$2:$C$5,MATCH(E846,Limits!$A$2:$A$5,0))</f>
        <v/>
      </c>
      <c r="J846">
        <f>IF(F846&gt;=I846,"Action",IF(F846&gt;=H846,"Alert","Pass"))</f>
        <v/>
      </c>
      <c r="K846" s="4">
        <f>DATE(YEAR(B846),MONTH(B846),1)</f>
        <v/>
      </c>
    </row>
    <row r="847">
      <c r="A847" t="inlineStr">
        <is>
          <t>EM000846</t>
        </is>
      </c>
      <c r="B847" s="7" t="n">
        <v>46087</v>
      </c>
      <c r="C847" t="inlineStr">
        <is>
          <t>CR-201</t>
        </is>
      </c>
      <c r="D847" t="inlineStr">
        <is>
          <t>ISO 8</t>
        </is>
      </c>
      <c r="E847" t="inlineStr">
        <is>
          <t>Surface contact</t>
        </is>
      </c>
      <c r="F847" t="n">
        <v>1</v>
      </c>
      <c r="G847" t="inlineStr">
        <is>
          <t>Tech A</t>
        </is>
      </c>
      <c r="H847">
        <f>INDEX(Limits!$B$2:$B$5,MATCH(E847,Limits!$A$2:$A$5,0))</f>
        <v/>
      </c>
      <c r="I847">
        <f>INDEX(Limits!$C$2:$C$5,MATCH(E847,Limits!$A$2:$A$5,0))</f>
        <v/>
      </c>
      <c r="J847">
        <f>IF(F847&gt;=I847,"Action",IF(F847&gt;=H847,"Alert","Pass"))</f>
        <v/>
      </c>
      <c r="K847" s="4">
        <f>DATE(YEAR(B847),MONTH(B847),1)</f>
        <v/>
      </c>
    </row>
    <row r="848">
      <c r="A848" t="inlineStr">
        <is>
          <t>EM000847</t>
        </is>
      </c>
      <c r="B848" s="7" t="n">
        <v>46087</v>
      </c>
      <c r="C848" t="inlineStr">
        <is>
          <t>CR-201</t>
        </is>
      </c>
      <c r="D848" t="inlineStr">
        <is>
          <t>ISO 8</t>
        </is>
      </c>
      <c r="E848" t="inlineStr">
        <is>
          <t>Compressed air</t>
        </is>
      </c>
      <c r="F848" t="n">
        <v>0</v>
      </c>
      <c r="G848" t="inlineStr">
        <is>
          <t>Tech C</t>
        </is>
      </c>
      <c r="H848">
        <f>INDEX(Limits!$B$2:$B$5,MATCH(E848,Limits!$A$2:$A$5,0))</f>
        <v/>
      </c>
      <c r="I848">
        <f>INDEX(Limits!$C$2:$C$5,MATCH(E848,Limits!$A$2:$A$5,0))</f>
        <v/>
      </c>
      <c r="J848">
        <f>IF(F848&gt;=I848,"Action",IF(F848&gt;=H848,"Alert","Pass"))</f>
        <v/>
      </c>
      <c r="K848" s="4">
        <f>DATE(YEAR(B848),MONTH(B848),1)</f>
        <v/>
      </c>
    </row>
    <row r="849">
      <c r="A849" t="inlineStr">
        <is>
          <t>EM000848</t>
        </is>
      </c>
      <c r="B849" s="7" t="n">
        <v>46087</v>
      </c>
      <c r="C849" t="inlineStr">
        <is>
          <t>CR-201</t>
        </is>
      </c>
      <c r="D849" t="inlineStr">
        <is>
          <t>ISO 8</t>
        </is>
      </c>
      <c r="E849" t="inlineStr">
        <is>
          <t>Personnel glove</t>
        </is>
      </c>
      <c r="F849" t="n">
        <v>0</v>
      </c>
      <c r="G849" t="inlineStr">
        <is>
          <t>Tech C</t>
        </is>
      </c>
      <c r="H849">
        <f>INDEX(Limits!$B$2:$B$5,MATCH(E849,Limits!$A$2:$A$5,0))</f>
        <v/>
      </c>
      <c r="I849">
        <f>INDEX(Limits!$C$2:$C$5,MATCH(E849,Limits!$A$2:$A$5,0))</f>
        <v/>
      </c>
      <c r="J849">
        <f>IF(F849&gt;=I849,"Action",IF(F849&gt;=H849,"Alert","Pass"))</f>
        <v/>
      </c>
      <c r="K849" s="4">
        <f>DATE(YEAR(B849),MONTH(B849),1)</f>
        <v/>
      </c>
    </row>
    <row r="850">
      <c r="A850" t="inlineStr">
        <is>
          <t>EM000849</t>
        </is>
      </c>
      <c r="B850" s="7" t="n">
        <v>46087</v>
      </c>
      <c r="C850" t="inlineStr">
        <is>
          <t>CR-202</t>
        </is>
      </c>
      <c r="D850" t="inlineStr">
        <is>
          <t>ISO 8</t>
        </is>
      </c>
      <c r="E850" t="inlineStr">
        <is>
          <t>Active air</t>
        </is>
      </c>
      <c r="F850" t="n">
        <v>4</v>
      </c>
      <c r="G850" t="inlineStr">
        <is>
          <t>Tech A</t>
        </is>
      </c>
      <c r="H850">
        <f>INDEX(Limits!$B$2:$B$5,MATCH(E850,Limits!$A$2:$A$5,0))</f>
        <v/>
      </c>
      <c r="I850">
        <f>INDEX(Limits!$C$2:$C$5,MATCH(E850,Limits!$A$2:$A$5,0))</f>
        <v/>
      </c>
      <c r="J850">
        <f>IF(F850&gt;=I850,"Action",IF(F850&gt;=H850,"Alert","Pass"))</f>
        <v/>
      </c>
      <c r="K850" s="4">
        <f>DATE(YEAR(B850),MONTH(B850),1)</f>
        <v/>
      </c>
    </row>
    <row r="851">
      <c r="A851" t="inlineStr">
        <is>
          <t>EM000850</t>
        </is>
      </c>
      <c r="B851" s="7" t="n">
        <v>46087</v>
      </c>
      <c r="C851" t="inlineStr">
        <is>
          <t>CR-202</t>
        </is>
      </c>
      <c r="D851" t="inlineStr">
        <is>
          <t>ISO 8</t>
        </is>
      </c>
      <c r="E851" t="inlineStr">
        <is>
          <t>Surface contact</t>
        </is>
      </c>
      <c r="F851" t="n">
        <v>0</v>
      </c>
      <c r="G851" t="inlineStr">
        <is>
          <t>Tech C</t>
        </is>
      </c>
      <c r="H851">
        <f>INDEX(Limits!$B$2:$B$5,MATCH(E851,Limits!$A$2:$A$5,0))</f>
        <v/>
      </c>
      <c r="I851">
        <f>INDEX(Limits!$C$2:$C$5,MATCH(E851,Limits!$A$2:$A$5,0))</f>
        <v/>
      </c>
      <c r="J851">
        <f>IF(F851&gt;=I851,"Action",IF(F851&gt;=H851,"Alert","Pass"))</f>
        <v/>
      </c>
      <c r="K851" s="4">
        <f>DATE(YEAR(B851),MONTH(B851),1)</f>
        <v/>
      </c>
    </row>
    <row r="852">
      <c r="A852" t="inlineStr">
        <is>
          <t>EM000851</t>
        </is>
      </c>
      <c r="B852" s="7" t="n">
        <v>46087</v>
      </c>
      <c r="C852" t="inlineStr">
        <is>
          <t>CR-202</t>
        </is>
      </c>
      <c r="D852" t="inlineStr">
        <is>
          <t>ISO 8</t>
        </is>
      </c>
      <c r="E852" t="inlineStr">
        <is>
          <t>Compressed air</t>
        </is>
      </c>
      <c r="F852" t="n">
        <v>0</v>
      </c>
      <c r="G852" t="inlineStr">
        <is>
          <t>Tech B</t>
        </is>
      </c>
      <c r="H852">
        <f>INDEX(Limits!$B$2:$B$5,MATCH(E852,Limits!$A$2:$A$5,0))</f>
        <v/>
      </c>
      <c r="I852">
        <f>INDEX(Limits!$C$2:$C$5,MATCH(E852,Limits!$A$2:$A$5,0))</f>
        <v/>
      </c>
      <c r="J852">
        <f>IF(F852&gt;=I852,"Action",IF(F852&gt;=H852,"Alert","Pass"))</f>
        <v/>
      </c>
      <c r="K852" s="4">
        <f>DATE(YEAR(B852),MONTH(B852),1)</f>
        <v/>
      </c>
    </row>
    <row r="853">
      <c r="A853" t="inlineStr">
        <is>
          <t>EM000852</t>
        </is>
      </c>
      <c r="B853" s="7" t="n">
        <v>46087</v>
      </c>
      <c r="C853" t="inlineStr">
        <is>
          <t>CR-202</t>
        </is>
      </c>
      <c r="D853" t="inlineStr">
        <is>
          <t>ISO 8</t>
        </is>
      </c>
      <c r="E853" t="inlineStr">
        <is>
          <t>Personnel glove</t>
        </is>
      </c>
      <c r="F853" t="n">
        <v>0</v>
      </c>
      <c r="G853" t="inlineStr">
        <is>
          <t>Tech D</t>
        </is>
      </c>
      <c r="H853">
        <f>INDEX(Limits!$B$2:$B$5,MATCH(E853,Limits!$A$2:$A$5,0))</f>
        <v/>
      </c>
      <c r="I853">
        <f>INDEX(Limits!$C$2:$C$5,MATCH(E853,Limits!$A$2:$A$5,0))</f>
        <v/>
      </c>
      <c r="J853">
        <f>IF(F853&gt;=I853,"Action",IF(F853&gt;=H853,"Alert","Pass"))</f>
        <v/>
      </c>
      <c r="K853" s="4">
        <f>DATE(YEAR(B853),MONTH(B853),1)</f>
        <v/>
      </c>
    </row>
    <row r="854">
      <c r="A854" t="inlineStr">
        <is>
          <t>EM000853</t>
        </is>
      </c>
      <c r="B854" s="7" t="n">
        <v>46087</v>
      </c>
      <c r="C854" t="inlineStr">
        <is>
          <t>Gowning</t>
        </is>
      </c>
      <c r="D854" t="inlineStr">
        <is>
          <t>ISO 8</t>
        </is>
      </c>
      <c r="E854" t="inlineStr">
        <is>
          <t>Active air</t>
        </is>
      </c>
      <c r="F854" t="n">
        <v>1</v>
      </c>
      <c r="G854" t="inlineStr">
        <is>
          <t>Tech A</t>
        </is>
      </c>
      <c r="H854">
        <f>INDEX(Limits!$B$2:$B$5,MATCH(E854,Limits!$A$2:$A$5,0))</f>
        <v/>
      </c>
      <c r="I854">
        <f>INDEX(Limits!$C$2:$C$5,MATCH(E854,Limits!$A$2:$A$5,0))</f>
        <v/>
      </c>
      <c r="J854">
        <f>IF(F854&gt;=I854,"Action",IF(F854&gt;=H854,"Alert","Pass"))</f>
        <v/>
      </c>
      <c r="K854" s="4">
        <f>DATE(YEAR(B854),MONTH(B854),1)</f>
        <v/>
      </c>
    </row>
    <row r="855">
      <c r="A855" t="inlineStr">
        <is>
          <t>EM000854</t>
        </is>
      </c>
      <c r="B855" s="7" t="n">
        <v>46087</v>
      </c>
      <c r="C855" t="inlineStr">
        <is>
          <t>Gowning</t>
        </is>
      </c>
      <c r="D855" t="inlineStr">
        <is>
          <t>ISO 8</t>
        </is>
      </c>
      <c r="E855" t="inlineStr">
        <is>
          <t>Surface contact</t>
        </is>
      </c>
      <c r="F855" t="n">
        <v>0</v>
      </c>
      <c r="G855" t="inlineStr">
        <is>
          <t>Tech D</t>
        </is>
      </c>
      <c r="H855">
        <f>INDEX(Limits!$B$2:$B$5,MATCH(E855,Limits!$A$2:$A$5,0))</f>
        <v/>
      </c>
      <c r="I855">
        <f>INDEX(Limits!$C$2:$C$5,MATCH(E855,Limits!$A$2:$A$5,0))</f>
        <v/>
      </c>
      <c r="J855">
        <f>IF(F855&gt;=I855,"Action",IF(F855&gt;=H855,"Alert","Pass"))</f>
        <v/>
      </c>
      <c r="K855" s="4">
        <f>DATE(YEAR(B855),MONTH(B855),1)</f>
        <v/>
      </c>
    </row>
    <row r="856">
      <c r="A856" t="inlineStr">
        <is>
          <t>EM000855</t>
        </is>
      </c>
      <c r="B856" s="7" t="n">
        <v>46087</v>
      </c>
      <c r="C856" t="inlineStr">
        <is>
          <t>Gowning</t>
        </is>
      </c>
      <c r="D856" t="inlineStr">
        <is>
          <t>ISO 8</t>
        </is>
      </c>
      <c r="E856" t="inlineStr">
        <is>
          <t>Personnel glove</t>
        </is>
      </c>
      <c r="F856" t="n">
        <v>0</v>
      </c>
      <c r="G856" t="inlineStr">
        <is>
          <t>Tech B</t>
        </is>
      </c>
      <c r="H856">
        <f>INDEX(Limits!$B$2:$B$5,MATCH(E856,Limits!$A$2:$A$5,0))</f>
        <v/>
      </c>
      <c r="I856">
        <f>INDEX(Limits!$C$2:$C$5,MATCH(E856,Limits!$A$2:$A$5,0))</f>
        <v/>
      </c>
      <c r="J856">
        <f>IF(F856&gt;=I856,"Action",IF(F856&gt;=H856,"Alert","Pass"))</f>
        <v/>
      </c>
      <c r="K856" s="4">
        <f>DATE(YEAR(B856),MONTH(B856),1)</f>
        <v/>
      </c>
    </row>
    <row r="857">
      <c r="A857" t="inlineStr">
        <is>
          <t>EM000856</t>
        </is>
      </c>
      <c r="B857" s="7" t="n">
        <v>46090</v>
      </c>
      <c r="C857" t="inlineStr">
        <is>
          <t>CR-101</t>
        </is>
      </c>
      <c r="D857" t="inlineStr">
        <is>
          <t>ISO 7</t>
        </is>
      </c>
      <c r="E857" t="inlineStr">
        <is>
          <t>Active air</t>
        </is>
      </c>
      <c r="F857" t="n">
        <v>1</v>
      </c>
      <c r="G857" t="inlineStr">
        <is>
          <t>Tech B</t>
        </is>
      </c>
      <c r="H857">
        <f>INDEX(Limits!$B$2:$B$5,MATCH(E857,Limits!$A$2:$A$5,0))</f>
        <v/>
      </c>
      <c r="I857">
        <f>INDEX(Limits!$C$2:$C$5,MATCH(E857,Limits!$A$2:$A$5,0))</f>
        <v/>
      </c>
      <c r="J857">
        <f>IF(F857&gt;=I857,"Action",IF(F857&gt;=H857,"Alert","Pass"))</f>
        <v/>
      </c>
      <c r="K857" s="4">
        <f>DATE(YEAR(B857),MONTH(B857),1)</f>
        <v/>
      </c>
    </row>
    <row r="858">
      <c r="A858" t="inlineStr">
        <is>
          <t>EM000857</t>
        </is>
      </c>
      <c r="B858" s="7" t="n">
        <v>46090</v>
      </c>
      <c r="C858" t="inlineStr">
        <is>
          <t>CR-101</t>
        </is>
      </c>
      <c r="D858" t="inlineStr">
        <is>
          <t>ISO 7</t>
        </is>
      </c>
      <c r="E858" t="inlineStr">
        <is>
          <t>Surface contact</t>
        </is>
      </c>
      <c r="F858" t="n">
        <v>0</v>
      </c>
      <c r="G858" t="inlineStr">
        <is>
          <t>Tech B</t>
        </is>
      </c>
      <c r="H858">
        <f>INDEX(Limits!$B$2:$B$5,MATCH(E858,Limits!$A$2:$A$5,0))</f>
        <v/>
      </c>
      <c r="I858">
        <f>INDEX(Limits!$C$2:$C$5,MATCH(E858,Limits!$A$2:$A$5,0))</f>
        <v/>
      </c>
      <c r="J858">
        <f>IF(F858&gt;=I858,"Action",IF(F858&gt;=H858,"Alert","Pass"))</f>
        <v/>
      </c>
      <c r="K858" s="4">
        <f>DATE(YEAR(B858),MONTH(B858),1)</f>
        <v/>
      </c>
    </row>
    <row r="859">
      <c r="A859" t="inlineStr">
        <is>
          <t>EM000858</t>
        </is>
      </c>
      <c r="B859" s="7" t="n">
        <v>46090</v>
      </c>
      <c r="C859" t="inlineStr">
        <is>
          <t>CR-101</t>
        </is>
      </c>
      <c r="D859" t="inlineStr">
        <is>
          <t>ISO 7</t>
        </is>
      </c>
      <c r="E859" t="inlineStr">
        <is>
          <t>Compressed air</t>
        </is>
      </c>
      <c r="F859" t="n">
        <v>0</v>
      </c>
      <c r="G859" t="inlineStr">
        <is>
          <t>Tech B</t>
        </is>
      </c>
      <c r="H859">
        <f>INDEX(Limits!$B$2:$B$5,MATCH(E859,Limits!$A$2:$A$5,0))</f>
        <v/>
      </c>
      <c r="I859">
        <f>INDEX(Limits!$C$2:$C$5,MATCH(E859,Limits!$A$2:$A$5,0))</f>
        <v/>
      </c>
      <c r="J859">
        <f>IF(F859&gt;=I859,"Action",IF(F859&gt;=H859,"Alert","Pass"))</f>
        <v/>
      </c>
      <c r="K859" s="4">
        <f>DATE(YEAR(B859),MONTH(B859),1)</f>
        <v/>
      </c>
    </row>
    <row r="860">
      <c r="A860" t="inlineStr">
        <is>
          <t>EM000859</t>
        </is>
      </c>
      <c r="B860" s="7" t="n">
        <v>46090</v>
      </c>
      <c r="C860" t="inlineStr">
        <is>
          <t>CR-101</t>
        </is>
      </c>
      <c r="D860" t="inlineStr">
        <is>
          <t>ISO 7</t>
        </is>
      </c>
      <c r="E860" t="inlineStr">
        <is>
          <t>Personnel glove</t>
        </is>
      </c>
      <c r="F860" t="n">
        <v>0</v>
      </c>
      <c r="G860" t="inlineStr">
        <is>
          <t>Tech C</t>
        </is>
      </c>
      <c r="H860">
        <f>INDEX(Limits!$B$2:$B$5,MATCH(E860,Limits!$A$2:$A$5,0))</f>
        <v/>
      </c>
      <c r="I860">
        <f>INDEX(Limits!$C$2:$C$5,MATCH(E860,Limits!$A$2:$A$5,0))</f>
        <v/>
      </c>
      <c r="J860">
        <f>IF(F860&gt;=I860,"Action",IF(F860&gt;=H860,"Alert","Pass"))</f>
        <v/>
      </c>
      <c r="K860" s="4">
        <f>DATE(YEAR(B860),MONTH(B860),1)</f>
        <v/>
      </c>
    </row>
    <row r="861">
      <c r="A861" t="inlineStr">
        <is>
          <t>EM000860</t>
        </is>
      </c>
      <c r="B861" s="7" t="n">
        <v>46090</v>
      </c>
      <c r="C861" t="inlineStr">
        <is>
          <t>CR-102</t>
        </is>
      </c>
      <c r="D861" t="inlineStr">
        <is>
          <t>ISO 7</t>
        </is>
      </c>
      <c r="E861" t="inlineStr">
        <is>
          <t>Active air</t>
        </is>
      </c>
      <c r="F861" t="n">
        <v>0</v>
      </c>
      <c r="G861" t="inlineStr">
        <is>
          <t>Tech B</t>
        </is>
      </c>
      <c r="H861">
        <f>INDEX(Limits!$B$2:$B$5,MATCH(E861,Limits!$A$2:$A$5,0))</f>
        <v/>
      </c>
      <c r="I861">
        <f>INDEX(Limits!$C$2:$C$5,MATCH(E861,Limits!$A$2:$A$5,0))</f>
        <v/>
      </c>
      <c r="J861">
        <f>IF(F861&gt;=I861,"Action",IF(F861&gt;=H861,"Alert","Pass"))</f>
        <v/>
      </c>
      <c r="K861" s="4">
        <f>DATE(YEAR(B861),MONTH(B861),1)</f>
        <v/>
      </c>
    </row>
    <row r="862">
      <c r="A862" t="inlineStr">
        <is>
          <t>EM000861</t>
        </is>
      </c>
      <c r="B862" s="7" t="n">
        <v>46090</v>
      </c>
      <c r="C862" t="inlineStr">
        <is>
          <t>CR-102</t>
        </is>
      </c>
      <c r="D862" t="inlineStr">
        <is>
          <t>ISO 7</t>
        </is>
      </c>
      <c r="E862" t="inlineStr">
        <is>
          <t>Surface contact</t>
        </is>
      </c>
      <c r="F862" t="n">
        <v>0</v>
      </c>
      <c r="G862" t="inlineStr">
        <is>
          <t>Tech C</t>
        </is>
      </c>
      <c r="H862">
        <f>INDEX(Limits!$B$2:$B$5,MATCH(E862,Limits!$A$2:$A$5,0))</f>
        <v/>
      </c>
      <c r="I862">
        <f>INDEX(Limits!$C$2:$C$5,MATCH(E862,Limits!$A$2:$A$5,0))</f>
        <v/>
      </c>
      <c r="J862">
        <f>IF(F862&gt;=I862,"Action",IF(F862&gt;=H862,"Alert","Pass"))</f>
        <v/>
      </c>
      <c r="K862" s="4">
        <f>DATE(YEAR(B862),MONTH(B862),1)</f>
        <v/>
      </c>
    </row>
    <row r="863">
      <c r="A863" t="inlineStr">
        <is>
          <t>EM000862</t>
        </is>
      </c>
      <c r="B863" s="7" t="n">
        <v>46090</v>
      </c>
      <c r="C863" t="inlineStr">
        <is>
          <t>CR-102</t>
        </is>
      </c>
      <c r="D863" t="inlineStr">
        <is>
          <t>ISO 7</t>
        </is>
      </c>
      <c r="E863" t="inlineStr">
        <is>
          <t>Compressed air</t>
        </is>
      </c>
      <c r="F863" t="n">
        <v>0</v>
      </c>
      <c r="G863" t="inlineStr">
        <is>
          <t>Tech B</t>
        </is>
      </c>
      <c r="H863">
        <f>INDEX(Limits!$B$2:$B$5,MATCH(E863,Limits!$A$2:$A$5,0))</f>
        <v/>
      </c>
      <c r="I863">
        <f>INDEX(Limits!$C$2:$C$5,MATCH(E863,Limits!$A$2:$A$5,0))</f>
        <v/>
      </c>
      <c r="J863">
        <f>IF(F863&gt;=I863,"Action",IF(F863&gt;=H863,"Alert","Pass"))</f>
        <v/>
      </c>
      <c r="K863" s="4">
        <f>DATE(YEAR(B863),MONTH(B863),1)</f>
        <v/>
      </c>
    </row>
    <row r="864">
      <c r="A864" t="inlineStr">
        <is>
          <t>EM000863</t>
        </is>
      </c>
      <c r="B864" s="7" t="n">
        <v>46090</v>
      </c>
      <c r="C864" t="inlineStr">
        <is>
          <t>CR-102</t>
        </is>
      </c>
      <c r="D864" t="inlineStr">
        <is>
          <t>ISO 7</t>
        </is>
      </c>
      <c r="E864" t="inlineStr">
        <is>
          <t>Personnel glove</t>
        </is>
      </c>
      <c r="F864" t="n">
        <v>0</v>
      </c>
      <c r="G864" t="inlineStr">
        <is>
          <t>Tech A</t>
        </is>
      </c>
      <c r="H864">
        <f>INDEX(Limits!$B$2:$B$5,MATCH(E864,Limits!$A$2:$A$5,0))</f>
        <v/>
      </c>
      <c r="I864">
        <f>INDEX(Limits!$C$2:$C$5,MATCH(E864,Limits!$A$2:$A$5,0))</f>
        <v/>
      </c>
      <c r="J864">
        <f>IF(F864&gt;=I864,"Action",IF(F864&gt;=H864,"Alert","Pass"))</f>
        <v/>
      </c>
      <c r="K864" s="4">
        <f>DATE(YEAR(B864),MONTH(B864),1)</f>
        <v/>
      </c>
    </row>
    <row r="865">
      <c r="A865" t="inlineStr">
        <is>
          <t>EM000864</t>
        </is>
      </c>
      <c r="B865" s="7" t="n">
        <v>46090</v>
      </c>
      <c r="C865" t="inlineStr">
        <is>
          <t>CR-201</t>
        </is>
      </c>
      <c r="D865" t="inlineStr">
        <is>
          <t>ISO 8</t>
        </is>
      </c>
      <c r="E865" t="inlineStr">
        <is>
          <t>Active air</t>
        </is>
      </c>
      <c r="F865" t="n">
        <v>1</v>
      </c>
      <c r="G865" t="inlineStr">
        <is>
          <t>Tech A</t>
        </is>
      </c>
      <c r="H865">
        <f>INDEX(Limits!$B$2:$B$5,MATCH(E865,Limits!$A$2:$A$5,0))</f>
        <v/>
      </c>
      <c r="I865">
        <f>INDEX(Limits!$C$2:$C$5,MATCH(E865,Limits!$A$2:$A$5,0))</f>
        <v/>
      </c>
      <c r="J865">
        <f>IF(F865&gt;=I865,"Action",IF(F865&gt;=H865,"Alert","Pass"))</f>
        <v/>
      </c>
      <c r="K865" s="4">
        <f>DATE(YEAR(B865),MONTH(B865),1)</f>
        <v/>
      </c>
    </row>
    <row r="866">
      <c r="A866" t="inlineStr">
        <is>
          <t>EM000865</t>
        </is>
      </c>
      <c r="B866" s="7" t="n">
        <v>46090</v>
      </c>
      <c r="C866" t="inlineStr">
        <is>
          <t>CR-201</t>
        </is>
      </c>
      <c r="D866" t="inlineStr">
        <is>
          <t>ISO 8</t>
        </is>
      </c>
      <c r="E866" t="inlineStr">
        <is>
          <t>Surface contact</t>
        </is>
      </c>
      <c r="F866" t="n">
        <v>0</v>
      </c>
      <c r="G866" t="inlineStr">
        <is>
          <t>Tech D</t>
        </is>
      </c>
      <c r="H866">
        <f>INDEX(Limits!$B$2:$B$5,MATCH(E866,Limits!$A$2:$A$5,0))</f>
        <v/>
      </c>
      <c r="I866">
        <f>INDEX(Limits!$C$2:$C$5,MATCH(E866,Limits!$A$2:$A$5,0))</f>
        <v/>
      </c>
      <c r="J866">
        <f>IF(F866&gt;=I866,"Action",IF(F866&gt;=H866,"Alert","Pass"))</f>
        <v/>
      </c>
      <c r="K866" s="4">
        <f>DATE(YEAR(B866),MONTH(B866),1)</f>
        <v/>
      </c>
    </row>
    <row r="867">
      <c r="A867" t="inlineStr">
        <is>
          <t>EM000866</t>
        </is>
      </c>
      <c r="B867" s="7" t="n">
        <v>46090</v>
      </c>
      <c r="C867" t="inlineStr">
        <is>
          <t>CR-201</t>
        </is>
      </c>
      <c r="D867" t="inlineStr">
        <is>
          <t>ISO 8</t>
        </is>
      </c>
      <c r="E867" t="inlineStr">
        <is>
          <t>Compressed air</t>
        </is>
      </c>
      <c r="F867" t="n">
        <v>0</v>
      </c>
      <c r="G867" t="inlineStr">
        <is>
          <t>Tech A</t>
        </is>
      </c>
      <c r="H867">
        <f>INDEX(Limits!$B$2:$B$5,MATCH(E867,Limits!$A$2:$A$5,0))</f>
        <v/>
      </c>
      <c r="I867">
        <f>INDEX(Limits!$C$2:$C$5,MATCH(E867,Limits!$A$2:$A$5,0))</f>
        <v/>
      </c>
      <c r="J867">
        <f>IF(F867&gt;=I867,"Action",IF(F867&gt;=H867,"Alert","Pass"))</f>
        <v/>
      </c>
      <c r="K867" s="4">
        <f>DATE(YEAR(B867),MONTH(B867),1)</f>
        <v/>
      </c>
    </row>
    <row r="868">
      <c r="A868" t="inlineStr">
        <is>
          <t>EM000867</t>
        </is>
      </c>
      <c r="B868" s="7" t="n">
        <v>46090</v>
      </c>
      <c r="C868" t="inlineStr">
        <is>
          <t>CR-201</t>
        </is>
      </c>
      <c r="D868" t="inlineStr">
        <is>
          <t>ISO 8</t>
        </is>
      </c>
      <c r="E868" t="inlineStr">
        <is>
          <t>Personnel glove</t>
        </is>
      </c>
      <c r="F868" t="n">
        <v>0</v>
      </c>
      <c r="G868" t="inlineStr">
        <is>
          <t>Tech B</t>
        </is>
      </c>
      <c r="H868">
        <f>INDEX(Limits!$B$2:$B$5,MATCH(E868,Limits!$A$2:$A$5,0))</f>
        <v/>
      </c>
      <c r="I868">
        <f>INDEX(Limits!$C$2:$C$5,MATCH(E868,Limits!$A$2:$A$5,0))</f>
        <v/>
      </c>
      <c r="J868">
        <f>IF(F868&gt;=I868,"Action",IF(F868&gt;=H868,"Alert","Pass"))</f>
        <v/>
      </c>
      <c r="K868" s="4">
        <f>DATE(YEAR(B868),MONTH(B868),1)</f>
        <v/>
      </c>
    </row>
    <row r="869">
      <c r="A869" t="inlineStr">
        <is>
          <t>EM000868</t>
        </is>
      </c>
      <c r="B869" s="7" t="n">
        <v>46090</v>
      </c>
      <c r="C869" t="inlineStr">
        <is>
          <t>CR-202</t>
        </is>
      </c>
      <c r="D869" t="inlineStr">
        <is>
          <t>ISO 8</t>
        </is>
      </c>
      <c r="E869" t="inlineStr">
        <is>
          <t>Active air</t>
        </is>
      </c>
      <c r="F869" t="n">
        <v>4</v>
      </c>
      <c r="G869" t="inlineStr">
        <is>
          <t>Tech B</t>
        </is>
      </c>
      <c r="H869">
        <f>INDEX(Limits!$B$2:$B$5,MATCH(E869,Limits!$A$2:$A$5,0))</f>
        <v/>
      </c>
      <c r="I869">
        <f>INDEX(Limits!$C$2:$C$5,MATCH(E869,Limits!$A$2:$A$5,0))</f>
        <v/>
      </c>
      <c r="J869">
        <f>IF(F869&gt;=I869,"Action",IF(F869&gt;=H869,"Alert","Pass"))</f>
        <v/>
      </c>
      <c r="K869" s="4">
        <f>DATE(YEAR(B869),MONTH(B869),1)</f>
        <v/>
      </c>
    </row>
    <row r="870">
      <c r="A870" t="inlineStr">
        <is>
          <t>EM000869</t>
        </is>
      </c>
      <c r="B870" s="7" t="n">
        <v>46090</v>
      </c>
      <c r="C870" t="inlineStr">
        <is>
          <t>CR-202</t>
        </is>
      </c>
      <c r="D870" t="inlineStr">
        <is>
          <t>ISO 8</t>
        </is>
      </c>
      <c r="E870" t="inlineStr">
        <is>
          <t>Surface contact</t>
        </is>
      </c>
      <c r="F870" t="n">
        <v>0</v>
      </c>
      <c r="G870" t="inlineStr">
        <is>
          <t>Tech B</t>
        </is>
      </c>
      <c r="H870">
        <f>INDEX(Limits!$B$2:$B$5,MATCH(E870,Limits!$A$2:$A$5,0))</f>
        <v/>
      </c>
      <c r="I870">
        <f>INDEX(Limits!$C$2:$C$5,MATCH(E870,Limits!$A$2:$A$5,0))</f>
        <v/>
      </c>
      <c r="J870">
        <f>IF(F870&gt;=I870,"Action",IF(F870&gt;=H870,"Alert","Pass"))</f>
        <v/>
      </c>
      <c r="K870" s="4">
        <f>DATE(YEAR(B870),MONTH(B870),1)</f>
        <v/>
      </c>
    </row>
    <row r="871">
      <c r="A871" t="inlineStr">
        <is>
          <t>EM000870</t>
        </is>
      </c>
      <c r="B871" s="7" t="n">
        <v>46090</v>
      </c>
      <c r="C871" t="inlineStr">
        <is>
          <t>CR-202</t>
        </is>
      </c>
      <c r="D871" t="inlineStr">
        <is>
          <t>ISO 8</t>
        </is>
      </c>
      <c r="E871" t="inlineStr">
        <is>
          <t>Compressed air</t>
        </is>
      </c>
      <c r="F871" t="n">
        <v>0</v>
      </c>
      <c r="G871" t="inlineStr">
        <is>
          <t>Tech D</t>
        </is>
      </c>
      <c r="H871">
        <f>INDEX(Limits!$B$2:$B$5,MATCH(E871,Limits!$A$2:$A$5,0))</f>
        <v/>
      </c>
      <c r="I871">
        <f>INDEX(Limits!$C$2:$C$5,MATCH(E871,Limits!$A$2:$A$5,0))</f>
        <v/>
      </c>
      <c r="J871">
        <f>IF(F871&gt;=I871,"Action",IF(F871&gt;=H871,"Alert","Pass"))</f>
        <v/>
      </c>
      <c r="K871" s="4">
        <f>DATE(YEAR(B871),MONTH(B871),1)</f>
        <v/>
      </c>
    </row>
    <row r="872">
      <c r="A872" t="inlineStr">
        <is>
          <t>EM000871</t>
        </is>
      </c>
      <c r="B872" s="7" t="n">
        <v>46090</v>
      </c>
      <c r="C872" t="inlineStr">
        <is>
          <t>CR-202</t>
        </is>
      </c>
      <c r="D872" t="inlineStr">
        <is>
          <t>ISO 8</t>
        </is>
      </c>
      <c r="E872" t="inlineStr">
        <is>
          <t>Personnel glove</t>
        </is>
      </c>
      <c r="F872" t="n">
        <v>0</v>
      </c>
      <c r="G872" t="inlineStr">
        <is>
          <t>Tech D</t>
        </is>
      </c>
      <c r="H872">
        <f>INDEX(Limits!$B$2:$B$5,MATCH(E872,Limits!$A$2:$A$5,0))</f>
        <v/>
      </c>
      <c r="I872">
        <f>INDEX(Limits!$C$2:$C$5,MATCH(E872,Limits!$A$2:$A$5,0))</f>
        <v/>
      </c>
      <c r="J872">
        <f>IF(F872&gt;=I872,"Action",IF(F872&gt;=H872,"Alert","Pass"))</f>
        <v/>
      </c>
      <c r="K872" s="4">
        <f>DATE(YEAR(B872),MONTH(B872),1)</f>
        <v/>
      </c>
    </row>
    <row r="873">
      <c r="A873" t="inlineStr">
        <is>
          <t>EM000872</t>
        </is>
      </c>
      <c r="B873" s="7" t="n">
        <v>46090</v>
      </c>
      <c r="C873" t="inlineStr">
        <is>
          <t>Gowning</t>
        </is>
      </c>
      <c r="D873" t="inlineStr">
        <is>
          <t>ISO 8</t>
        </is>
      </c>
      <c r="E873" t="inlineStr">
        <is>
          <t>Active air</t>
        </is>
      </c>
      <c r="F873" t="n">
        <v>0</v>
      </c>
      <c r="G873" t="inlineStr">
        <is>
          <t>Tech A</t>
        </is>
      </c>
      <c r="H873">
        <f>INDEX(Limits!$B$2:$B$5,MATCH(E873,Limits!$A$2:$A$5,0))</f>
        <v/>
      </c>
      <c r="I873">
        <f>INDEX(Limits!$C$2:$C$5,MATCH(E873,Limits!$A$2:$A$5,0))</f>
        <v/>
      </c>
      <c r="J873">
        <f>IF(F873&gt;=I873,"Action",IF(F873&gt;=H873,"Alert","Pass"))</f>
        <v/>
      </c>
      <c r="K873" s="4">
        <f>DATE(YEAR(B873),MONTH(B873),1)</f>
        <v/>
      </c>
    </row>
    <row r="874">
      <c r="A874" t="inlineStr">
        <is>
          <t>EM000873</t>
        </is>
      </c>
      <c r="B874" s="7" t="n">
        <v>46090</v>
      </c>
      <c r="C874" t="inlineStr">
        <is>
          <t>Gowning</t>
        </is>
      </c>
      <c r="D874" t="inlineStr">
        <is>
          <t>ISO 8</t>
        </is>
      </c>
      <c r="E874" t="inlineStr">
        <is>
          <t>Surface contact</t>
        </is>
      </c>
      <c r="F874" t="n">
        <v>1</v>
      </c>
      <c r="G874" t="inlineStr">
        <is>
          <t>Tech D</t>
        </is>
      </c>
      <c r="H874">
        <f>INDEX(Limits!$B$2:$B$5,MATCH(E874,Limits!$A$2:$A$5,0))</f>
        <v/>
      </c>
      <c r="I874">
        <f>INDEX(Limits!$C$2:$C$5,MATCH(E874,Limits!$A$2:$A$5,0))</f>
        <v/>
      </c>
      <c r="J874">
        <f>IF(F874&gt;=I874,"Action",IF(F874&gt;=H874,"Alert","Pass"))</f>
        <v/>
      </c>
      <c r="K874" s="4">
        <f>DATE(YEAR(B874),MONTH(B874),1)</f>
        <v/>
      </c>
    </row>
    <row r="875">
      <c r="A875" t="inlineStr">
        <is>
          <t>EM000874</t>
        </is>
      </c>
      <c r="B875" s="7" t="n">
        <v>46090</v>
      </c>
      <c r="C875" t="inlineStr">
        <is>
          <t>Gowning</t>
        </is>
      </c>
      <c r="D875" t="inlineStr">
        <is>
          <t>ISO 8</t>
        </is>
      </c>
      <c r="E875" t="inlineStr">
        <is>
          <t>Personnel glove</t>
        </is>
      </c>
      <c r="F875" t="n">
        <v>0</v>
      </c>
      <c r="G875" t="inlineStr">
        <is>
          <t>Tech D</t>
        </is>
      </c>
      <c r="H875">
        <f>INDEX(Limits!$B$2:$B$5,MATCH(E875,Limits!$A$2:$A$5,0))</f>
        <v/>
      </c>
      <c r="I875">
        <f>INDEX(Limits!$C$2:$C$5,MATCH(E875,Limits!$A$2:$A$5,0))</f>
        <v/>
      </c>
      <c r="J875">
        <f>IF(F875&gt;=I875,"Action",IF(F875&gt;=H875,"Alert","Pass"))</f>
        <v/>
      </c>
      <c r="K875" s="4">
        <f>DATE(YEAR(B875),MONTH(B875),1)</f>
        <v/>
      </c>
    </row>
    <row r="876">
      <c r="A876" t="inlineStr">
        <is>
          <t>EM000875</t>
        </is>
      </c>
      <c r="B876" s="7" t="n">
        <v>46091</v>
      </c>
      <c r="C876" t="inlineStr">
        <is>
          <t>CR-101</t>
        </is>
      </c>
      <c r="D876" t="inlineStr">
        <is>
          <t>ISO 7</t>
        </is>
      </c>
      <c r="E876" t="inlineStr">
        <is>
          <t>Active air</t>
        </is>
      </c>
      <c r="F876" t="n">
        <v>0</v>
      </c>
      <c r="G876" t="inlineStr">
        <is>
          <t>Tech C</t>
        </is>
      </c>
      <c r="H876">
        <f>INDEX(Limits!$B$2:$B$5,MATCH(E876,Limits!$A$2:$A$5,0))</f>
        <v/>
      </c>
      <c r="I876">
        <f>INDEX(Limits!$C$2:$C$5,MATCH(E876,Limits!$A$2:$A$5,0))</f>
        <v/>
      </c>
      <c r="J876">
        <f>IF(F876&gt;=I876,"Action",IF(F876&gt;=H876,"Alert","Pass"))</f>
        <v/>
      </c>
      <c r="K876" s="4">
        <f>DATE(YEAR(B876),MONTH(B876),1)</f>
        <v/>
      </c>
    </row>
    <row r="877">
      <c r="A877" t="inlineStr">
        <is>
          <t>EM000876</t>
        </is>
      </c>
      <c r="B877" s="7" t="n">
        <v>46091</v>
      </c>
      <c r="C877" t="inlineStr">
        <is>
          <t>CR-101</t>
        </is>
      </c>
      <c r="D877" t="inlineStr">
        <is>
          <t>ISO 7</t>
        </is>
      </c>
      <c r="E877" t="inlineStr">
        <is>
          <t>Surface contact</t>
        </is>
      </c>
      <c r="F877" t="n">
        <v>1</v>
      </c>
      <c r="G877" t="inlineStr">
        <is>
          <t>Tech D</t>
        </is>
      </c>
      <c r="H877">
        <f>INDEX(Limits!$B$2:$B$5,MATCH(E877,Limits!$A$2:$A$5,0))</f>
        <v/>
      </c>
      <c r="I877">
        <f>INDEX(Limits!$C$2:$C$5,MATCH(E877,Limits!$A$2:$A$5,0))</f>
        <v/>
      </c>
      <c r="J877">
        <f>IF(F877&gt;=I877,"Action",IF(F877&gt;=H877,"Alert","Pass"))</f>
        <v/>
      </c>
      <c r="K877" s="4">
        <f>DATE(YEAR(B877),MONTH(B877),1)</f>
        <v/>
      </c>
    </row>
    <row r="878">
      <c r="A878" t="inlineStr">
        <is>
          <t>EM000877</t>
        </is>
      </c>
      <c r="B878" s="7" t="n">
        <v>46091</v>
      </c>
      <c r="C878" t="inlineStr">
        <is>
          <t>CR-101</t>
        </is>
      </c>
      <c r="D878" t="inlineStr">
        <is>
          <t>ISO 7</t>
        </is>
      </c>
      <c r="E878" t="inlineStr">
        <is>
          <t>Compressed air</t>
        </is>
      </c>
      <c r="F878" t="n">
        <v>0</v>
      </c>
      <c r="G878" t="inlineStr">
        <is>
          <t>Tech B</t>
        </is>
      </c>
      <c r="H878">
        <f>INDEX(Limits!$B$2:$B$5,MATCH(E878,Limits!$A$2:$A$5,0))</f>
        <v/>
      </c>
      <c r="I878">
        <f>INDEX(Limits!$C$2:$C$5,MATCH(E878,Limits!$A$2:$A$5,0))</f>
        <v/>
      </c>
      <c r="J878">
        <f>IF(F878&gt;=I878,"Action",IF(F878&gt;=H878,"Alert","Pass"))</f>
        <v/>
      </c>
      <c r="K878" s="4">
        <f>DATE(YEAR(B878),MONTH(B878),1)</f>
        <v/>
      </c>
    </row>
    <row r="879">
      <c r="A879" t="inlineStr">
        <is>
          <t>EM000878</t>
        </is>
      </c>
      <c r="B879" s="7" t="n">
        <v>46091</v>
      </c>
      <c r="C879" t="inlineStr">
        <is>
          <t>CR-101</t>
        </is>
      </c>
      <c r="D879" t="inlineStr">
        <is>
          <t>ISO 7</t>
        </is>
      </c>
      <c r="E879" t="inlineStr">
        <is>
          <t>Personnel glove</t>
        </is>
      </c>
      <c r="F879" t="n">
        <v>0</v>
      </c>
      <c r="G879" t="inlineStr">
        <is>
          <t>Tech A</t>
        </is>
      </c>
      <c r="H879">
        <f>INDEX(Limits!$B$2:$B$5,MATCH(E879,Limits!$A$2:$A$5,0))</f>
        <v/>
      </c>
      <c r="I879">
        <f>INDEX(Limits!$C$2:$C$5,MATCH(E879,Limits!$A$2:$A$5,0))</f>
        <v/>
      </c>
      <c r="J879">
        <f>IF(F879&gt;=I879,"Action",IF(F879&gt;=H879,"Alert","Pass"))</f>
        <v/>
      </c>
      <c r="K879" s="4">
        <f>DATE(YEAR(B879),MONTH(B879),1)</f>
        <v/>
      </c>
    </row>
    <row r="880">
      <c r="A880" t="inlineStr">
        <is>
          <t>EM000879</t>
        </is>
      </c>
      <c r="B880" s="7" t="n">
        <v>46091</v>
      </c>
      <c r="C880" t="inlineStr">
        <is>
          <t>CR-102</t>
        </is>
      </c>
      <c r="D880" t="inlineStr">
        <is>
          <t>ISO 7</t>
        </is>
      </c>
      <c r="E880" t="inlineStr">
        <is>
          <t>Active air</t>
        </is>
      </c>
      <c r="F880" t="n">
        <v>2</v>
      </c>
      <c r="G880" t="inlineStr">
        <is>
          <t>Tech D</t>
        </is>
      </c>
      <c r="H880">
        <f>INDEX(Limits!$B$2:$B$5,MATCH(E880,Limits!$A$2:$A$5,0))</f>
        <v/>
      </c>
      <c r="I880">
        <f>INDEX(Limits!$C$2:$C$5,MATCH(E880,Limits!$A$2:$A$5,0))</f>
        <v/>
      </c>
      <c r="J880">
        <f>IF(F880&gt;=I880,"Action",IF(F880&gt;=H880,"Alert","Pass"))</f>
        <v/>
      </c>
      <c r="K880" s="4">
        <f>DATE(YEAR(B880),MONTH(B880),1)</f>
        <v/>
      </c>
    </row>
    <row r="881">
      <c r="A881" t="inlineStr">
        <is>
          <t>EM000880</t>
        </is>
      </c>
      <c r="B881" s="7" t="n">
        <v>46091</v>
      </c>
      <c r="C881" t="inlineStr">
        <is>
          <t>CR-102</t>
        </is>
      </c>
      <c r="D881" t="inlineStr">
        <is>
          <t>ISO 7</t>
        </is>
      </c>
      <c r="E881" t="inlineStr">
        <is>
          <t>Surface contact</t>
        </is>
      </c>
      <c r="F881" t="n">
        <v>0</v>
      </c>
      <c r="G881" t="inlineStr">
        <is>
          <t>Tech B</t>
        </is>
      </c>
      <c r="H881">
        <f>INDEX(Limits!$B$2:$B$5,MATCH(E881,Limits!$A$2:$A$5,0))</f>
        <v/>
      </c>
      <c r="I881">
        <f>INDEX(Limits!$C$2:$C$5,MATCH(E881,Limits!$A$2:$A$5,0))</f>
        <v/>
      </c>
      <c r="J881">
        <f>IF(F881&gt;=I881,"Action",IF(F881&gt;=H881,"Alert","Pass"))</f>
        <v/>
      </c>
      <c r="K881" s="4">
        <f>DATE(YEAR(B881),MONTH(B881),1)</f>
        <v/>
      </c>
    </row>
    <row r="882">
      <c r="A882" t="inlineStr">
        <is>
          <t>EM000881</t>
        </is>
      </c>
      <c r="B882" s="7" t="n">
        <v>46091</v>
      </c>
      <c r="C882" t="inlineStr">
        <is>
          <t>CR-102</t>
        </is>
      </c>
      <c r="D882" t="inlineStr">
        <is>
          <t>ISO 7</t>
        </is>
      </c>
      <c r="E882" t="inlineStr">
        <is>
          <t>Compressed air</t>
        </is>
      </c>
      <c r="F882" t="n">
        <v>0</v>
      </c>
      <c r="G882" t="inlineStr">
        <is>
          <t>Tech C</t>
        </is>
      </c>
      <c r="H882">
        <f>INDEX(Limits!$B$2:$B$5,MATCH(E882,Limits!$A$2:$A$5,0))</f>
        <v/>
      </c>
      <c r="I882">
        <f>INDEX(Limits!$C$2:$C$5,MATCH(E882,Limits!$A$2:$A$5,0))</f>
        <v/>
      </c>
      <c r="J882">
        <f>IF(F882&gt;=I882,"Action",IF(F882&gt;=H882,"Alert","Pass"))</f>
        <v/>
      </c>
      <c r="K882" s="4">
        <f>DATE(YEAR(B882),MONTH(B882),1)</f>
        <v/>
      </c>
    </row>
    <row r="883">
      <c r="A883" t="inlineStr">
        <is>
          <t>EM000882</t>
        </is>
      </c>
      <c r="B883" s="7" t="n">
        <v>46091</v>
      </c>
      <c r="C883" t="inlineStr">
        <is>
          <t>CR-102</t>
        </is>
      </c>
      <c r="D883" t="inlineStr">
        <is>
          <t>ISO 7</t>
        </is>
      </c>
      <c r="E883" t="inlineStr">
        <is>
          <t>Personnel glove</t>
        </is>
      </c>
      <c r="F883" t="n">
        <v>0</v>
      </c>
      <c r="G883" t="inlineStr">
        <is>
          <t>Tech D</t>
        </is>
      </c>
      <c r="H883">
        <f>INDEX(Limits!$B$2:$B$5,MATCH(E883,Limits!$A$2:$A$5,0))</f>
        <v/>
      </c>
      <c r="I883">
        <f>INDEX(Limits!$C$2:$C$5,MATCH(E883,Limits!$A$2:$A$5,0))</f>
        <v/>
      </c>
      <c r="J883">
        <f>IF(F883&gt;=I883,"Action",IF(F883&gt;=H883,"Alert","Pass"))</f>
        <v/>
      </c>
      <c r="K883" s="4">
        <f>DATE(YEAR(B883),MONTH(B883),1)</f>
        <v/>
      </c>
    </row>
    <row r="884">
      <c r="A884" t="inlineStr">
        <is>
          <t>EM000883</t>
        </is>
      </c>
      <c r="B884" s="7" t="n">
        <v>46091</v>
      </c>
      <c r="C884" t="inlineStr">
        <is>
          <t>CR-201</t>
        </is>
      </c>
      <c r="D884" t="inlineStr">
        <is>
          <t>ISO 8</t>
        </is>
      </c>
      <c r="E884" t="inlineStr">
        <is>
          <t>Active air</t>
        </is>
      </c>
      <c r="F884" t="n">
        <v>1</v>
      </c>
      <c r="G884" t="inlineStr">
        <is>
          <t>Tech C</t>
        </is>
      </c>
      <c r="H884">
        <f>INDEX(Limits!$B$2:$B$5,MATCH(E884,Limits!$A$2:$A$5,0))</f>
        <v/>
      </c>
      <c r="I884">
        <f>INDEX(Limits!$C$2:$C$5,MATCH(E884,Limits!$A$2:$A$5,0))</f>
        <v/>
      </c>
      <c r="J884">
        <f>IF(F884&gt;=I884,"Action",IF(F884&gt;=H884,"Alert","Pass"))</f>
        <v/>
      </c>
      <c r="K884" s="4">
        <f>DATE(YEAR(B884),MONTH(B884),1)</f>
        <v/>
      </c>
    </row>
    <row r="885">
      <c r="A885" t="inlineStr">
        <is>
          <t>EM000884</t>
        </is>
      </c>
      <c r="B885" s="7" t="n">
        <v>46091</v>
      </c>
      <c r="C885" t="inlineStr">
        <is>
          <t>CR-201</t>
        </is>
      </c>
      <c r="D885" t="inlineStr">
        <is>
          <t>ISO 8</t>
        </is>
      </c>
      <c r="E885" t="inlineStr">
        <is>
          <t>Surface contact</t>
        </is>
      </c>
      <c r="F885" t="n">
        <v>0</v>
      </c>
      <c r="G885" t="inlineStr">
        <is>
          <t>Tech C</t>
        </is>
      </c>
      <c r="H885">
        <f>INDEX(Limits!$B$2:$B$5,MATCH(E885,Limits!$A$2:$A$5,0))</f>
        <v/>
      </c>
      <c r="I885">
        <f>INDEX(Limits!$C$2:$C$5,MATCH(E885,Limits!$A$2:$A$5,0))</f>
        <v/>
      </c>
      <c r="J885">
        <f>IF(F885&gt;=I885,"Action",IF(F885&gt;=H885,"Alert","Pass"))</f>
        <v/>
      </c>
      <c r="K885" s="4">
        <f>DATE(YEAR(B885),MONTH(B885),1)</f>
        <v/>
      </c>
    </row>
    <row r="886">
      <c r="A886" t="inlineStr">
        <is>
          <t>EM000885</t>
        </is>
      </c>
      <c r="B886" s="7" t="n">
        <v>46091</v>
      </c>
      <c r="C886" t="inlineStr">
        <is>
          <t>CR-201</t>
        </is>
      </c>
      <c r="D886" t="inlineStr">
        <is>
          <t>ISO 8</t>
        </is>
      </c>
      <c r="E886" t="inlineStr">
        <is>
          <t>Compressed air</t>
        </is>
      </c>
      <c r="F886" t="n">
        <v>0</v>
      </c>
      <c r="G886" t="inlineStr">
        <is>
          <t>Tech A</t>
        </is>
      </c>
      <c r="H886">
        <f>INDEX(Limits!$B$2:$B$5,MATCH(E886,Limits!$A$2:$A$5,0))</f>
        <v/>
      </c>
      <c r="I886">
        <f>INDEX(Limits!$C$2:$C$5,MATCH(E886,Limits!$A$2:$A$5,0))</f>
        <v/>
      </c>
      <c r="J886">
        <f>IF(F886&gt;=I886,"Action",IF(F886&gt;=H886,"Alert","Pass"))</f>
        <v/>
      </c>
      <c r="K886" s="4">
        <f>DATE(YEAR(B886),MONTH(B886),1)</f>
        <v/>
      </c>
    </row>
    <row r="887">
      <c r="A887" t="inlineStr">
        <is>
          <t>EM000886</t>
        </is>
      </c>
      <c r="B887" s="7" t="n">
        <v>46091</v>
      </c>
      <c r="C887" t="inlineStr">
        <is>
          <t>CR-201</t>
        </is>
      </c>
      <c r="D887" t="inlineStr">
        <is>
          <t>ISO 8</t>
        </is>
      </c>
      <c r="E887" t="inlineStr">
        <is>
          <t>Personnel glove</t>
        </is>
      </c>
      <c r="F887" t="n">
        <v>0</v>
      </c>
      <c r="G887" t="inlineStr">
        <is>
          <t>Tech A</t>
        </is>
      </c>
      <c r="H887">
        <f>INDEX(Limits!$B$2:$B$5,MATCH(E887,Limits!$A$2:$A$5,0))</f>
        <v/>
      </c>
      <c r="I887">
        <f>INDEX(Limits!$C$2:$C$5,MATCH(E887,Limits!$A$2:$A$5,0))</f>
        <v/>
      </c>
      <c r="J887">
        <f>IF(F887&gt;=I887,"Action",IF(F887&gt;=H887,"Alert","Pass"))</f>
        <v/>
      </c>
      <c r="K887" s="4">
        <f>DATE(YEAR(B887),MONTH(B887),1)</f>
        <v/>
      </c>
    </row>
    <row r="888">
      <c r="A888" t="inlineStr">
        <is>
          <t>EM000887</t>
        </is>
      </c>
      <c r="B888" s="7" t="n">
        <v>46091</v>
      </c>
      <c r="C888" t="inlineStr">
        <is>
          <t>CR-202</t>
        </is>
      </c>
      <c r="D888" t="inlineStr">
        <is>
          <t>ISO 8</t>
        </is>
      </c>
      <c r="E888" t="inlineStr">
        <is>
          <t>Active air</t>
        </is>
      </c>
      <c r="F888" t="n">
        <v>2</v>
      </c>
      <c r="G888" t="inlineStr">
        <is>
          <t>Tech D</t>
        </is>
      </c>
      <c r="H888">
        <f>INDEX(Limits!$B$2:$B$5,MATCH(E888,Limits!$A$2:$A$5,0))</f>
        <v/>
      </c>
      <c r="I888">
        <f>INDEX(Limits!$C$2:$C$5,MATCH(E888,Limits!$A$2:$A$5,0))</f>
        <v/>
      </c>
      <c r="J888">
        <f>IF(F888&gt;=I888,"Action",IF(F888&gt;=H888,"Alert","Pass"))</f>
        <v/>
      </c>
      <c r="K888" s="4">
        <f>DATE(YEAR(B888),MONTH(B888),1)</f>
        <v/>
      </c>
    </row>
    <row r="889">
      <c r="A889" t="inlineStr">
        <is>
          <t>EM000888</t>
        </is>
      </c>
      <c r="B889" s="7" t="n">
        <v>46091</v>
      </c>
      <c r="C889" t="inlineStr">
        <is>
          <t>CR-202</t>
        </is>
      </c>
      <c r="D889" t="inlineStr">
        <is>
          <t>ISO 8</t>
        </is>
      </c>
      <c r="E889" t="inlineStr">
        <is>
          <t>Surface contact</t>
        </is>
      </c>
      <c r="F889" t="n">
        <v>0</v>
      </c>
      <c r="G889" t="inlineStr">
        <is>
          <t>Tech B</t>
        </is>
      </c>
      <c r="H889">
        <f>INDEX(Limits!$B$2:$B$5,MATCH(E889,Limits!$A$2:$A$5,0))</f>
        <v/>
      </c>
      <c r="I889">
        <f>INDEX(Limits!$C$2:$C$5,MATCH(E889,Limits!$A$2:$A$5,0))</f>
        <v/>
      </c>
      <c r="J889">
        <f>IF(F889&gt;=I889,"Action",IF(F889&gt;=H889,"Alert","Pass"))</f>
        <v/>
      </c>
      <c r="K889" s="4">
        <f>DATE(YEAR(B889),MONTH(B889),1)</f>
        <v/>
      </c>
    </row>
    <row r="890">
      <c r="A890" t="inlineStr">
        <is>
          <t>EM000889</t>
        </is>
      </c>
      <c r="B890" s="7" t="n">
        <v>46091</v>
      </c>
      <c r="C890" t="inlineStr">
        <is>
          <t>CR-202</t>
        </is>
      </c>
      <c r="D890" t="inlineStr">
        <is>
          <t>ISO 8</t>
        </is>
      </c>
      <c r="E890" t="inlineStr">
        <is>
          <t>Compressed air</t>
        </is>
      </c>
      <c r="F890" t="n">
        <v>0</v>
      </c>
      <c r="G890" t="inlineStr">
        <is>
          <t>Tech C</t>
        </is>
      </c>
      <c r="H890">
        <f>INDEX(Limits!$B$2:$B$5,MATCH(E890,Limits!$A$2:$A$5,0))</f>
        <v/>
      </c>
      <c r="I890">
        <f>INDEX(Limits!$C$2:$C$5,MATCH(E890,Limits!$A$2:$A$5,0))</f>
        <v/>
      </c>
      <c r="J890">
        <f>IF(F890&gt;=I890,"Action",IF(F890&gt;=H890,"Alert","Pass"))</f>
        <v/>
      </c>
      <c r="K890" s="4">
        <f>DATE(YEAR(B890),MONTH(B890),1)</f>
        <v/>
      </c>
    </row>
    <row r="891">
      <c r="A891" t="inlineStr">
        <is>
          <t>EM000890</t>
        </is>
      </c>
      <c r="B891" s="7" t="n">
        <v>46091</v>
      </c>
      <c r="C891" t="inlineStr">
        <is>
          <t>CR-202</t>
        </is>
      </c>
      <c r="D891" t="inlineStr">
        <is>
          <t>ISO 8</t>
        </is>
      </c>
      <c r="E891" t="inlineStr">
        <is>
          <t>Personnel glove</t>
        </is>
      </c>
      <c r="F891" t="n">
        <v>0</v>
      </c>
      <c r="G891" t="inlineStr">
        <is>
          <t>Tech A</t>
        </is>
      </c>
      <c r="H891">
        <f>INDEX(Limits!$B$2:$B$5,MATCH(E891,Limits!$A$2:$A$5,0))</f>
        <v/>
      </c>
      <c r="I891">
        <f>INDEX(Limits!$C$2:$C$5,MATCH(E891,Limits!$A$2:$A$5,0))</f>
        <v/>
      </c>
      <c r="J891">
        <f>IF(F891&gt;=I891,"Action",IF(F891&gt;=H891,"Alert","Pass"))</f>
        <v/>
      </c>
      <c r="K891" s="4">
        <f>DATE(YEAR(B891),MONTH(B891),1)</f>
        <v/>
      </c>
    </row>
    <row r="892">
      <c r="A892" t="inlineStr">
        <is>
          <t>EM000891</t>
        </is>
      </c>
      <c r="B892" s="7" t="n">
        <v>46091</v>
      </c>
      <c r="C892" t="inlineStr">
        <is>
          <t>Gowning</t>
        </is>
      </c>
      <c r="D892" t="inlineStr">
        <is>
          <t>ISO 8</t>
        </is>
      </c>
      <c r="E892" t="inlineStr">
        <is>
          <t>Active air</t>
        </is>
      </c>
      <c r="F892" t="n">
        <v>2</v>
      </c>
      <c r="G892" t="inlineStr">
        <is>
          <t>Tech B</t>
        </is>
      </c>
      <c r="H892">
        <f>INDEX(Limits!$B$2:$B$5,MATCH(E892,Limits!$A$2:$A$5,0))</f>
        <v/>
      </c>
      <c r="I892">
        <f>INDEX(Limits!$C$2:$C$5,MATCH(E892,Limits!$A$2:$A$5,0))</f>
        <v/>
      </c>
      <c r="J892">
        <f>IF(F892&gt;=I892,"Action",IF(F892&gt;=H892,"Alert","Pass"))</f>
        <v/>
      </c>
      <c r="K892" s="4">
        <f>DATE(YEAR(B892),MONTH(B892),1)</f>
        <v/>
      </c>
    </row>
    <row r="893">
      <c r="A893" t="inlineStr">
        <is>
          <t>EM000892</t>
        </is>
      </c>
      <c r="B893" s="7" t="n">
        <v>46091</v>
      </c>
      <c r="C893" t="inlineStr">
        <is>
          <t>Gowning</t>
        </is>
      </c>
      <c r="D893" t="inlineStr">
        <is>
          <t>ISO 8</t>
        </is>
      </c>
      <c r="E893" t="inlineStr">
        <is>
          <t>Surface contact</t>
        </is>
      </c>
      <c r="F893" t="n">
        <v>1</v>
      </c>
      <c r="G893" t="inlineStr">
        <is>
          <t>Tech C</t>
        </is>
      </c>
      <c r="H893">
        <f>INDEX(Limits!$B$2:$B$5,MATCH(E893,Limits!$A$2:$A$5,0))</f>
        <v/>
      </c>
      <c r="I893">
        <f>INDEX(Limits!$C$2:$C$5,MATCH(E893,Limits!$A$2:$A$5,0))</f>
        <v/>
      </c>
      <c r="J893">
        <f>IF(F893&gt;=I893,"Action",IF(F893&gt;=H893,"Alert","Pass"))</f>
        <v/>
      </c>
      <c r="K893" s="4">
        <f>DATE(YEAR(B893),MONTH(B893),1)</f>
        <v/>
      </c>
    </row>
    <row r="894">
      <c r="A894" t="inlineStr">
        <is>
          <t>EM000893</t>
        </is>
      </c>
      <c r="B894" s="7" t="n">
        <v>46091</v>
      </c>
      <c r="C894" t="inlineStr">
        <is>
          <t>Gowning</t>
        </is>
      </c>
      <c r="D894" t="inlineStr">
        <is>
          <t>ISO 8</t>
        </is>
      </c>
      <c r="E894" t="inlineStr">
        <is>
          <t>Personnel glove</t>
        </is>
      </c>
      <c r="F894" t="n">
        <v>0</v>
      </c>
      <c r="G894" t="inlineStr">
        <is>
          <t>Tech D</t>
        </is>
      </c>
      <c r="H894">
        <f>INDEX(Limits!$B$2:$B$5,MATCH(E894,Limits!$A$2:$A$5,0))</f>
        <v/>
      </c>
      <c r="I894">
        <f>INDEX(Limits!$C$2:$C$5,MATCH(E894,Limits!$A$2:$A$5,0))</f>
        <v/>
      </c>
      <c r="J894">
        <f>IF(F894&gt;=I894,"Action",IF(F894&gt;=H894,"Alert","Pass"))</f>
        <v/>
      </c>
      <c r="K894" s="4">
        <f>DATE(YEAR(B894),MONTH(B894),1)</f>
        <v/>
      </c>
    </row>
    <row r="895">
      <c r="A895" t="inlineStr">
        <is>
          <t>EM000894</t>
        </is>
      </c>
      <c r="B895" s="7" t="n">
        <v>46092</v>
      </c>
      <c r="C895" t="inlineStr">
        <is>
          <t>CR-101</t>
        </is>
      </c>
      <c r="D895" t="inlineStr">
        <is>
          <t>ISO 7</t>
        </is>
      </c>
      <c r="E895" t="inlineStr">
        <is>
          <t>Active air</t>
        </is>
      </c>
      <c r="F895" t="n">
        <v>0</v>
      </c>
      <c r="G895" t="inlineStr">
        <is>
          <t>Tech D</t>
        </is>
      </c>
      <c r="H895">
        <f>INDEX(Limits!$B$2:$B$5,MATCH(E895,Limits!$A$2:$A$5,0))</f>
        <v/>
      </c>
      <c r="I895">
        <f>INDEX(Limits!$C$2:$C$5,MATCH(E895,Limits!$A$2:$A$5,0))</f>
        <v/>
      </c>
      <c r="J895">
        <f>IF(F895&gt;=I895,"Action",IF(F895&gt;=H895,"Alert","Pass"))</f>
        <v/>
      </c>
      <c r="K895" s="4">
        <f>DATE(YEAR(B895),MONTH(B895),1)</f>
        <v/>
      </c>
    </row>
    <row r="896">
      <c r="A896" t="inlineStr">
        <is>
          <t>EM000895</t>
        </is>
      </c>
      <c r="B896" s="7" t="n">
        <v>46092</v>
      </c>
      <c r="C896" t="inlineStr">
        <is>
          <t>CR-101</t>
        </is>
      </c>
      <c r="D896" t="inlineStr">
        <is>
          <t>ISO 7</t>
        </is>
      </c>
      <c r="E896" t="inlineStr">
        <is>
          <t>Surface contact</t>
        </is>
      </c>
      <c r="F896" t="n">
        <v>1</v>
      </c>
      <c r="G896" t="inlineStr">
        <is>
          <t>Tech B</t>
        </is>
      </c>
      <c r="H896">
        <f>INDEX(Limits!$B$2:$B$5,MATCH(E896,Limits!$A$2:$A$5,0))</f>
        <v/>
      </c>
      <c r="I896">
        <f>INDEX(Limits!$C$2:$C$5,MATCH(E896,Limits!$A$2:$A$5,0))</f>
        <v/>
      </c>
      <c r="J896">
        <f>IF(F896&gt;=I896,"Action",IF(F896&gt;=H896,"Alert","Pass"))</f>
        <v/>
      </c>
      <c r="K896" s="4">
        <f>DATE(YEAR(B896),MONTH(B896),1)</f>
        <v/>
      </c>
    </row>
    <row r="897">
      <c r="A897" t="inlineStr">
        <is>
          <t>EM000896</t>
        </is>
      </c>
      <c r="B897" s="7" t="n">
        <v>46092</v>
      </c>
      <c r="C897" t="inlineStr">
        <is>
          <t>CR-101</t>
        </is>
      </c>
      <c r="D897" t="inlineStr">
        <is>
          <t>ISO 7</t>
        </is>
      </c>
      <c r="E897" t="inlineStr">
        <is>
          <t>Compressed air</t>
        </is>
      </c>
      <c r="F897" t="n">
        <v>0</v>
      </c>
      <c r="G897" t="inlineStr">
        <is>
          <t>Tech B</t>
        </is>
      </c>
      <c r="H897">
        <f>INDEX(Limits!$B$2:$B$5,MATCH(E897,Limits!$A$2:$A$5,0))</f>
        <v/>
      </c>
      <c r="I897">
        <f>INDEX(Limits!$C$2:$C$5,MATCH(E897,Limits!$A$2:$A$5,0))</f>
        <v/>
      </c>
      <c r="J897">
        <f>IF(F897&gt;=I897,"Action",IF(F897&gt;=H897,"Alert","Pass"))</f>
        <v/>
      </c>
      <c r="K897" s="4">
        <f>DATE(YEAR(B897),MONTH(B897),1)</f>
        <v/>
      </c>
    </row>
    <row r="898">
      <c r="A898" t="inlineStr">
        <is>
          <t>EM000897</t>
        </is>
      </c>
      <c r="B898" s="7" t="n">
        <v>46092</v>
      </c>
      <c r="C898" t="inlineStr">
        <is>
          <t>CR-101</t>
        </is>
      </c>
      <c r="D898" t="inlineStr">
        <is>
          <t>ISO 7</t>
        </is>
      </c>
      <c r="E898" t="inlineStr">
        <is>
          <t>Personnel glove</t>
        </is>
      </c>
      <c r="F898" t="n">
        <v>0</v>
      </c>
      <c r="G898" t="inlineStr">
        <is>
          <t>Tech D</t>
        </is>
      </c>
      <c r="H898">
        <f>INDEX(Limits!$B$2:$B$5,MATCH(E898,Limits!$A$2:$A$5,0))</f>
        <v/>
      </c>
      <c r="I898">
        <f>INDEX(Limits!$C$2:$C$5,MATCH(E898,Limits!$A$2:$A$5,0))</f>
        <v/>
      </c>
      <c r="J898">
        <f>IF(F898&gt;=I898,"Action",IF(F898&gt;=H898,"Alert","Pass"))</f>
        <v/>
      </c>
      <c r="K898" s="4">
        <f>DATE(YEAR(B898),MONTH(B898),1)</f>
        <v/>
      </c>
    </row>
    <row r="899">
      <c r="A899" t="inlineStr">
        <is>
          <t>EM000898</t>
        </is>
      </c>
      <c r="B899" s="7" t="n">
        <v>46092</v>
      </c>
      <c r="C899" t="inlineStr">
        <is>
          <t>CR-102</t>
        </is>
      </c>
      <c r="D899" t="inlineStr">
        <is>
          <t>ISO 7</t>
        </is>
      </c>
      <c r="E899" t="inlineStr">
        <is>
          <t>Active air</t>
        </is>
      </c>
      <c r="F899" t="n">
        <v>2</v>
      </c>
      <c r="G899" t="inlineStr">
        <is>
          <t>Tech B</t>
        </is>
      </c>
      <c r="H899">
        <f>INDEX(Limits!$B$2:$B$5,MATCH(E899,Limits!$A$2:$A$5,0))</f>
        <v/>
      </c>
      <c r="I899">
        <f>INDEX(Limits!$C$2:$C$5,MATCH(E899,Limits!$A$2:$A$5,0))</f>
        <v/>
      </c>
      <c r="J899">
        <f>IF(F899&gt;=I899,"Action",IF(F899&gt;=H899,"Alert","Pass"))</f>
        <v/>
      </c>
      <c r="K899" s="4">
        <f>DATE(YEAR(B899),MONTH(B899),1)</f>
        <v/>
      </c>
    </row>
    <row r="900">
      <c r="A900" t="inlineStr">
        <is>
          <t>EM000899</t>
        </is>
      </c>
      <c r="B900" s="7" t="n">
        <v>46092</v>
      </c>
      <c r="C900" t="inlineStr">
        <is>
          <t>CR-102</t>
        </is>
      </c>
      <c r="D900" t="inlineStr">
        <is>
          <t>ISO 7</t>
        </is>
      </c>
      <c r="E900" t="inlineStr">
        <is>
          <t>Surface contact</t>
        </is>
      </c>
      <c r="F900" t="n">
        <v>1</v>
      </c>
      <c r="G900" t="inlineStr">
        <is>
          <t>Tech A</t>
        </is>
      </c>
      <c r="H900">
        <f>INDEX(Limits!$B$2:$B$5,MATCH(E900,Limits!$A$2:$A$5,0))</f>
        <v/>
      </c>
      <c r="I900">
        <f>INDEX(Limits!$C$2:$C$5,MATCH(E900,Limits!$A$2:$A$5,0))</f>
        <v/>
      </c>
      <c r="J900">
        <f>IF(F900&gt;=I900,"Action",IF(F900&gt;=H900,"Alert","Pass"))</f>
        <v/>
      </c>
      <c r="K900" s="4">
        <f>DATE(YEAR(B900),MONTH(B900),1)</f>
        <v/>
      </c>
    </row>
    <row r="901">
      <c r="A901" t="inlineStr">
        <is>
          <t>EM000900</t>
        </is>
      </c>
      <c r="B901" s="7" t="n">
        <v>46092</v>
      </c>
      <c r="C901" t="inlineStr">
        <is>
          <t>CR-102</t>
        </is>
      </c>
      <c r="D901" t="inlineStr">
        <is>
          <t>ISO 7</t>
        </is>
      </c>
      <c r="E901" t="inlineStr">
        <is>
          <t>Compressed air</t>
        </is>
      </c>
      <c r="F901" t="n">
        <v>0</v>
      </c>
      <c r="G901" t="inlineStr">
        <is>
          <t>Tech B</t>
        </is>
      </c>
      <c r="H901">
        <f>INDEX(Limits!$B$2:$B$5,MATCH(E901,Limits!$A$2:$A$5,0))</f>
        <v/>
      </c>
      <c r="I901">
        <f>INDEX(Limits!$C$2:$C$5,MATCH(E901,Limits!$A$2:$A$5,0))</f>
        <v/>
      </c>
      <c r="J901">
        <f>IF(F901&gt;=I901,"Action",IF(F901&gt;=H901,"Alert","Pass"))</f>
        <v/>
      </c>
      <c r="K901" s="4">
        <f>DATE(YEAR(B901),MONTH(B901),1)</f>
        <v/>
      </c>
    </row>
    <row r="902">
      <c r="A902" t="inlineStr">
        <is>
          <t>EM000901</t>
        </is>
      </c>
      <c r="B902" s="7" t="n">
        <v>46092</v>
      </c>
      <c r="C902" t="inlineStr">
        <is>
          <t>CR-102</t>
        </is>
      </c>
      <c r="D902" t="inlineStr">
        <is>
          <t>ISO 7</t>
        </is>
      </c>
      <c r="E902" t="inlineStr">
        <is>
          <t>Personnel glove</t>
        </is>
      </c>
      <c r="F902" t="n">
        <v>0</v>
      </c>
      <c r="G902" t="inlineStr">
        <is>
          <t>Tech B</t>
        </is>
      </c>
      <c r="H902">
        <f>INDEX(Limits!$B$2:$B$5,MATCH(E902,Limits!$A$2:$A$5,0))</f>
        <v/>
      </c>
      <c r="I902">
        <f>INDEX(Limits!$C$2:$C$5,MATCH(E902,Limits!$A$2:$A$5,0))</f>
        <v/>
      </c>
      <c r="J902">
        <f>IF(F902&gt;=I902,"Action",IF(F902&gt;=H902,"Alert","Pass"))</f>
        <v/>
      </c>
      <c r="K902" s="4">
        <f>DATE(YEAR(B902),MONTH(B902),1)</f>
        <v/>
      </c>
    </row>
    <row r="903">
      <c r="A903" t="inlineStr">
        <is>
          <t>EM000902</t>
        </is>
      </c>
      <c r="B903" s="7" t="n">
        <v>46092</v>
      </c>
      <c r="C903" t="inlineStr">
        <is>
          <t>CR-201</t>
        </is>
      </c>
      <c r="D903" t="inlineStr">
        <is>
          <t>ISO 8</t>
        </is>
      </c>
      <c r="E903" t="inlineStr">
        <is>
          <t>Active air</t>
        </is>
      </c>
      <c r="F903" t="n">
        <v>1</v>
      </c>
      <c r="G903" t="inlineStr">
        <is>
          <t>Tech D</t>
        </is>
      </c>
      <c r="H903">
        <f>INDEX(Limits!$B$2:$B$5,MATCH(E903,Limits!$A$2:$A$5,0))</f>
        <v/>
      </c>
      <c r="I903">
        <f>INDEX(Limits!$C$2:$C$5,MATCH(E903,Limits!$A$2:$A$5,0))</f>
        <v/>
      </c>
      <c r="J903">
        <f>IF(F903&gt;=I903,"Action",IF(F903&gt;=H903,"Alert","Pass"))</f>
        <v/>
      </c>
      <c r="K903" s="4">
        <f>DATE(YEAR(B903),MONTH(B903),1)</f>
        <v/>
      </c>
    </row>
    <row r="904">
      <c r="A904" t="inlineStr">
        <is>
          <t>EM000903</t>
        </is>
      </c>
      <c r="B904" s="7" t="n">
        <v>46092</v>
      </c>
      <c r="C904" t="inlineStr">
        <is>
          <t>CR-201</t>
        </is>
      </c>
      <c r="D904" t="inlineStr">
        <is>
          <t>ISO 8</t>
        </is>
      </c>
      <c r="E904" t="inlineStr">
        <is>
          <t>Surface contact</t>
        </is>
      </c>
      <c r="F904" t="n">
        <v>0</v>
      </c>
      <c r="G904" t="inlineStr">
        <is>
          <t>Tech B</t>
        </is>
      </c>
      <c r="H904">
        <f>INDEX(Limits!$B$2:$B$5,MATCH(E904,Limits!$A$2:$A$5,0))</f>
        <v/>
      </c>
      <c r="I904">
        <f>INDEX(Limits!$C$2:$C$5,MATCH(E904,Limits!$A$2:$A$5,0))</f>
        <v/>
      </c>
      <c r="J904">
        <f>IF(F904&gt;=I904,"Action",IF(F904&gt;=H904,"Alert","Pass"))</f>
        <v/>
      </c>
      <c r="K904" s="4">
        <f>DATE(YEAR(B904),MONTH(B904),1)</f>
        <v/>
      </c>
    </row>
    <row r="905">
      <c r="A905" t="inlineStr">
        <is>
          <t>EM000904</t>
        </is>
      </c>
      <c r="B905" s="7" t="n">
        <v>46092</v>
      </c>
      <c r="C905" t="inlineStr">
        <is>
          <t>CR-201</t>
        </is>
      </c>
      <c r="D905" t="inlineStr">
        <is>
          <t>ISO 8</t>
        </is>
      </c>
      <c r="E905" t="inlineStr">
        <is>
          <t>Compressed air</t>
        </is>
      </c>
      <c r="F905" t="n">
        <v>0</v>
      </c>
      <c r="G905" t="inlineStr">
        <is>
          <t>Tech A</t>
        </is>
      </c>
      <c r="H905">
        <f>INDEX(Limits!$B$2:$B$5,MATCH(E905,Limits!$A$2:$A$5,0))</f>
        <v/>
      </c>
      <c r="I905">
        <f>INDEX(Limits!$C$2:$C$5,MATCH(E905,Limits!$A$2:$A$5,0))</f>
        <v/>
      </c>
      <c r="J905">
        <f>IF(F905&gt;=I905,"Action",IF(F905&gt;=H905,"Alert","Pass"))</f>
        <v/>
      </c>
      <c r="K905" s="4">
        <f>DATE(YEAR(B905),MONTH(B905),1)</f>
        <v/>
      </c>
    </row>
    <row r="906">
      <c r="A906" t="inlineStr">
        <is>
          <t>EM000905</t>
        </is>
      </c>
      <c r="B906" s="7" t="n">
        <v>46092</v>
      </c>
      <c r="C906" t="inlineStr">
        <is>
          <t>CR-201</t>
        </is>
      </c>
      <c r="D906" t="inlineStr">
        <is>
          <t>ISO 8</t>
        </is>
      </c>
      <c r="E906" t="inlineStr">
        <is>
          <t>Personnel glove</t>
        </is>
      </c>
      <c r="F906" t="n">
        <v>0</v>
      </c>
      <c r="G906" t="inlineStr">
        <is>
          <t>Tech A</t>
        </is>
      </c>
      <c r="H906">
        <f>INDEX(Limits!$B$2:$B$5,MATCH(E906,Limits!$A$2:$A$5,0))</f>
        <v/>
      </c>
      <c r="I906">
        <f>INDEX(Limits!$C$2:$C$5,MATCH(E906,Limits!$A$2:$A$5,0))</f>
        <v/>
      </c>
      <c r="J906">
        <f>IF(F906&gt;=I906,"Action",IF(F906&gt;=H906,"Alert","Pass"))</f>
        <v/>
      </c>
      <c r="K906" s="4">
        <f>DATE(YEAR(B906),MONTH(B906),1)</f>
        <v/>
      </c>
    </row>
    <row r="907">
      <c r="A907" t="inlineStr">
        <is>
          <t>EM000906</t>
        </is>
      </c>
      <c r="B907" s="7" t="n">
        <v>46092</v>
      </c>
      <c r="C907" t="inlineStr">
        <is>
          <t>CR-202</t>
        </is>
      </c>
      <c r="D907" t="inlineStr">
        <is>
          <t>ISO 8</t>
        </is>
      </c>
      <c r="E907" t="inlineStr">
        <is>
          <t>Active air</t>
        </is>
      </c>
      <c r="F907" t="n">
        <v>0</v>
      </c>
      <c r="G907" t="inlineStr">
        <is>
          <t>Tech B</t>
        </is>
      </c>
      <c r="H907">
        <f>INDEX(Limits!$B$2:$B$5,MATCH(E907,Limits!$A$2:$A$5,0))</f>
        <v/>
      </c>
      <c r="I907">
        <f>INDEX(Limits!$C$2:$C$5,MATCH(E907,Limits!$A$2:$A$5,0))</f>
        <v/>
      </c>
      <c r="J907">
        <f>IF(F907&gt;=I907,"Action",IF(F907&gt;=H907,"Alert","Pass"))</f>
        <v/>
      </c>
      <c r="K907" s="4">
        <f>DATE(YEAR(B907),MONTH(B907),1)</f>
        <v/>
      </c>
    </row>
    <row r="908">
      <c r="A908" t="inlineStr">
        <is>
          <t>EM000907</t>
        </is>
      </c>
      <c r="B908" s="7" t="n">
        <v>46092</v>
      </c>
      <c r="C908" t="inlineStr">
        <is>
          <t>CR-202</t>
        </is>
      </c>
      <c r="D908" t="inlineStr">
        <is>
          <t>ISO 8</t>
        </is>
      </c>
      <c r="E908" t="inlineStr">
        <is>
          <t>Surface contact</t>
        </is>
      </c>
      <c r="F908" t="n">
        <v>0</v>
      </c>
      <c r="G908" t="inlineStr">
        <is>
          <t>Tech D</t>
        </is>
      </c>
      <c r="H908">
        <f>INDEX(Limits!$B$2:$B$5,MATCH(E908,Limits!$A$2:$A$5,0))</f>
        <v/>
      </c>
      <c r="I908">
        <f>INDEX(Limits!$C$2:$C$5,MATCH(E908,Limits!$A$2:$A$5,0))</f>
        <v/>
      </c>
      <c r="J908">
        <f>IF(F908&gt;=I908,"Action",IF(F908&gt;=H908,"Alert","Pass"))</f>
        <v/>
      </c>
      <c r="K908" s="4">
        <f>DATE(YEAR(B908),MONTH(B908),1)</f>
        <v/>
      </c>
    </row>
    <row r="909">
      <c r="A909" t="inlineStr">
        <is>
          <t>EM000908</t>
        </is>
      </c>
      <c r="B909" s="7" t="n">
        <v>46092</v>
      </c>
      <c r="C909" t="inlineStr">
        <is>
          <t>CR-202</t>
        </is>
      </c>
      <c r="D909" t="inlineStr">
        <is>
          <t>ISO 8</t>
        </is>
      </c>
      <c r="E909" t="inlineStr">
        <is>
          <t>Compressed air</t>
        </is>
      </c>
      <c r="F909" t="n">
        <v>0</v>
      </c>
      <c r="G909" t="inlineStr">
        <is>
          <t>Tech C</t>
        </is>
      </c>
      <c r="H909">
        <f>INDEX(Limits!$B$2:$B$5,MATCH(E909,Limits!$A$2:$A$5,0))</f>
        <v/>
      </c>
      <c r="I909">
        <f>INDEX(Limits!$C$2:$C$5,MATCH(E909,Limits!$A$2:$A$5,0))</f>
        <v/>
      </c>
      <c r="J909">
        <f>IF(F909&gt;=I909,"Action",IF(F909&gt;=H909,"Alert","Pass"))</f>
        <v/>
      </c>
      <c r="K909" s="4">
        <f>DATE(YEAR(B909),MONTH(B909),1)</f>
        <v/>
      </c>
    </row>
    <row r="910">
      <c r="A910" t="inlineStr">
        <is>
          <t>EM000909</t>
        </is>
      </c>
      <c r="B910" s="7" t="n">
        <v>46092</v>
      </c>
      <c r="C910" t="inlineStr">
        <is>
          <t>CR-202</t>
        </is>
      </c>
      <c r="D910" t="inlineStr">
        <is>
          <t>ISO 8</t>
        </is>
      </c>
      <c r="E910" t="inlineStr">
        <is>
          <t>Personnel glove</t>
        </is>
      </c>
      <c r="F910" t="n">
        <v>0</v>
      </c>
      <c r="G910" t="inlineStr">
        <is>
          <t>Tech D</t>
        </is>
      </c>
      <c r="H910">
        <f>INDEX(Limits!$B$2:$B$5,MATCH(E910,Limits!$A$2:$A$5,0))</f>
        <v/>
      </c>
      <c r="I910">
        <f>INDEX(Limits!$C$2:$C$5,MATCH(E910,Limits!$A$2:$A$5,0))</f>
        <v/>
      </c>
      <c r="J910">
        <f>IF(F910&gt;=I910,"Action",IF(F910&gt;=H910,"Alert","Pass"))</f>
        <v/>
      </c>
      <c r="K910" s="4">
        <f>DATE(YEAR(B910),MONTH(B910),1)</f>
        <v/>
      </c>
    </row>
    <row r="911">
      <c r="A911" t="inlineStr">
        <is>
          <t>EM000910</t>
        </is>
      </c>
      <c r="B911" s="7" t="n">
        <v>46092</v>
      </c>
      <c r="C911" t="inlineStr">
        <is>
          <t>Gowning</t>
        </is>
      </c>
      <c r="D911" t="inlineStr">
        <is>
          <t>ISO 8</t>
        </is>
      </c>
      <c r="E911" t="inlineStr">
        <is>
          <t>Active air</t>
        </is>
      </c>
      <c r="F911" t="n">
        <v>5</v>
      </c>
      <c r="G911" t="inlineStr">
        <is>
          <t>Tech A</t>
        </is>
      </c>
      <c r="H911">
        <f>INDEX(Limits!$B$2:$B$5,MATCH(E911,Limits!$A$2:$A$5,0))</f>
        <v/>
      </c>
      <c r="I911">
        <f>INDEX(Limits!$C$2:$C$5,MATCH(E911,Limits!$A$2:$A$5,0))</f>
        <v/>
      </c>
      <c r="J911">
        <f>IF(F911&gt;=I911,"Action",IF(F911&gt;=H911,"Alert","Pass"))</f>
        <v/>
      </c>
      <c r="K911" s="4">
        <f>DATE(YEAR(B911),MONTH(B911),1)</f>
        <v/>
      </c>
    </row>
    <row r="912">
      <c r="A912" t="inlineStr">
        <is>
          <t>EM000911</t>
        </is>
      </c>
      <c r="B912" s="7" t="n">
        <v>46092</v>
      </c>
      <c r="C912" t="inlineStr">
        <is>
          <t>Gowning</t>
        </is>
      </c>
      <c r="D912" t="inlineStr">
        <is>
          <t>ISO 8</t>
        </is>
      </c>
      <c r="E912" t="inlineStr">
        <is>
          <t>Surface contact</t>
        </is>
      </c>
      <c r="F912" t="n">
        <v>0</v>
      </c>
      <c r="G912" t="inlineStr">
        <is>
          <t>Tech C</t>
        </is>
      </c>
      <c r="H912">
        <f>INDEX(Limits!$B$2:$B$5,MATCH(E912,Limits!$A$2:$A$5,0))</f>
        <v/>
      </c>
      <c r="I912">
        <f>INDEX(Limits!$C$2:$C$5,MATCH(E912,Limits!$A$2:$A$5,0))</f>
        <v/>
      </c>
      <c r="J912">
        <f>IF(F912&gt;=I912,"Action",IF(F912&gt;=H912,"Alert","Pass"))</f>
        <v/>
      </c>
      <c r="K912" s="4">
        <f>DATE(YEAR(B912),MONTH(B912),1)</f>
        <v/>
      </c>
    </row>
    <row r="913">
      <c r="A913" t="inlineStr">
        <is>
          <t>EM000912</t>
        </is>
      </c>
      <c r="B913" s="7" t="n">
        <v>46092</v>
      </c>
      <c r="C913" t="inlineStr">
        <is>
          <t>Gowning</t>
        </is>
      </c>
      <c r="D913" t="inlineStr">
        <is>
          <t>ISO 8</t>
        </is>
      </c>
      <c r="E913" t="inlineStr">
        <is>
          <t>Personnel glove</t>
        </is>
      </c>
      <c r="F913" t="n">
        <v>0</v>
      </c>
      <c r="G913" t="inlineStr">
        <is>
          <t>Tech D</t>
        </is>
      </c>
      <c r="H913">
        <f>INDEX(Limits!$B$2:$B$5,MATCH(E913,Limits!$A$2:$A$5,0))</f>
        <v/>
      </c>
      <c r="I913">
        <f>INDEX(Limits!$C$2:$C$5,MATCH(E913,Limits!$A$2:$A$5,0))</f>
        <v/>
      </c>
      <c r="J913">
        <f>IF(F913&gt;=I913,"Action",IF(F913&gt;=H913,"Alert","Pass"))</f>
        <v/>
      </c>
      <c r="K913" s="4">
        <f>DATE(YEAR(B913),MONTH(B913),1)</f>
        <v/>
      </c>
    </row>
    <row r="914">
      <c r="A914" t="inlineStr">
        <is>
          <t>EM000913</t>
        </is>
      </c>
      <c r="B914" s="7" t="n">
        <v>46093</v>
      </c>
      <c r="C914" t="inlineStr">
        <is>
          <t>CR-101</t>
        </is>
      </c>
      <c r="D914" t="inlineStr">
        <is>
          <t>ISO 7</t>
        </is>
      </c>
      <c r="E914" t="inlineStr">
        <is>
          <t>Active air</t>
        </is>
      </c>
      <c r="F914" t="n">
        <v>2</v>
      </c>
      <c r="G914" t="inlineStr">
        <is>
          <t>Tech A</t>
        </is>
      </c>
      <c r="H914">
        <f>INDEX(Limits!$B$2:$B$5,MATCH(E914,Limits!$A$2:$A$5,0))</f>
        <v/>
      </c>
      <c r="I914">
        <f>INDEX(Limits!$C$2:$C$5,MATCH(E914,Limits!$A$2:$A$5,0))</f>
        <v/>
      </c>
      <c r="J914">
        <f>IF(F914&gt;=I914,"Action",IF(F914&gt;=H914,"Alert","Pass"))</f>
        <v/>
      </c>
      <c r="K914" s="4">
        <f>DATE(YEAR(B914),MONTH(B914),1)</f>
        <v/>
      </c>
    </row>
    <row r="915">
      <c r="A915" t="inlineStr">
        <is>
          <t>EM000914</t>
        </is>
      </c>
      <c r="B915" s="7" t="n">
        <v>46093</v>
      </c>
      <c r="C915" t="inlineStr">
        <is>
          <t>CR-101</t>
        </is>
      </c>
      <c r="D915" t="inlineStr">
        <is>
          <t>ISO 7</t>
        </is>
      </c>
      <c r="E915" t="inlineStr">
        <is>
          <t>Surface contact</t>
        </is>
      </c>
      <c r="F915" t="n">
        <v>2</v>
      </c>
      <c r="G915" t="inlineStr">
        <is>
          <t>Tech A</t>
        </is>
      </c>
      <c r="H915">
        <f>INDEX(Limits!$B$2:$B$5,MATCH(E915,Limits!$A$2:$A$5,0))</f>
        <v/>
      </c>
      <c r="I915">
        <f>INDEX(Limits!$C$2:$C$5,MATCH(E915,Limits!$A$2:$A$5,0))</f>
        <v/>
      </c>
      <c r="J915">
        <f>IF(F915&gt;=I915,"Action",IF(F915&gt;=H915,"Alert","Pass"))</f>
        <v/>
      </c>
      <c r="K915" s="4">
        <f>DATE(YEAR(B915),MONTH(B915),1)</f>
        <v/>
      </c>
    </row>
    <row r="916">
      <c r="A916" t="inlineStr">
        <is>
          <t>EM000915</t>
        </is>
      </c>
      <c r="B916" s="7" t="n">
        <v>46093</v>
      </c>
      <c r="C916" t="inlineStr">
        <is>
          <t>CR-101</t>
        </is>
      </c>
      <c r="D916" t="inlineStr">
        <is>
          <t>ISO 7</t>
        </is>
      </c>
      <c r="E916" t="inlineStr">
        <is>
          <t>Compressed air</t>
        </is>
      </c>
      <c r="F916" t="n">
        <v>0</v>
      </c>
      <c r="G916" t="inlineStr">
        <is>
          <t>Tech A</t>
        </is>
      </c>
      <c r="H916">
        <f>INDEX(Limits!$B$2:$B$5,MATCH(E916,Limits!$A$2:$A$5,0))</f>
        <v/>
      </c>
      <c r="I916">
        <f>INDEX(Limits!$C$2:$C$5,MATCH(E916,Limits!$A$2:$A$5,0))</f>
        <v/>
      </c>
      <c r="J916">
        <f>IF(F916&gt;=I916,"Action",IF(F916&gt;=H916,"Alert","Pass"))</f>
        <v/>
      </c>
      <c r="K916" s="4">
        <f>DATE(YEAR(B916),MONTH(B916),1)</f>
        <v/>
      </c>
    </row>
    <row r="917">
      <c r="A917" t="inlineStr">
        <is>
          <t>EM000916</t>
        </is>
      </c>
      <c r="B917" s="7" t="n">
        <v>46093</v>
      </c>
      <c r="C917" t="inlineStr">
        <is>
          <t>CR-101</t>
        </is>
      </c>
      <c r="D917" t="inlineStr">
        <is>
          <t>ISO 7</t>
        </is>
      </c>
      <c r="E917" t="inlineStr">
        <is>
          <t>Personnel glove</t>
        </is>
      </c>
      <c r="F917" t="n">
        <v>0</v>
      </c>
      <c r="G917" t="inlineStr">
        <is>
          <t>Tech C</t>
        </is>
      </c>
      <c r="H917">
        <f>INDEX(Limits!$B$2:$B$5,MATCH(E917,Limits!$A$2:$A$5,0))</f>
        <v/>
      </c>
      <c r="I917">
        <f>INDEX(Limits!$C$2:$C$5,MATCH(E917,Limits!$A$2:$A$5,0))</f>
        <v/>
      </c>
      <c r="J917">
        <f>IF(F917&gt;=I917,"Action",IF(F917&gt;=H917,"Alert","Pass"))</f>
        <v/>
      </c>
      <c r="K917" s="4">
        <f>DATE(YEAR(B917),MONTH(B917),1)</f>
        <v/>
      </c>
    </row>
    <row r="918">
      <c r="A918" t="inlineStr">
        <is>
          <t>EM000917</t>
        </is>
      </c>
      <c r="B918" s="7" t="n">
        <v>46093</v>
      </c>
      <c r="C918" t="inlineStr">
        <is>
          <t>CR-102</t>
        </is>
      </c>
      <c r="D918" t="inlineStr">
        <is>
          <t>ISO 7</t>
        </is>
      </c>
      <c r="E918" t="inlineStr">
        <is>
          <t>Active air</t>
        </is>
      </c>
      <c r="F918" t="n">
        <v>1</v>
      </c>
      <c r="G918" t="inlineStr">
        <is>
          <t>Tech D</t>
        </is>
      </c>
      <c r="H918">
        <f>INDEX(Limits!$B$2:$B$5,MATCH(E918,Limits!$A$2:$A$5,0))</f>
        <v/>
      </c>
      <c r="I918">
        <f>INDEX(Limits!$C$2:$C$5,MATCH(E918,Limits!$A$2:$A$5,0))</f>
        <v/>
      </c>
      <c r="J918">
        <f>IF(F918&gt;=I918,"Action",IF(F918&gt;=H918,"Alert","Pass"))</f>
        <v/>
      </c>
      <c r="K918" s="4">
        <f>DATE(YEAR(B918),MONTH(B918),1)</f>
        <v/>
      </c>
    </row>
    <row r="919">
      <c r="A919" t="inlineStr">
        <is>
          <t>EM000918</t>
        </is>
      </c>
      <c r="B919" s="7" t="n">
        <v>46093</v>
      </c>
      <c r="C919" t="inlineStr">
        <is>
          <t>CR-102</t>
        </is>
      </c>
      <c r="D919" t="inlineStr">
        <is>
          <t>ISO 7</t>
        </is>
      </c>
      <c r="E919" t="inlineStr">
        <is>
          <t>Surface contact</t>
        </is>
      </c>
      <c r="F919" t="n">
        <v>0</v>
      </c>
      <c r="G919" t="inlineStr">
        <is>
          <t>Tech D</t>
        </is>
      </c>
      <c r="H919">
        <f>INDEX(Limits!$B$2:$B$5,MATCH(E919,Limits!$A$2:$A$5,0))</f>
        <v/>
      </c>
      <c r="I919">
        <f>INDEX(Limits!$C$2:$C$5,MATCH(E919,Limits!$A$2:$A$5,0))</f>
        <v/>
      </c>
      <c r="J919">
        <f>IF(F919&gt;=I919,"Action",IF(F919&gt;=H919,"Alert","Pass"))</f>
        <v/>
      </c>
      <c r="K919" s="4">
        <f>DATE(YEAR(B919),MONTH(B919),1)</f>
        <v/>
      </c>
    </row>
    <row r="920">
      <c r="A920" t="inlineStr">
        <is>
          <t>EM000919</t>
        </is>
      </c>
      <c r="B920" s="7" t="n">
        <v>46093</v>
      </c>
      <c r="C920" t="inlineStr">
        <is>
          <t>CR-102</t>
        </is>
      </c>
      <c r="D920" t="inlineStr">
        <is>
          <t>ISO 7</t>
        </is>
      </c>
      <c r="E920" t="inlineStr">
        <is>
          <t>Compressed air</t>
        </is>
      </c>
      <c r="F920" t="n">
        <v>0</v>
      </c>
      <c r="G920" t="inlineStr">
        <is>
          <t>Tech A</t>
        </is>
      </c>
      <c r="H920">
        <f>INDEX(Limits!$B$2:$B$5,MATCH(E920,Limits!$A$2:$A$5,0))</f>
        <v/>
      </c>
      <c r="I920">
        <f>INDEX(Limits!$C$2:$C$5,MATCH(E920,Limits!$A$2:$A$5,0))</f>
        <v/>
      </c>
      <c r="J920">
        <f>IF(F920&gt;=I920,"Action",IF(F920&gt;=H920,"Alert","Pass"))</f>
        <v/>
      </c>
      <c r="K920" s="4">
        <f>DATE(YEAR(B920),MONTH(B920),1)</f>
        <v/>
      </c>
    </row>
    <row r="921">
      <c r="A921" t="inlineStr">
        <is>
          <t>EM000920</t>
        </is>
      </c>
      <c r="B921" s="7" t="n">
        <v>46093</v>
      </c>
      <c r="C921" t="inlineStr">
        <is>
          <t>CR-102</t>
        </is>
      </c>
      <c r="D921" t="inlineStr">
        <is>
          <t>ISO 7</t>
        </is>
      </c>
      <c r="E921" t="inlineStr">
        <is>
          <t>Personnel glove</t>
        </is>
      </c>
      <c r="F921" t="n">
        <v>0</v>
      </c>
      <c r="G921" t="inlineStr">
        <is>
          <t>Tech B</t>
        </is>
      </c>
      <c r="H921">
        <f>INDEX(Limits!$B$2:$B$5,MATCH(E921,Limits!$A$2:$A$5,0))</f>
        <v/>
      </c>
      <c r="I921">
        <f>INDEX(Limits!$C$2:$C$5,MATCH(E921,Limits!$A$2:$A$5,0))</f>
        <v/>
      </c>
      <c r="J921">
        <f>IF(F921&gt;=I921,"Action",IF(F921&gt;=H921,"Alert","Pass"))</f>
        <v/>
      </c>
      <c r="K921" s="4">
        <f>DATE(YEAR(B921),MONTH(B921),1)</f>
        <v/>
      </c>
    </row>
    <row r="922">
      <c r="A922" t="inlineStr">
        <is>
          <t>EM000921</t>
        </is>
      </c>
      <c r="B922" s="7" t="n">
        <v>46093</v>
      </c>
      <c r="C922" t="inlineStr">
        <is>
          <t>CR-201</t>
        </is>
      </c>
      <c r="D922" t="inlineStr">
        <is>
          <t>ISO 8</t>
        </is>
      </c>
      <c r="E922" t="inlineStr">
        <is>
          <t>Active air</t>
        </is>
      </c>
      <c r="F922" t="n">
        <v>3</v>
      </c>
      <c r="G922" t="inlineStr">
        <is>
          <t>Tech D</t>
        </is>
      </c>
      <c r="H922">
        <f>INDEX(Limits!$B$2:$B$5,MATCH(E922,Limits!$A$2:$A$5,0))</f>
        <v/>
      </c>
      <c r="I922">
        <f>INDEX(Limits!$C$2:$C$5,MATCH(E922,Limits!$A$2:$A$5,0))</f>
        <v/>
      </c>
      <c r="J922">
        <f>IF(F922&gt;=I922,"Action",IF(F922&gt;=H922,"Alert","Pass"))</f>
        <v/>
      </c>
      <c r="K922" s="4">
        <f>DATE(YEAR(B922),MONTH(B922),1)</f>
        <v/>
      </c>
    </row>
    <row r="923">
      <c r="A923" t="inlineStr">
        <is>
          <t>EM000922</t>
        </is>
      </c>
      <c r="B923" s="7" t="n">
        <v>46093</v>
      </c>
      <c r="C923" t="inlineStr">
        <is>
          <t>CR-201</t>
        </is>
      </c>
      <c r="D923" t="inlineStr">
        <is>
          <t>ISO 8</t>
        </is>
      </c>
      <c r="E923" t="inlineStr">
        <is>
          <t>Surface contact</t>
        </is>
      </c>
      <c r="F923" t="n">
        <v>1</v>
      </c>
      <c r="G923" t="inlineStr">
        <is>
          <t>Tech B</t>
        </is>
      </c>
      <c r="H923">
        <f>INDEX(Limits!$B$2:$B$5,MATCH(E923,Limits!$A$2:$A$5,0))</f>
        <v/>
      </c>
      <c r="I923">
        <f>INDEX(Limits!$C$2:$C$5,MATCH(E923,Limits!$A$2:$A$5,0))</f>
        <v/>
      </c>
      <c r="J923">
        <f>IF(F923&gt;=I923,"Action",IF(F923&gt;=H923,"Alert","Pass"))</f>
        <v/>
      </c>
      <c r="K923" s="4">
        <f>DATE(YEAR(B923),MONTH(B923),1)</f>
        <v/>
      </c>
    </row>
    <row r="924">
      <c r="A924" t="inlineStr">
        <is>
          <t>EM000923</t>
        </is>
      </c>
      <c r="B924" s="7" t="n">
        <v>46093</v>
      </c>
      <c r="C924" t="inlineStr">
        <is>
          <t>CR-201</t>
        </is>
      </c>
      <c r="D924" t="inlineStr">
        <is>
          <t>ISO 8</t>
        </is>
      </c>
      <c r="E924" t="inlineStr">
        <is>
          <t>Compressed air</t>
        </is>
      </c>
      <c r="F924" t="n">
        <v>0</v>
      </c>
      <c r="G924" t="inlineStr">
        <is>
          <t>Tech B</t>
        </is>
      </c>
      <c r="H924">
        <f>INDEX(Limits!$B$2:$B$5,MATCH(E924,Limits!$A$2:$A$5,0))</f>
        <v/>
      </c>
      <c r="I924">
        <f>INDEX(Limits!$C$2:$C$5,MATCH(E924,Limits!$A$2:$A$5,0))</f>
        <v/>
      </c>
      <c r="J924">
        <f>IF(F924&gt;=I924,"Action",IF(F924&gt;=H924,"Alert","Pass"))</f>
        <v/>
      </c>
      <c r="K924" s="4">
        <f>DATE(YEAR(B924),MONTH(B924),1)</f>
        <v/>
      </c>
    </row>
    <row r="925">
      <c r="A925" t="inlineStr">
        <is>
          <t>EM000924</t>
        </is>
      </c>
      <c r="B925" s="7" t="n">
        <v>46093</v>
      </c>
      <c r="C925" t="inlineStr">
        <is>
          <t>CR-201</t>
        </is>
      </c>
      <c r="D925" t="inlineStr">
        <is>
          <t>ISO 8</t>
        </is>
      </c>
      <c r="E925" t="inlineStr">
        <is>
          <t>Personnel glove</t>
        </is>
      </c>
      <c r="F925" t="n">
        <v>0</v>
      </c>
      <c r="G925" t="inlineStr">
        <is>
          <t>Tech B</t>
        </is>
      </c>
      <c r="H925">
        <f>INDEX(Limits!$B$2:$B$5,MATCH(E925,Limits!$A$2:$A$5,0))</f>
        <v/>
      </c>
      <c r="I925">
        <f>INDEX(Limits!$C$2:$C$5,MATCH(E925,Limits!$A$2:$A$5,0))</f>
        <v/>
      </c>
      <c r="J925">
        <f>IF(F925&gt;=I925,"Action",IF(F925&gt;=H925,"Alert","Pass"))</f>
        <v/>
      </c>
      <c r="K925" s="4">
        <f>DATE(YEAR(B925),MONTH(B925),1)</f>
        <v/>
      </c>
    </row>
    <row r="926">
      <c r="A926" t="inlineStr">
        <is>
          <t>EM000925</t>
        </is>
      </c>
      <c r="B926" s="7" t="n">
        <v>46093</v>
      </c>
      <c r="C926" t="inlineStr">
        <is>
          <t>CR-202</t>
        </is>
      </c>
      <c r="D926" t="inlineStr">
        <is>
          <t>ISO 8</t>
        </is>
      </c>
      <c r="E926" t="inlineStr">
        <is>
          <t>Active air</t>
        </is>
      </c>
      <c r="F926" t="n">
        <v>1</v>
      </c>
      <c r="G926" t="inlineStr">
        <is>
          <t>Tech C</t>
        </is>
      </c>
      <c r="H926">
        <f>INDEX(Limits!$B$2:$B$5,MATCH(E926,Limits!$A$2:$A$5,0))</f>
        <v/>
      </c>
      <c r="I926">
        <f>INDEX(Limits!$C$2:$C$5,MATCH(E926,Limits!$A$2:$A$5,0))</f>
        <v/>
      </c>
      <c r="J926">
        <f>IF(F926&gt;=I926,"Action",IF(F926&gt;=H926,"Alert","Pass"))</f>
        <v/>
      </c>
      <c r="K926" s="4">
        <f>DATE(YEAR(B926),MONTH(B926),1)</f>
        <v/>
      </c>
    </row>
    <row r="927">
      <c r="A927" t="inlineStr">
        <is>
          <t>EM000926</t>
        </is>
      </c>
      <c r="B927" s="7" t="n">
        <v>46093</v>
      </c>
      <c r="C927" t="inlineStr">
        <is>
          <t>CR-202</t>
        </is>
      </c>
      <c r="D927" t="inlineStr">
        <is>
          <t>ISO 8</t>
        </is>
      </c>
      <c r="E927" t="inlineStr">
        <is>
          <t>Surface contact</t>
        </is>
      </c>
      <c r="F927" t="n">
        <v>0</v>
      </c>
      <c r="G927" t="inlineStr">
        <is>
          <t>Tech C</t>
        </is>
      </c>
      <c r="H927">
        <f>INDEX(Limits!$B$2:$B$5,MATCH(E927,Limits!$A$2:$A$5,0))</f>
        <v/>
      </c>
      <c r="I927">
        <f>INDEX(Limits!$C$2:$C$5,MATCH(E927,Limits!$A$2:$A$5,0))</f>
        <v/>
      </c>
      <c r="J927">
        <f>IF(F927&gt;=I927,"Action",IF(F927&gt;=H927,"Alert","Pass"))</f>
        <v/>
      </c>
      <c r="K927" s="4">
        <f>DATE(YEAR(B927),MONTH(B927),1)</f>
        <v/>
      </c>
    </row>
    <row r="928">
      <c r="A928" t="inlineStr">
        <is>
          <t>EM000927</t>
        </is>
      </c>
      <c r="B928" s="7" t="n">
        <v>46093</v>
      </c>
      <c r="C928" t="inlineStr">
        <is>
          <t>CR-202</t>
        </is>
      </c>
      <c r="D928" t="inlineStr">
        <is>
          <t>ISO 8</t>
        </is>
      </c>
      <c r="E928" t="inlineStr">
        <is>
          <t>Compressed air</t>
        </is>
      </c>
      <c r="F928" t="n">
        <v>0</v>
      </c>
      <c r="G928" t="inlineStr">
        <is>
          <t>Tech B</t>
        </is>
      </c>
      <c r="H928">
        <f>INDEX(Limits!$B$2:$B$5,MATCH(E928,Limits!$A$2:$A$5,0))</f>
        <v/>
      </c>
      <c r="I928">
        <f>INDEX(Limits!$C$2:$C$5,MATCH(E928,Limits!$A$2:$A$5,0))</f>
        <v/>
      </c>
      <c r="J928">
        <f>IF(F928&gt;=I928,"Action",IF(F928&gt;=H928,"Alert","Pass"))</f>
        <v/>
      </c>
      <c r="K928" s="4">
        <f>DATE(YEAR(B928),MONTH(B928),1)</f>
        <v/>
      </c>
    </row>
    <row r="929">
      <c r="A929" t="inlineStr">
        <is>
          <t>EM000928</t>
        </is>
      </c>
      <c r="B929" s="7" t="n">
        <v>46093</v>
      </c>
      <c r="C929" t="inlineStr">
        <is>
          <t>CR-202</t>
        </is>
      </c>
      <c r="D929" t="inlineStr">
        <is>
          <t>ISO 8</t>
        </is>
      </c>
      <c r="E929" t="inlineStr">
        <is>
          <t>Personnel glove</t>
        </is>
      </c>
      <c r="F929" t="n">
        <v>0</v>
      </c>
      <c r="G929" t="inlineStr">
        <is>
          <t>Tech C</t>
        </is>
      </c>
      <c r="H929">
        <f>INDEX(Limits!$B$2:$B$5,MATCH(E929,Limits!$A$2:$A$5,0))</f>
        <v/>
      </c>
      <c r="I929">
        <f>INDEX(Limits!$C$2:$C$5,MATCH(E929,Limits!$A$2:$A$5,0))</f>
        <v/>
      </c>
      <c r="J929">
        <f>IF(F929&gt;=I929,"Action",IF(F929&gt;=H929,"Alert","Pass"))</f>
        <v/>
      </c>
      <c r="K929" s="4">
        <f>DATE(YEAR(B929),MONTH(B929),1)</f>
        <v/>
      </c>
    </row>
    <row r="930">
      <c r="A930" t="inlineStr">
        <is>
          <t>EM000929</t>
        </is>
      </c>
      <c r="B930" s="7" t="n">
        <v>46093</v>
      </c>
      <c r="C930" t="inlineStr">
        <is>
          <t>Gowning</t>
        </is>
      </c>
      <c r="D930" t="inlineStr">
        <is>
          <t>ISO 8</t>
        </is>
      </c>
      <c r="E930" t="inlineStr">
        <is>
          <t>Active air</t>
        </is>
      </c>
      <c r="F930" t="n">
        <v>2</v>
      </c>
      <c r="G930" t="inlineStr">
        <is>
          <t>Tech A</t>
        </is>
      </c>
      <c r="H930">
        <f>INDEX(Limits!$B$2:$B$5,MATCH(E930,Limits!$A$2:$A$5,0))</f>
        <v/>
      </c>
      <c r="I930">
        <f>INDEX(Limits!$C$2:$C$5,MATCH(E930,Limits!$A$2:$A$5,0))</f>
        <v/>
      </c>
      <c r="J930">
        <f>IF(F930&gt;=I930,"Action",IF(F930&gt;=H930,"Alert","Pass"))</f>
        <v/>
      </c>
      <c r="K930" s="4">
        <f>DATE(YEAR(B930),MONTH(B930),1)</f>
        <v/>
      </c>
    </row>
    <row r="931">
      <c r="A931" t="inlineStr">
        <is>
          <t>EM000930</t>
        </is>
      </c>
      <c r="B931" s="7" t="n">
        <v>46093</v>
      </c>
      <c r="C931" t="inlineStr">
        <is>
          <t>Gowning</t>
        </is>
      </c>
      <c r="D931" t="inlineStr">
        <is>
          <t>ISO 8</t>
        </is>
      </c>
      <c r="E931" t="inlineStr">
        <is>
          <t>Surface contact</t>
        </is>
      </c>
      <c r="F931" t="n">
        <v>1</v>
      </c>
      <c r="G931" t="inlineStr">
        <is>
          <t>Tech B</t>
        </is>
      </c>
      <c r="H931">
        <f>INDEX(Limits!$B$2:$B$5,MATCH(E931,Limits!$A$2:$A$5,0))</f>
        <v/>
      </c>
      <c r="I931">
        <f>INDEX(Limits!$C$2:$C$5,MATCH(E931,Limits!$A$2:$A$5,0))</f>
        <v/>
      </c>
      <c r="J931">
        <f>IF(F931&gt;=I931,"Action",IF(F931&gt;=H931,"Alert","Pass"))</f>
        <v/>
      </c>
      <c r="K931" s="4">
        <f>DATE(YEAR(B931),MONTH(B931),1)</f>
        <v/>
      </c>
    </row>
    <row r="932">
      <c r="A932" t="inlineStr">
        <is>
          <t>EM000931</t>
        </is>
      </c>
      <c r="B932" s="7" t="n">
        <v>46093</v>
      </c>
      <c r="C932" t="inlineStr">
        <is>
          <t>Gowning</t>
        </is>
      </c>
      <c r="D932" t="inlineStr">
        <is>
          <t>ISO 8</t>
        </is>
      </c>
      <c r="E932" t="inlineStr">
        <is>
          <t>Personnel glove</t>
        </is>
      </c>
      <c r="F932" t="n">
        <v>0</v>
      </c>
      <c r="G932" t="inlineStr">
        <is>
          <t>Tech D</t>
        </is>
      </c>
      <c r="H932">
        <f>INDEX(Limits!$B$2:$B$5,MATCH(E932,Limits!$A$2:$A$5,0))</f>
        <v/>
      </c>
      <c r="I932">
        <f>INDEX(Limits!$C$2:$C$5,MATCH(E932,Limits!$A$2:$A$5,0))</f>
        <v/>
      </c>
      <c r="J932">
        <f>IF(F932&gt;=I932,"Action",IF(F932&gt;=H932,"Alert","Pass"))</f>
        <v/>
      </c>
      <c r="K932" s="4">
        <f>DATE(YEAR(B932),MONTH(B932),1)</f>
        <v/>
      </c>
    </row>
    <row r="933">
      <c r="A933" t="inlineStr">
        <is>
          <t>EM000932</t>
        </is>
      </c>
      <c r="B933" s="7" t="n">
        <v>46094</v>
      </c>
      <c r="C933" t="inlineStr">
        <is>
          <t>CR-101</t>
        </is>
      </c>
      <c r="D933" t="inlineStr">
        <is>
          <t>ISO 7</t>
        </is>
      </c>
      <c r="E933" t="inlineStr">
        <is>
          <t>Active air</t>
        </is>
      </c>
      <c r="F933" t="n">
        <v>0</v>
      </c>
      <c r="G933" t="inlineStr">
        <is>
          <t>Tech C</t>
        </is>
      </c>
      <c r="H933">
        <f>INDEX(Limits!$B$2:$B$5,MATCH(E933,Limits!$A$2:$A$5,0))</f>
        <v/>
      </c>
      <c r="I933">
        <f>INDEX(Limits!$C$2:$C$5,MATCH(E933,Limits!$A$2:$A$5,0))</f>
        <v/>
      </c>
      <c r="J933">
        <f>IF(F933&gt;=I933,"Action",IF(F933&gt;=H933,"Alert","Pass"))</f>
        <v/>
      </c>
      <c r="K933" s="4">
        <f>DATE(YEAR(B933),MONTH(B933),1)</f>
        <v/>
      </c>
    </row>
    <row r="934">
      <c r="A934" t="inlineStr">
        <is>
          <t>EM000933</t>
        </is>
      </c>
      <c r="B934" s="7" t="n">
        <v>46094</v>
      </c>
      <c r="C934" t="inlineStr">
        <is>
          <t>CR-101</t>
        </is>
      </c>
      <c r="D934" t="inlineStr">
        <is>
          <t>ISO 7</t>
        </is>
      </c>
      <c r="E934" t="inlineStr">
        <is>
          <t>Surface contact</t>
        </is>
      </c>
      <c r="F934" t="n">
        <v>1</v>
      </c>
      <c r="G934" t="inlineStr">
        <is>
          <t>Tech D</t>
        </is>
      </c>
      <c r="H934">
        <f>INDEX(Limits!$B$2:$B$5,MATCH(E934,Limits!$A$2:$A$5,0))</f>
        <v/>
      </c>
      <c r="I934">
        <f>INDEX(Limits!$C$2:$C$5,MATCH(E934,Limits!$A$2:$A$5,0))</f>
        <v/>
      </c>
      <c r="J934">
        <f>IF(F934&gt;=I934,"Action",IF(F934&gt;=H934,"Alert","Pass"))</f>
        <v/>
      </c>
      <c r="K934" s="4">
        <f>DATE(YEAR(B934),MONTH(B934),1)</f>
        <v/>
      </c>
    </row>
    <row r="935">
      <c r="A935" t="inlineStr">
        <is>
          <t>EM000934</t>
        </is>
      </c>
      <c r="B935" s="7" t="n">
        <v>46094</v>
      </c>
      <c r="C935" t="inlineStr">
        <is>
          <t>CR-101</t>
        </is>
      </c>
      <c r="D935" t="inlineStr">
        <is>
          <t>ISO 7</t>
        </is>
      </c>
      <c r="E935" t="inlineStr">
        <is>
          <t>Compressed air</t>
        </is>
      </c>
      <c r="F935" t="n">
        <v>0</v>
      </c>
      <c r="G935" t="inlineStr">
        <is>
          <t>Tech A</t>
        </is>
      </c>
      <c r="H935">
        <f>INDEX(Limits!$B$2:$B$5,MATCH(E935,Limits!$A$2:$A$5,0))</f>
        <v/>
      </c>
      <c r="I935">
        <f>INDEX(Limits!$C$2:$C$5,MATCH(E935,Limits!$A$2:$A$5,0))</f>
        <v/>
      </c>
      <c r="J935">
        <f>IF(F935&gt;=I935,"Action",IF(F935&gt;=H935,"Alert","Pass"))</f>
        <v/>
      </c>
      <c r="K935" s="4">
        <f>DATE(YEAR(B935),MONTH(B935),1)</f>
        <v/>
      </c>
    </row>
    <row r="936">
      <c r="A936" t="inlineStr">
        <is>
          <t>EM000935</t>
        </is>
      </c>
      <c r="B936" s="7" t="n">
        <v>46094</v>
      </c>
      <c r="C936" t="inlineStr">
        <is>
          <t>CR-101</t>
        </is>
      </c>
      <c r="D936" t="inlineStr">
        <is>
          <t>ISO 7</t>
        </is>
      </c>
      <c r="E936" t="inlineStr">
        <is>
          <t>Personnel glove</t>
        </is>
      </c>
      <c r="F936" t="n">
        <v>0</v>
      </c>
      <c r="G936" t="inlineStr">
        <is>
          <t>Tech D</t>
        </is>
      </c>
      <c r="H936">
        <f>INDEX(Limits!$B$2:$B$5,MATCH(E936,Limits!$A$2:$A$5,0))</f>
        <v/>
      </c>
      <c r="I936">
        <f>INDEX(Limits!$C$2:$C$5,MATCH(E936,Limits!$A$2:$A$5,0))</f>
        <v/>
      </c>
      <c r="J936">
        <f>IF(F936&gt;=I936,"Action",IF(F936&gt;=H936,"Alert","Pass"))</f>
        <v/>
      </c>
      <c r="K936" s="4">
        <f>DATE(YEAR(B936),MONTH(B936),1)</f>
        <v/>
      </c>
    </row>
    <row r="937">
      <c r="A937" t="inlineStr">
        <is>
          <t>EM000936</t>
        </is>
      </c>
      <c r="B937" s="7" t="n">
        <v>46094</v>
      </c>
      <c r="C937" t="inlineStr">
        <is>
          <t>CR-102</t>
        </is>
      </c>
      <c r="D937" t="inlineStr">
        <is>
          <t>ISO 7</t>
        </is>
      </c>
      <c r="E937" t="inlineStr">
        <is>
          <t>Active air</t>
        </is>
      </c>
      <c r="F937" t="n">
        <v>2</v>
      </c>
      <c r="G937" t="inlineStr">
        <is>
          <t>Tech A</t>
        </is>
      </c>
      <c r="H937">
        <f>INDEX(Limits!$B$2:$B$5,MATCH(E937,Limits!$A$2:$A$5,0))</f>
        <v/>
      </c>
      <c r="I937">
        <f>INDEX(Limits!$C$2:$C$5,MATCH(E937,Limits!$A$2:$A$5,0))</f>
        <v/>
      </c>
      <c r="J937">
        <f>IF(F937&gt;=I937,"Action",IF(F937&gt;=H937,"Alert","Pass"))</f>
        <v/>
      </c>
      <c r="K937" s="4">
        <f>DATE(YEAR(B937),MONTH(B937),1)</f>
        <v/>
      </c>
    </row>
    <row r="938">
      <c r="A938" t="inlineStr">
        <is>
          <t>EM000937</t>
        </is>
      </c>
      <c r="B938" s="7" t="n">
        <v>46094</v>
      </c>
      <c r="C938" t="inlineStr">
        <is>
          <t>CR-102</t>
        </is>
      </c>
      <c r="D938" t="inlineStr">
        <is>
          <t>ISO 7</t>
        </is>
      </c>
      <c r="E938" t="inlineStr">
        <is>
          <t>Surface contact</t>
        </is>
      </c>
      <c r="F938" t="n">
        <v>0</v>
      </c>
      <c r="G938" t="inlineStr">
        <is>
          <t>Tech C</t>
        </is>
      </c>
      <c r="H938">
        <f>INDEX(Limits!$B$2:$B$5,MATCH(E938,Limits!$A$2:$A$5,0))</f>
        <v/>
      </c>
      <c r="I938">
        <f>INDEX(Limits!$C$2:$C$5,MATCH(E938,Limits!$A$2:$A$5,0))</f>
        <v/>
      </c>
      <c r="J938">
        <f>IF(F938&gt;=I938,"Action",IF(F938&gt;=H938,"Alert","Pass"))</f>
        <v/>
      </c>
      <c r="K938" s="4">
        <f>DATE(YEAR(B938),MONTH(B938),1)</f>
        <v/>
      </c>
    </row>
    <row r="939">
      <c r="A939" t="inlineStr">
        <is>
          <t>EM000938</t>
        </is>
      </c>
      <c r="B939" s="7" t="n">
        <v>46094</v>
      </c>
      <c r="C939" t="inlineStr">
        <is>
          <t>CR-102</t>
        </is>
      </c>
      <c r="D939" t="inlineStr">
        <is>
          <t>ISO 7</t>
        </is>
      </c>
      <c r="E939" t="inlineStr">
        <is>
          <t>Compressed air</t>
        </is>
      </c>
      <c r="F939" t="n">
        <v>0</v>
      </c>
      <c r="G939" t="inlineStr">
        <is>
          <t>Tech D</t>
        </is>
      </c>
      <c r="H939">
        <f>INDEX(Limits!$B$2:$B$5,MATCH(E939,Limits!$A$2:$A$5,0))</f>
        <v/>
      </c>
      <c r="I939">
        <f>INDEX(Limits!$C$2:$C$5,MATCH(E939,Limits!$A$2:$A$5,0))</f>
        <v/>
      </c>
      <c r="J939">
        <f>IF(F939&gt;=I939,"Action",IF(F939&gt;=H939,"Alert","Pass"))</f>
        <v/>
      </c>
      <c r="K939" s="4">
        <f>DATE(YEAR(B939),MONTH(B939),1)</f>
        <v/>
      </c>
    </row>
    <row r="940">
      <c r="A940" t="inlineStr">
        <is>
          <t>EM000939</t>
        </is>
      </c>
      <c r="B940" s="7" t="n">
        <v>46094</v>
      </c>
      <c r="C940" t="inlineStr">
        <is>
          <t>CR-102</t>
        </is>
      </c>
      <c r="D940" t="inlineStr">
        <is>
          <t>ISO 7</t>
        </is>
      </c>
      <c r="E940" t="inlineStr">
        <is>
          <t>Personnel glove</t>
        </is>
      </c>
      <c r="F940" t="n">
        <v>0</v>
      </c>
      <c r="G940" t="inlineStr">
        <is>
          <t>Tech B</t>
        </is>
      </c>
      <c r="H940">
        <f>INDEX(Limits!$B$2:$B$5,MATCH(E940,Limits!$A$2:$A$5,0))</f>
        <v/>
      </c>
      <c r="I940">
        <f>INDEX(Limits!$C$2:$C$5,MATCH(E940,Limits!$A$2:$A$5,0))</f>
        <v/>
      </c>
      <c r="J940">
        <f>IF(F940&gt;=I940,"Action",IF(F940&gt;=H940,"Alert","Pass"))</f>
        <v/>
      </c>
      <c r="K940" s="4">
        <f>DATE(YEAR(B940),MONTH(B940),1)</f>
        <v/>
      </c>
    </row>
    <row r="941">
      <c r="A941" t="inlineStr">
        <is>
          <t>EM000940</t>
        </is>
      </c>
      <c r="B941" s="7" t="n">
        <v>46094</v>
      </c>
      <c r="C941" t="inlineStr">
        <is>
          <t>CR-201</t>
        </is>
      </c>
      <c r="D941" t="inlineStr">
        <is>
          <t>ISO 8</t>
        </is>
      </c>
      <c r="E941" t="inlineStr">
        <is>
          <t>Active air</t>
        </is>
      </c>
      <c r="F941" t="n">
        <v>2</v>
      </c>
      <c r="G941" t="inlineStr">
        <is>
          <t>Tech C</t>
        </is>
      </c>
      <c r="H941">
        <f>INDEX(Limits!$B$2:$B$5,MATCH(E941,Limits!$A$2:$A$5,0))</f>
        <v/>
      </c>
      <c r="I941">
        <f>INDEX(Limits!$C$2:$C$5,MATCH(E941,Limits!$A$2:$A$5,0))</f>
        <v/>
      </c>
      <c r="J941">
        <f>IF(F941&gt;=I941,"Action",IF(F941&gt;=H941,"Alert","Pass"))</f>
        <v/>
      </c>
      <c r="K941" s="4">
        <f>DATE(YEAR(B941),MONTH(B941),1)</f>
        <v/>
      </c>
    </row>
    <row r="942">
      <c r="A942" t="inlineStr">
        <is>
          <t>EM000941</t>
        </is>
      </c>
      <c r="B942" s="7" t="n">
        <v>46094</v>
      </c>
      <c r="C942" t="inlineStr">
        <is>
          <t>CR-201</t>
        </is>
      </c>
      <c r="D942" t="inlineStr">
        <is>
          <t>ISO 8</t>
        </is>
      </c>
      <c r="E942" t="inlineStr">
        <is>
          <t>Surface contact</t>
        </is>
      </c>
      <c r="F942" t="n">
        <v>0</v>
      </c>
      <c r="G942" t="inlineStr">
        <is>
          <t>Tech C</t>
        </is>
      </c>
      <c r="H942">
        <f>INDEX(Limits!$B$2:$B$5,MATCH(E942,Limits!$A$2:$A$5,0))</f>
        <v/>
      </c>
      <c r="I942">
        <f>INDEX(Limits!$C$2:$C$5,MATCH(E942,Limits!$A$2:$A$5,0))</f>
        <v/>
      </c>
      <c r="J942">
        <f>IF(F942&gt;=I942,"Action",IF(F942&gt;=H942,"Alert","Pass"))</f>
        <v/>
      </c>
      <c r="K942" s="4">
        <f>DATE(YEAR(B942),MONTH(B942),1)</f>
        <v/>
      </c>
    </row>
    <row r="943">
      <c r="A943" t="inlineStr">
        <is>
          <t>EM000942</t>
        </is>
      </c>
      <c r="B943" s="7" t="n">
        <v>46094</v>
      </c>
      <c r="C943" t="inlineStr">
        <is>
          <t>CR-201</t>
        </is>
      </c>
      <c r="D943" t="inlineStr">
        <is>
          <t>ISO 8</t>
        </is>
      </c>
      <c r="E943" t="inlineStr">
        <is>
          <t>Compressed air</t>
        </is>
      </c>
      <c r="F943" t="n">
        <v>0</v>
      </c>
      <c r="G943" t="inlineStr">
        <is>
          <t>Tech D</t>
        </is>
      </c>
      <c r="H943">
        <f>INDEX(Limits!$B$2:$B$5,MATCH(E943,Limits!$A$2:$A$5,0))</f>
        <v/>
      </c>
      <c r="I943">
        <f>INDEX(Limits!$C$2:$C$5,MATCH(E943,Limits!$A$2:$A$5,0))</f>
        <v/>
      </c>
      <c r="J943">
        <f>IF(F943&gt;=I943,"Action",IF(F943&gt;=H943,"Alert","Pass"))</f>
        <v/>
      </c>
      <c r="K943" s="4">
        <f>DATE(YEAR(B943),MONTH(B943),1)</f>
        <v/>
      </c>
    </row>
    <row r="944">
      <c r="A944" t="inlineStr">
        <is>
          <t>EM000943</t>
        </is>
      </c>
      <c r="B944" s="7" t="n">
        <v>46094</v>
      </c>
      <c r="C944" t="inlineStr">
        <is>
          <t>CR-201</t>
        </is>
      </c>
      <c r="D944" t="inlineStr">
        <is>
          <t>ISO 8</t>
        </is>
      </c>
      <c r="E944" t="inlineStr">
        <is>
          <t>Personnel glove</t>
        </is>
      </c>
      <c r="F944" t="n">
        <v>0</v>
      </c>
      <c r="G944" t="inlineStr">
        <is>
          <t>Tech A</t>
        </is>
      </c>
      <c r="H944">
        <f>INDEX(Limits!$B$2:$B$5,MATCH(E944,Limits!$A$2:$A$5,0))</f>
        <v/>
      </c>
      <c r="I944">
        <f>INDEX(Limits!$C$2:$C$5,MATCH(E944,Limits!$A$2:$A$5,0))</f>
        <v/>
      </c>
      <c r="J944">
        <f>IF(F944&gt;=I944,"Action",IF(F944&gt;=H944,"Alert","Pass"))</f>
        <v/>
      </c>
      <c r="K944" s="4">
        <f>DATE(YEAR(B944),MONTH(B944),1)</f>
        <v/>
      </c>
    </row>
    <row r="945">
      <c r="A945" t="inlineStr">
        <is>
          <t>EM000944</t>
        </is>
      </c>
      <c r="B945" s="7" t="n">
        <v>46094</v>
      </c>
      <c r="C945" t="inlineStr">
        <is>
          <t>CR-202</t>
        </is>
      </c>
      <c r="D945" t="inlineStr">
        <is>
          <t>ISO 8</t>
        </is>
      </c>
      <c r="E945" t="inlineStr">
        <is>
          <t>Active air</t>
        </is>
      </c>
      <c r="F945" t="n">
        <v>0</v>
      </c>
      <c r="G945" t="inlineStr">
        <is>
          <t>Tech C</t>
        </is>
      </c>
      <c r="H945">
        <f>INDEX(Limits!$B$2:$B$5,MATCH(E945,Limits!$A$2:$A$5,0))</f>
        <v/>
      </c>
      <c r="I945">
        <f>INDEX(Limits!$C$2:$C$5,MATCH(E945,Limits!$A$2:$A$5,0))</f>
        <v/>
      </c>
      <c r="J945">
        <f>IF(F945&gt;=I945,"Action",IF(F945&gt;=H945,"Alert","Pass"))</f>
        <v/>
      </c>
      <c r="K945" s="4">
        <f>DATE(YEAR(B945),MONTH(B945),1)</f>
        <v/>
      </c>
    </row>
    <row r="946">
      <c r="A946" t="inlineStr">
        <is>
          <t>EM000945</t>
        </is>
      </c>
      <c r="B946" s="7" t="n">
        <v>46094</v>
      </c>
      <c r="C946" t="inlineStr">
        <is>
          <t>CR-202</t>
        </is>
      </c>
      <c r="D946" t="inlineStr">
        <is>
          <t>ISO 8</t>
        </is>
      </c>
      <c r="E946" t="inlineStr">
        <is>
          <t>Surface contact</t>
        </is>
      </c>
      <c r="F946" t="n">
        <v>1</v>
      </c>
      <c r="G946" t="inlineStr">
        <is>
          <t>Tech C</t>
        </is>
      </c>
      <c r="H946">
        <f>INDEX(Limits!$B$2:$B$5,MATCH(E946,Limits!$A$2:$A$5,0))</f>
        <v/>
      </c>
      <c r="I946">
        <f>INDEX(Limits!$C$2:$C$5,MATCH(E946,Limits!$A$2:$A$5,0))</f>
        <v/>
      </c>
      <c r="J946">
        <f>IF(F946&gt;=I946,"Action",IF(F946&gt;=H946,"Alert","Pass"))</f>
        <v/>
      </c>
      <c r="K946" s="4">
        <f>DATE(YEAR(B946),MONTH(B946),1)</f>
        <v/>
      </c>
    </row>
    <row r="947">
      <c r="A947" t="inlineStr">
        <is>
          <t>EM000946</t>
        </is>
      </c>
      <c r="B947" s="7" t="n">
        <v>46094</v>
      </c>
      <c r="C947" t="inlineStr">
        <is>
          <t>CR-202</t>
        </is>
      </c>
      <c r="D947" t="inlineStr">
        <is>
          <t>ISO 8</t>
        </is>
      </c>
      <c r="E947" t="inlineStr">
        <is>
          <t>Compressed air</t>
        </is>
      </c>
      <c r="F947" t="n">
        <v>0</v>
      </c>
      <c r="G947" t="inlineStr">
        <is>
          <t>Tech B</t>
        </is>
      </c>
      <c r="H947">
        <f>INDEX(Limits!$B$2:$B$5,MATCH(E947,Limits!$A$2:$A$5,0))</f>
        <v/>
      </c>
      <c r="I947">
        <f>INDEX(Limits!$C$2:$C$5,MATCH(E947,Limits!$A$2:$A$5,0))</f>
        <v/>
      </c>
      <c r="J947">
        <f>IF(F947&gt;=I947,"Action",IF(F947&gt;=H947,"Alert","Pass"))</f>
        <v/>
      </c>
      <c r="K947" s="4">
        <f>DATE(YEAR(B947),MONTH(B947),1)</f>
        <v/>
      </c>
    </row>
    <row r="948">
      <c r="A948" t="inlineStr">
        <is>
          <t>EM000947</t>
        </is>
      </c>
      <c r="B948" s="7" t="n">
        <v>46094</v>
      </c>
      <c r="C948" t="inlineStr">
        <is>
          <t>CR-202</t>
        </is>
      </c>
      <c r="D948" t="inlineStr">
        <is>
          <t>ISO 8</t>
        </is>
      </c>
      <c r="E948" t="inlineStr">
        <is>
          <t>Personnel glove</t>
        </is>
      </c>
      <c r="F948" t="n">
        <v>0</v>
      </c>
      <c r="G948" t="inlineStr">
        <is>
          <t>Tech D</t>
        </is>
      </c>
      <c r="H948">
        <f>INDEX(Limits!$B$2:$B$5,MATCH(E948,Limits!$A$2:$A$5,0))</f>
        <v/>
      </c>
      <c r="I948">
        <f>INDEX(Limits!$C$2:$C$5,MATCH(E948,Limits!$A$2:$A$5,0))</f>
        <v/>
      </c>
      <c r="J948">
        <f>IF(F948&gt;=I948,"Action",IF(F948&gt;=H948,"Alert","Pass"))</f>
        <v/>
      </c>
      <c r="K948" s="4">
        <f>DATE(YEAR(B948),MONTH(B948),1)</f>
        <v/>
      </c>
    </row>
    <row r="949">
      <c r="A949" t="inlineStr">
        <is>
          <t>EM000948</t>
        </is>
      </c>
      <c r="B949" s="7" t="n">
        <v>46094</v>
      </c>
      <c r="C949" t="inlineStr">
        <is>
          <t>Gowning</t>
        </is>
      </c>
      <c r="D949" t="inlineStr">
        <is>
          <t>ISO 8</t>
        </is>
      </c>
      <c r="E949" t="inlineStr">
        <is>
          <t>Active air</t>
        </is>
      </c>
      <c r="F949" t="n">
        <v>0</v>
      </c>
      <c r="G949" t="inlineStr">
        <is>
          <t>Tech B</t>
        </is>
      </c>
      <c r="H949">
        <f>INDEX(Limits!$B$2:$B$5,MATCH(E949,Limits!$A$2:$A$5,0))</f>
        <v/>
      </c>
      <c r="I949">
        <f>INDEX(Limits!$C$2:$C$5,MATCH(E949,Limits!$A$2:$A$5,0))</f>
        <v/>
      </c>
      <c r="J949">
        <f>IF(F949&gt;=I949,"Action",IF(F949&gt;=H949,"Alert","Pass"))</f>
        <v/>
      </c>
      <c r="K949" s="4">
        <f>DATE(YEAR(B949),MONTH(B949),1)</f>
        <v/>
      </c>
    </row>
    <row r="950">
      <c r="A950" t="inlineStr">
        <is>
          <t>EM000949</t>
        </is>
      </c>
      <c r="B950" s="7" t="n">
        <v>46094</v>
      </c>
      <c r="C950" t="inlineStr">
        <is>
          <t>Gowning</t>
        </is>
      </c>
      <c r="D950" t="inlineStr">
        <is>
          <t>ISO 8</t>
        </is>
      </c>
      <c r="E950" t="inlineStr">
        <is>
          <t>Surface contact</t>
        </is>
      </c>
      <c r="F950" t="n">
        <v>0</v>
      </c>
      <c r="G950" t="inlineStr">
        <is>
          <t>Tech B</t>
        </is>
      </c>
      <c r="H950">
        <f>INDEX(Limits!$B$2:$B$5,MATCH(E950,Limits!$A$2:$A$5,0))</f>
        <v/>
      </c>
      <c r="I950">
        <f>INDEX(Limits!$C$2:$C$5,MATCH(E950,Limits!$A$2:$A$5,0))</f>
        <v/>
      </c>
      <c r="J950">
        <f>IF(F950&gt;=I950,"Action",IF(F950&gt;=H950,"Alert","Pass"))</f>
        <v/>
      </c>
      <c r="K950" s="4">
        <f>DATE(YEAR(B950),MONTH(B950),1)</f>
        <v/>
      </c>
    </row>
    <row r="951">
      <c r="A951" t="inlineStr">
        <is>
          <t>EM000950</t>
        </is>
      </c>
      <c r="B951" s="7" t="n">
        <v>46094</v>
      </c>
      <c r="C951" t="inlineStr">
        <is>
          <t>Gowning</t>
        </is>
      </c>
      <c r="D951" t="inlineStr">
        <is>
          <t>ISO 8</t>
        </is>
      </c>
      <c r="E951" t="inlineStr">
        <is>
          <t>Personnel glove</t>
        </is>
      </c>
      <c r="F951" t="n">
        <v>0</v>
      </c>
      <c r="G951" t="inlineStr">
        <is>
          <t>Tech C</t>
        </is>
      </c>
      <c r="H951">
        <f>INDEX(Limits!$B$2:$B$5,MATCH(E951,Limits!$A$2:$A$5,0))</f>
        <v/>
      </c>
      <c r="I951">
        <f>INDEX(Limits!$C$2:$C$5,MATCH(E951,Limits!$A$2:$A$5,0))</f>
        <v/>
      </c>
      <c r="J951">
        <f>IF(F951&gt;=I951,"Action",IF(F951&gt;=H951,"Alert","Pass"))</f>
        <v/>
      </c>
      <c r="K951" s="4">
        <f>DATE(YEAR(B951),MONTH(B951),1)</f>
        <v/>
      </c>
    </row>
    <row r="952">
      <c r="A952" t="inlineStr">
        <is>
          <t>EM000951</t>
        </is>
      </c>
      <c r="B952" s="7" t="n">
        <v>46097</v>
      </c>
      <c r="C952" t="inlineStr">
        <is>
          <t>CR-101</t>
        </is>
      </c>
      <c r="D952" t="inlineStr">
        <is>
          <t>ISO 7</t>
        </is>
      </c>
      <c r="E952" t="inlineStr">
        <is>
          <t>Active air</t>
        </is>
      </c>
      <c r="F952" t="n">
        <v>1</v>
      </c>
      <c r="G952" t="inlineStr">
        <is>
          <t>Tech A</t>
        </is>
      </c>
      <c r="H952">
        <f>INDEX(Limits!$B$2:$B$5,MATCH(E952,Limits!$A$2:$A$5,0))</f>
        <v/>
      </c>
      <c r="I952">
        <f>INDEX(Limits!$C$2:$C$5,MATCH(E952,Limits!$A$2:$A$5,0))</f>
        <v/>
      </c>
      <c r="J952">
        <f>IF(F952&gt;=I952,"Action",IF(F952&gt;=H952,"Alert","Pass"))</f>
        <v/>
      </c>
      <c r="K952" s="4">
        <f>DATE(YEAR(B952),MONTH(B952),1)</f>
        <v/>
      </c>
    </row>
    <row r="953">
      <c r="A953" t="inlineStr">
        <is>
          <t>EM000952</t>
        </is>
      </c>
      <c r="B953" s="7" t="n">
        <v>46097</v>
      </c>
      <c r="C953" t="inlineStr">
        <is>
          <t>CR-101</t>
        </is>
      </c>
      <c r="D953" t="inlineStr">
        <is>
          <t>ISO 7</t>
        </is>
      </c>
      <c r="E953" t="inlineStr">
        <is>
          <t>Surface contact</t>
        </is>
      </c>
      <c r="F953" t="n">
        <v>0</v>
      </c>
      <c r="G953" t="inlineStr">
        <is>
          <t>Tech C</t>
        </is>
      </c>
      <c r="H953">
        <f>INDEX(Limits!$B$2:$B$5,MATCH(E953,Limits!$A$2:$A$5,0))</f>
        <v/>
      </c>
      <c r="I953">
        <f>INDEX(Limits!$C$2:$C$5,MATCH(E953,Limits!$A$2:$A$5,0))</f>
        <v/>
      </c>
      <c r="J953">
        <f>IF(F953&gt;=I953,"Action",IF(F953&gt;=H953,"Alert","Pass"))</f>
        <v/>
      </c>
      <c r="K953" s="4">
        <f>DATE(YEAR(B953),MONTH(B953),1)</f>
        <v/>
      </c>
    </row>
    <row r="954">
      <c r="A954" t="inlineStr">
        <is>
          <t>EM000953</t>
        </is>
      </c>
      <c r="B954" s="7" t="n">
        <v>46097</v>
      </c>
      <c r="C954" t="inlineStr">
        <is>
          <t>CR-101</t>
        </is>
      </c>
      <c r="D954" t="inlineStr">
        <is>
          <t>ISO 7</t>
        </is>
      </c>
      <c r="E954" t="inlineStr">
        <is>
          <t>Compressed air</t>
        </is>
      </c>
      <c r="F954" t="n">
        <v>0</v>
      </c>
      <c r="G954" t="inlineStr">
        <is>
          <t>Tech B</t>
        </is>
      </c>
      <c r="H954">
        <f>INDEX(Limits!$B$2:$B$5,MATCH(E954,Limits!$A$2:$A$5,0))</f>
        <v/>
      </c>
      <c r="I954">
        <f>INDEX(Limits!$C$2:$C$5,MATCH(E954,Limits!$A$2:$A$5,0))</f>
        <v/>
      </c>
      <c r="J954">
        <f>IF(F954&gt;=I954,"Action",IF(F954&gt;=H954,"Alert","Pass"))</f>
        <v/>
      </c>
      <c r="K954" s="4">
        <f>DATE(YEAR(B954),MONTH(B954),1)</f>
        <v/>
      </c>
    </row>
    <row r="955">
      <c r="A955" t="inlineStr">
        <is>
          <t>EM000954</t>
        </is>
      </c>
      <c r="B955" s="7" t="n">
        <v>46097</v>
      </c>
      <c r="C955" t="inlineStr">
        <is>
          <t>CR-101</t>
        </is>
      </c>
      <c r="D955" t="inlineStr">
        <is>
          <t>ISO 7</t>
        </is>
      </c>
      <c r="E955" t="inlineStr">
        <is>
          <t>Personnel glove</t>
        </is>
      </c>
      <c r="F955" t="n">
        <v>0</v>
      </c>
      <c r="G955" t="inlineStr">
        <is>
          <t>Tech A</t>
        </is>
      </c>
      <c r="H955">
        <f>INDEX(Limits!$B$2:$B$5,MATCH(E955,Limits!$A$2:$A$5,0))</f>
        <v/>
      </c>
      <c r="I955">
        <f>INDEX(Limits!$C$2:$C$5,MATCH(E955,Limits!$A$2:$A$5,0))</f>
        <v/>
      </c>
      <c r="J955">
        <f>IF(F955&gt;=I955,"Action",IF(F955&gt;=H955,"Alert","Pass"))</f>
        <v/>
      </c>
      <c r="K955" s="4">
        <f>DATE(YEAR(B955),MONTH(B955),1)</f>
        <v/>
      </c>
    </row>
    <row r="956">
      <c r="A956" t="inlineStr">
        <is>
          <t>EM000955</t>
        </is>
      </c>
      <c r="B956" s="7" t="n">
        <v>46097</v>
      </c>
      <c r="C956" t="inlineStr">
        <is>
          <t>CR-102</t>
        </is>
      </c>
      <c r="D956" t="inlineStr">
        <is>
          <t>ISO 7</t>
        </is>
      </c>
      <c r="E956" t="inlineStr">
        <is>
          <t>Active air</t>
        </is>
      </c>
      <c r="F956" t="n">
        <v>2</v>
      </c>
      <c r="G956" t="inlineStr">
        <is>
          <t>Tech D</t>
        </is>
      </c>
      <c r="H956">
        <f>INDEX(Limits!$B$2:$B$5,MATCH(E956,Limits!$A$2:$A$5,0))</f>
        <v/>
      </c>
      <c r="I956">
        <f>INDEX(Limits!$C$2:$C$5,MATCH(E956,Limits!$A$2:$A$5,0))</f>
        <v/>
      </c>
      <c r="J956">
        <f>IF(F956&gt;=I956,"Action",IF(F956&gt;=H956,"Alert","Pass"))</f>
        <v/>
      </c>
      <c r="K956" s="4">
        <f>DATE(YEAR(B956),MONTH(B956),1)</f>
        <v/>
      </c>
    </row>
    <row r="957">
      <c r="A957" t="inlineStr">
        <is>
          <t>EM000956</t>
        </is>
      </c>
      <c r="B957" s="7" t="n">
        <v>46097</v>
      </c>
      <c r="C957" t="inlineStr">
        <is>
          <t>CR-102</t>
        </is>
      </c>
      <c r="D957" t="inlineStr">
        <is>
          <t>ISO 7</t>
        </is>
      </c>
      <c r="E957" t="inlineStr">
        <is>
          <t>Surface contact</t>
        </is>
      </c>
      <c r="F957" t="n">
        <v>1</v>
      </c>
      <c r="G957" t="inlineStr">
        <is>
          <t>Tech B</t>
        </is>
      </c>
      <c r="H957">
        <f>INDEX(Limits!$B$2:$B$5,MATCH(E957,Limits!$A$2:$A$5,0))</f>
        <v/>
      </c>
      <c r="I957">
        <f>INDEX(Limits!$C$2:$C$5,MATCH(E957,Limits!$A$2:$A$5,0))</f>
        <v/>
      </c>
      <c r="J957">
        <f>IF(F957&gt;=I957,"Action",IF(F957&gt;=H957,"Alert","Pass"))</f>
        <v/>
      </c>
      <c r="K957" s="4">
        <f>DATE(YEAR(B957),MONTH(B957),1)</f>
        <v/>
      </c>
    </row>
    <row r="958">
      <c r="A958" t="inlineStr">
        <is>
          <t>EM000957</t>
        </is>
      </c>
      <c r="B958" s="7" t="n">
        <v>46097</v>
      </c>
      <c r="C958" t="inlineStr">
        <is>
          <t>CR-102</t>
        </is>
      </c>
      <c r="D958" t="inlineStr">
        <is>
          <t>ISO 7</t>
        </is>
      </c>
      <c r="E958" t="inlineStr">
        <is>
          <t>Compressed air</t>
        </is>
      </c>
      <c r="F958" t="n">
        <v>0</v>
      </c>
      <c r="G958" t="inlineStr">
        <is>
          <t>Tech C</t>
        </is>
      </c>
      <c r="H958">
        <f>INDEX(Limits!$B$2:$B$5,MATCH(E958,Limits!$A$2:$A$5,0))</f>
        <v/>
      </c>
      <c r="I958">
        <f>INDEX(Limits!$C$2:$C$5,MATCH(E958,Limits!$A$2:$A$5,0))</f>
        <v/>
      </c>
      <c r="J958">
        <f>IF(F958&gt;=I958,"Action",IF(F958&gt;=H958,"Alert","Pass"))</f>
        <v/>
      </c>
      <c r="K958" s="4">
        <f>DATE(YEAR(B958),MONTH(B958),1)</f>
        <v/>
      </c>
    </row>
    <row r="959">
      <c r="A959" t="inlineStr">
        <is>
          <t>EM000958</t>
        </is>
      </c>
      <c r="B959" s="7" t="n">
        <v>46097</v>
      </c>
      <c r="C959" t="inlineStr">
        <is>
          <t>CR-102</t>
        </is>
      </c>
      <c r="D959" t="inlineStr">
        <is>
          <t>ISO 7</t>
        </is>
      </c>
      <c r="E959" t="inlineStr">
        <is>
          <t>Personnel glove</t>
        </is>
      </c>
      <c r="F959" t="n">
        <v>0</v>
      </c>
      <c r="G959" t="inlineStr">
        <is>
          <t>Tech A</t>
        </is>
      </c>
      <c r="H959">
        <f>INDEX(Limits!$B$2:$B$5,MATCH(E959,Limits!$A$2:$A$5,0))</f>
        <v/>
      </c>
      <c r="I959">
        <f>INDEX(Limits!$C$2:$C$5,MATCH(E959,Limits!$A$2:$A$5,0))</f>
        <v/>
      </c>
      <c r="J959">
        <f>IF(F959&gt;=I959,"Action",IF(F959&gt;=H959,"Alert","Pass"))</f>
        <v/>
      </c>
      <c r="K959" s="4">
        <f>DATE(YEAR(B959),MONTH(B959),1)</f>
        <v/>
      </c>
    </row>
    <row r="960">
      <c r="A960" t="inlineStr">
        <is>
          <t>EM000959</t>
        </is>
      </c>
      <c r="B960" s="7" t="n">
        <v>46097</v>
      </c>
      <c r="C960" t="inlineStr">
        <is>
          <t>CR-201</t>
        </is>
      </c>
      <c r="D960" t="inlineStr">
        <is>
          <t>ISO 8</t>
        </is>
      </c>
      <c r="E960" t="inlineStr">
        <is>
          <t>Active air</t>
        </is>
      </c>
      <c r="F960" t="n">
        <v>1</v>
      </c>
      <c r="G960" t="inlineStr">
        <is>
          <t>Tech B</t>
        </is>
      </c>
      <c r="H960">
        <f>INDEX(Limits!$B$2:$B$5,MATCH(E960,Limits!$A$2:$A$5,0))</f>
        <v/>
      </c>
      <c r="I960">
        <f>INDEX(Limits!$C$2:$C$5,MATCH(E960,Limits!$A$2:$A$5,0))</f>
        <v/>
      </c>
      <c r="J960">
        <f>IF(F960&gt;=I960,"Action",IF(F960&gt;=H960,"Alert","Pass"))</f>
        <v/>
      </c>
      <c r="K960" s="4">
        <f>DATE(YEAR(B960),MONTH(B960),1)</f>
        <v/>
      </c>
    </row>
    <row r="961">
      <c r="A961" t="inlineStr">
        <is>
          <t>EM000960</t>
        </is>
      </c>
      <c r="B961" s="7" t="n">
        <v>46097</v>
      </c>
      <c r="C961" t="inlineStr">
        <is>
          <t>CR-201</t>
        </is>
      </c>
      <c r="D961" t="inlineStr">
        <is>
          <t>ISO 8</t>
        </is>
      </c>
      <c r="E961" t="inlineStr">
        <is>
          <t>Surface contact</t>
        </is>
      </c>
      <c r="F961" t="n">
        <v>1</v>
      </c>
      <c r="G961" t="inlineStr">
        <is>
          <t>Tech A</t>
        </is>
      </c>
      <c r="H961">
        <f>INDEX(Limits!$B$2:$B$5,MATCH(E961,Limits!$A$2:$A$5,0))</f>
        <v/>
      </c>
      <c r="I961">
        <f>INDEX(Limits!$C$2:$C$5,MATCH(E961,Limits!$A$2:$A$5,0))</f>
        <v/>
      </c>
      <c r="J961">
        <f>IF(F961&gt;=I961,"Action",IF(F961&gt;=H961,"Alert","Pass"))</f>
        <v/>
      </c>
      <c r="K961" s="4">
        <f>DATE(YEAR(B961),MONTH(B961),1)</f>
        <v/>
      </c>
    </row>
    <row r="962">
      <c r="A962" t="inlineStr">
        <is>
          <t>EM000961</t>
        </is>
      </c>
      <c r="B962" s="7" t="n">
        <v>46097</v>
      </c>
      <c r="C962" t="inlineStr">
        <is>
          <t>CR-201</t>
        </is>
      </c>
      <c r="D962" t="inlineStr">
        <is>
          <t>ISO 8</t>
        </is>
      </c>
      <c r="E962" t="inlineStr">
        <is>
          <t>Compressed air</t>
        </is>
      </c>
      <c r="F962" t="n">
        <v>0</v>
      </c>
      <c r="G962" t="inlineStr">
        <is>
          <t>Tech B</t>
        </is>
      </c>
      <c r="H962">
        <f>INDEX(Limits!$B$2:$B$5,MATCH(E962,Limits!$A$2:$A$5,0))</f>
        <v/>
      </c>
      <c r="I962">
        <f>INDEX(Limits!$C$2:$C$5,MATCH(E962,Limits!$A$2:$A$5,0))</f>
        <v/>
      </c>
      <c r="J962">
        <f>IF(F962&gt;=I962,"Action",IF(F962&gt;=H962,"Alert","Pass"))</f>
        <v/>
      </c>
      <c r="K962" s="4">
        <f>DATE(YEAR(B962),MONTH(B962),1)</f>
        <v/>
      </c>
    </row>
    <row r="963">
      <c r="A963" t="inlineStr">
        <is>
          <t>EM000962</t>
        </is>
      </c>
      <c r="B963" s="7" t="n">
        <v>46097</v>
      </c>
      <c r="C963" t="inlineStr">
        <is>
          <t>CR-201</t>
        </is>
      </c>
      <c r="D963" t="inlineStr">
        <is>
          <t>ISO 8</t>
        </is>
      </c>
      <c r="E963" t="inlineStr">
        <is>
          <t>Personnel glove</t>
        </is>
      </c>
      <c r="F963" t="n">
        <v>0</v>
      </c>
      <c r="G963" t="inlineStr">
        <is>
          <t>Tech A</t>
        </is>
      </c>
      <c r="H963">
        <f>INDEX(Limits!$B$2:$B$5,MATCH(E963,Limits!$A$2:$A$5,0))</f>
        <v/>
      </c>
      <c r="I963">
        <f>INDEX(Limits!$C$2:$C$5,MATCH(E963,Limits!$A$2:$A$5,0))</f>
        <v/>
      </c>
      <c r="J963">
        <f>IF(F963&gt;=I963,"Action",IF(F963&gt;=H963,"Alert","Pass"))</f>
        <v/>
      </c>
      <c r="K963" s="4">
        <f>DATE(YEAR(B963),MONTH(B963),1)</f>
        <v/>
      </c>
    </row>
    <row r="964">
      <c r="A964" t="inlineStr">
        <is>
          <t>EM000963</t>
        </is>
      </c>
      <c r="B964" s="7" t="n">
        <v>46097</v>
      </c>
      <c r="C964" t="inlineStr">
        <is>
          <t>CR-202</t>
        </is>
      </c>
      <c r="D964" t="inlineStr">
        <is>
          <t>ISO 8</t>
        </is>
      </c>
      <c r="E964" t="inlineStr">
        <is>
          <t>Active air</t>
        </is>
      </c>
      <c r="F964" t="n">
        <v>4</v>
      </c>
      <c r="G964" t="inlineStr">
        <is>
          <t>Tech B</t>
        </is>
      </c>
      <c r="H964">
        <f>INDEX(Limits!$B$2:$B$5,MATCH(E964,Limits!$A$2:$A$5,0))</f>
        <v/>
      </c>
      <c r="I964">
        <f>INDEX(Limits!$C$2:$C$5,MATCH(E964,Limits!$A$2:$A$5,0))</f>
        <v/>
      </c>
      <c r="J964">
        <f>IF(F964&gt;=I964,"Action",IF(F964&gt;=H964,"Alert","Pass"))</f>
        <v/>
      </c>
      <c r="K964" s="4">
        <f>DATE(YEAR(B964),MONTH(B964),1)</f>
        <v/>
      </c>
    </row>
    <row r="965">
      <c r="A965" t="inlineStr">
        <is>
          <t>EM000964</t>
        </is>
      </c>
      <c r="B965" s="7" t="n">
        <v>46097</v>
      </c>
      <c r="C965" t="inlineStr">
        <is>
          <t>CR-202</t>
        </is>
      </c>
      <c r="D965" t="inlineStr">
        <is>
          <t>ISO 8</t>
        </is>
      </c>
      <c r="E965" t="inlineStr">
        <is>
          <t>Surface contact</t>
        </is>
      </c>
      <c r="F965" t="n">
        <v>2</v>
      </c>
      <c r="G965" t="inlineStr">
        <is>
          <t>Tech B</t>
        </is>
      </c>
      <c r="H965">
        <f>INDEX(Limits!$B$2:$B$5,MATCH(E965,Limits!$A$2:$A$5,0))</f>
        <v/>
      </c>
      <c r="I965">
        <f>INDEX(Limits!$C$2:$C$5,MATCH(E965,Limits!$A$2:$A$5,0))</f>
        <v/>
      </c>
      <c r="J965">
        <f>IF(F965&gt;=I965,"Action",IF(F965&gt;=H965,"Alert","Pass"))</f>
        <v/>
      </c>
      <c r="K965" s="4">
        <f>DATE(YEAR(B965),MONTH(B965),1)</f>
        <v/>
      </c>
    </row>
    <row r="966">
      <c r="A966" t="inlineStr">
        <is>
          <t>EM000965</t>
        </is>
      </c>
      <c r="B966" s="7" t="n">
        <v>46097</v>
      </c>
      <c r="C966" t="inlineStr">
        <is>
          <t>CR-202</t>
        </is>
      </c>
      <c r="D966" t="inlineStr">
        <is>
          <t>ISO 8</t>
        </is>
      </c>
      <c r="E966" t="inlineStr">
        <is>
          <t>Compressed air</t>
        </is>
      </c>
      <c r="F966" t="n">
        <v>0</v>
      </c>
      <c r="G966" t="inlineStr">
        <is>
          <t>Tech B</t>
        </is>
      </c>
      <c r="H966">
        <f>INDEX(Limits!$B$2:$B$5,MATCH(E966,Limits!$A$2:$A$5,0))</f>
        <v/>
      </c>
      <c r="I966">
        <f>INDEX(Limits!$C$2:$C$5,MATCH(E966,Limits!$A$2:$A$5,0))</f>
        <v/>
      </c>
      <c r="J966">
        <f>IF(F966&gt;=I966,"Action",IF(F966&gt;=H966,"Alert","Pass"))</f>
        <v/>
      </c>
      <c r="K966" s="4">
        <f>DATE(YEAR(B966),MONTH(B966),1)</f>
        <v/>
      </c>
    </row>
    <row r="967">
      <c r="A967" t="inlineStr">
        <is>
          <t>EM000966</t>
        </is>
      </c>
      <c r="B967" s="7" t="n">
        <v>46097</v>
      </c>
      <c r="C967" t="inlineStr">
        <is>
          <t>CR-202</t>
        </is>
      </c>
      <c r="D967" t="inlineStr">
        <is>
          <t>ISO 8</t>
        </is>
      </c>
      <c r="E967" t="inlineStr">
        <is>
          <t>Personnel glove</t>
        </is>
      </c>
      <c r="F967" t="n">
        <v>0</v>
      </c>
      <c r="G967" t="inlineStr">
        <is>
          <t>Tech C</t>
        </is>
      </c>
      <c r="H967">
        <f>INDEX(Limits!$B$2:$B$5,MATCH(E967,Limits!$A$2:$A$5,0))</f>
        <v/>
      </c>
      <c r="I967">
        <f>INDEX(Limits!$C$2:$C$5,MATCH(E967,Limits!$A$2:$A$5,0))</f>
        <v/>
      </c>
      <c r="J967">
        <f>IF(F967&gt;=I967,"Action",IF(F967&gt;=H967,"Alert","Pass"))</f>
        <v/>
      </c>
      <c r="K967" s="4">
        <f>DATE(YEAR(B967),MONTH(B967),1)</f>
        <v/>
      </c>
    </row>
    <row r="968">
      <c r="A968" t="inlineStr">
        <is>
          <t>EM000967</t>
        </is>
      </c>
      <c r="B968" s="7" t="n">
        <v>46097</v>
      </c>
      <c r="C968" t="inlineStr">
        <is>
          <t>Gowning</t>
        </is>
      </c>
      <c r="D968" t="inlineStr">
        <is>
          <t>ISO 8</t>
        </is>
      </c>
      <c r="E968" t="inlineStr">
        <is>
          <t>Active air</t>
        </is>
      </c>
      <c r="F968" t="n">
        <v>1</v>
      </c>
      <c r="G968" t="inlineStr">
        <is>
          <t>Tech A</t>
        </is>
      </c>
      <c r="H968">
        <f>INDEX(Limits!$B$2:$B$5,MATCH(E968,Limits!$A$2:$A$5,0))</f>
        <v/>
      </c>
      <c r="I968">
        <f>INDEX(Limits!$C$2:$C$5,MATCH(E968,Limits!$A$2:$A$5,0))</f>
        <v/>
      </c>
      <c r="J968">
        <f>IF(F968&gt;=I968,"Action",IF(F968&gt;=H968,"Alert","Pass"))</f>
        <v/>
      </c>
      <c r="K968" s="4">
        <f>DATE(YEAR(B968),MONTH(B968),1)</f>
        <v/>
      </c>
    </row>
    <row r="969">
      <c r="A969" t="inlineStr">
        <is>
          <t>EM000968</t>
        </is>
      </c>
      <c r="B969" s="7" t="n">
        <v>46097</v>
      </c>
      <c r="C969" t="inlineStr">
        <is>
          <t>Gowning</t>
        </is>
      </c>
      <c r="D969" t="inlineStr">
        <is>
          <t>ISO 8</t>
        </is>
      </c>
      <c r="E969" t="inlineStr">
        <is>
          <t>Surface contact</t>
        </is>
      </c>
      <c r="F969" t="n">
        <v>2</v>
      </c>
      <c r="G969" t="inlineStr">
        <is>
          <t>Tech A</t>
        </is>
      </c>
      <c r="H969">
        <f>INDEX(Limits!$B$2:$B$5,MATCH(E969,Limits!$A$2:$A$5,0))</f>
        <v/>
      </c>
      <c r="I969">
        <f>INDEX(Limits!$C$2:$C$5,MATCH(E969,Limits!$A$2:$A$5,0))</f>
        <v/>
      </c>
      <c r="J969">
        <f>IF(F969&gt;=I969,"Action",IF(F969&gt;=H969,"Alert","Pass"))</f>
        <v/>
      </c>
      <c r="K969" s="4">
        <f>DATE(YEAR(B969),MONTH(B969),1)</f>
        <v/>
      </c>
    </row>
    <row r="970">
      <c r="A970" t="inlineStr">
        <is>
          <t>EM000969</t>
        </is>
      </c>
      <c r="B970" s="7" t="n">
        <v>46097</v>
      </c>
      <c r="C970" t="inlineStr">
        <is>
          <t>Gowning</t>
        </is>
      </c>
      <c r="D970" t="inlineStr">
        <is>
          <t>ISO 8</t>
        </is>
      </c>
      <c r="E970" t="inlineStr">
        <is>
          <t>Personnel glove</t>
        </is>
      </c>
      <c r="F970" t="n">
        <v>0</v>
      </c>
      <c r="G970" t="inlineStr">
        <is>
          <t>Tech D</t>
        </is>
      </c>
      <c r="H970">
        <f>INDEX(Limits!$B$2:$B$5,MATCH(E970,Limits!$A$2:$A$5,0))</f>
        <v/>
      </c>
      <c r="I970">
        <f>INDEX(Limits!$C$2:$C$5,MATCH(E970,Limits!$A$2:$A$5,0))</f>
        <v/>
      </c>
      <c r="J970">
        <f>IF(F970&gt;=I970,"Action",IF(F970&gt;=H970,"Alert","Pass"))</f>
        <v/>
      </c>
      <c r="K970" s="4">
        <f>DATE(YEAR(B970),MONTH(B970),1)</f>
        <v/>
      </c>
    </row>
    <row r="971">
      <c r="A971" t="inlineStr">
        <is>
          <t>EM000970</t>
        </is>
      </c>
      <c r="B971" s="7" t="n">
        <v>46098</v>
      </c>
      <c r="C971" t="inlineStr">
        <is>
          <t>CR-101</t>
        </is>
      </c>
      <c r="D971" t="inlineStr">
        <is>
          <t>ISO 7</t>
        </is>
      </c>
      <c r="E971" t="inlineStr">
        <is>
          <t>Active air</t>
        </is>
      </c>
      <c r="F971" t="n">
        <v>1</v>
      </c>
      <c r="G971" t="inlineStr">
        <is>
          <t>Tech A</t>
        </is>
      </c>
      <c r="H971">
        <f>INDEX(Limits!$B$2:$B$5,MATCH(E971,Limits!$A$2:$A$5,0))</f>
        <v/>
      </c>
      <c r="I971">
        <f>INDEX(Limits!$C$2:$C$5,MATCH(E971,Limits!$A$2:$A$5,0))</f>
        <v/>
      </c>
      <c r="J971">
        <f>IF(F971&gt;=I971,"Action",IF(F971&gt;=H971,"Alert","Pass"))</f>
        <v/>
      </c>
      <c r="K971" s="4">
        <f>DATE(YEAR(B971),MONTH(B971),1)</f>
        <v/>
      </c>
    </row>
    <row r="972">
      <c r="A972" t="inlineStr">
        <is>
          <t>EM000971</t>
        </is>
      </c>
      <c r="B972" s="7" t="n">
        <v>46098</v>
      </c>
      <c r="C972" t="inlineStr">
        <is>
          <t>CR-101</t>
        </is>
      </c>
      <c r="D972" t="inlineStr">
        <is>
          <t>ISO 7</t>
        </is>
      </c>
      <c r="E972" t="inlineStr">
        <is>
          <t>Surface contact</t>
        </is>
      </c>
      <c r="F972" t="n">
        <v>0</v>
      </c>
      <c r="G972" t="inlineStr">
        <is>
          <t>Tech A</t>
        </is>
      </c>
      <c r="H972">
        <f>INDEX(Limits!$B$2:$B$5,MATCH(E972,Limits!$A$2:$A$5,0))</f>
        <v/>
      </c>
      <c r="I972">
        <f>INDEX(Limits!$C$2:$C$5,MATCH(E972,Limits!$A$2:$A$5,0))</f>
        <v/>
      </c>
      <c r="J972">
        <f>IF(F972&gt;=I972,"Action",IF(F972&gt;=H972,"Alert","Pass"))</f>
        <v/>
      </c>
      <c r="K972" s="4">
        <f>DATE(YEAR(B972),MONTH(B972),1)</f>
        <v/>
      </c>
    </row>
    <row r="973">
      <c r="A973" t="inlineStr">
        <is>
          <t>EM000972</t>
        </is>
      </c>
      <c r="B973" s="7" t="n">
        <v>46098</v>
      </c>
      <c r="C973" t="inlineStr">
        <is>
          <t>CR-101</t>
        </is>
      </c>
      <c r="D973" t="inlineStr">
        <is>
          <t>ISO 7</t>
        </is>
      </c>
      <c r="E973" t="inlineStr">
        <is>
          <t>Compressed air</t>
        </is>
      </c>
      <c r="F973" t="n">
        <v>0</v>
      </c>
      <c r="G973" t="inlineStr">
        <is>
          <t>Tech B</t>
        </is>
      </c>
      <c r="H973">
        <f>INDEX(Limits!$B$2:$B$5,MATCH(E973,Limits!$A$2:$A$5,0))</f>
        <v/>
      </c>
      <c r="I973">
        <f>INDEX(Limits!$C$2:$C$5,MATCH(E973,Limits!$A$2:$A$5,0))</f>
        <v/>
      </c>
      <c r="J973">
        <f>IF(F973&gt;=I973,"Action",IF(F973&gt;=H973,"Alert","Pass"))</f>
        <v/>
      </c>
      <c r="K973" s="4">
        <f>DATE(YEAR(B973),MONTH(B973),1)</f>
        <v/>
      </c>
    </row>
    <row r="974">
      <c r="A974" t="inlineStr">
        <is>
          <t>EM000973</t>
        </is>
      </c>
      <c r="B974" s="7" t="n">
        <v>46098</v>
      </c>
      <c r="C974" t="inlineStr">
        <is>
          <t>CR-101</t>
        </is>
      </c>
      <c r="D974" t="inlineStr">
        <is>
          <t>ISO 7</t>
        </is>
      </c>
      <c r="E974" t="inlineStr">
        <is>
          <t>Personnel glove</t>
        </is>
      </c>
      <c r="F974" t="n">
        <v>0</v>
      </c>
      <c r="G974" t="inlineStr">
        <is>
          <t>Tech D</t>
        </is>
      </c>
      <c r="H974">
        <f>INDEX(Limits!$B$2:$B$5,MATCH(E974,Limits!$A$2:$A$5,0))</f>
        <v/>
      </c>
      <c r="I974">
        <f>INDEX(Limits!$C$2:$C$5,MATCH(E974,Limits!$A$2:$A$5,0))</f>
        <v/>
      </c>
      <c r="J974">
        <f>IF(F974&gt;=I974,"Action",IF(F974&gt;=H974,"Alert","Pass"))</f>
        <v/>
      </c>
      <c r="K974" s="4">
        <f>DATE(YEAR(B974),MONTH(B974),1)</f>
        <v/>
      </c>
    </row>
    <row r="975">
      <c r="A975" t="inlineStr">
        <is>
          <t>EM000974</t>
        </is>
      </c>
      <c r="B975" s="7" t="n">
        <v>46098</v>
      </c>
      <c r="C975" t="inlineStr">
        <is>
          <t>CR-102</t>
        </is>
      </c>
      <c r="D975" t="inlineStr">
        <is>
          <t>ISO 7</t>
        </is>
      </c>
      <c r="E975" t="inlineStr">
        <is>
          <t>Active air</t>
        </is>
      </c>
      <c r="F975" t="n">
        <v>0</v>
      </c>
      <c r="G975" t="inlineStr">
        <is>
          <t>Tech A</t>
        </is>
      </c>
      <c r="H975">
        <f>INDEX(Limits!$B$2:$B$5,MATCH(E975,Limits!$A$2:$A$5,0))</f>
        <v/>
      </c>
      <c r="I975">
        <f>INDEX(Limits!$C$2:$C$5,MATCH(E975,Limits!$A$2:$A$5,0))</f>
        <v/>
      </c>
      <c r="J975">
        <f>IF(F975&gt;=I975,"Action",IF(F975&gt;=H975,"Alert","Pass"))</f>
        <v/>
      </c>
      <c r="K975" s="4">
        <f>DATE(YEAR(B975),MONTH(B975),1)</f>
        <v/>
      </c>
    </row>
    <row r="976">
      <c r="A976" t="inlineStr">
        <is>
          <t>EM000975</t>
        </is>
      </c>
      <c r="B976" s="7" t="n">
        <v>46098</v>
      </c>
      <c r="C976" t="inlineStr">
        <is>
          <t>CR-102</t>
        </is>
      </c>
      <c r="D976" t="inlineStr">
        <is>
          <t>ISO 7</t>
        </is>
      </c>
      <c r="E976" t="inlineStr">
        <is>
          <t>Surface contact</t>
        </is>
      </c>
      <c r="F976" t="n">
        <v>1</v>
      </c>
      <c r="G976" t="inlineStr">
        <is>
          <t>Tech B</t>
        </is>
      </c>
      <c r="H976">
        <f>INDEX(Limits!$B$2:$B$5,MATCH(E976,Limits!$A$2:$A$5,0))</f>
        <v/>
      </c>
      <c r="I976">
        <f>INDEX(Limits!$C$2:$C$5,MATCH(E976,Limits!$A$2:$A$5,0))</f>
        <v/>
      </c>
      <c r="J976">
        <f>IF(F976&gt;=I976,"Action",IF(F976&gt;=H976,"Alert","Pass"))</f>
        <v/>
      </c>
      <c r="K976" s="4">
        <f>DATE(YEAR(B976),MONTH(B976),1)</f>
        <v/>
      </c>
    </row>
    <row r="977">
      <c r="A977" t="inlineStr">
        <is>
          <t>EM000976</t>
        </is>
      </c>
      <c r="B977" s="7" t="n">
        <v>46098</v>
      </c>
      <c r="C977" t="inlineStr">
        <is>
          <t>CR-102</t>
        </is>
      </c>
      <c r="D977" t="inlineStr">
        <is>
          <t>ISO 7</t>
        </is>
      </c>
      <c r="E977" t="inlineStr">
        <is>
          <t>Compressed air</t>
        </is>
      </c>
      <c r="F977" t="n">
        <v>1</v>
      </c>
      <c r="G977" t="inlineStr">
        <is>
          <t>Tech B</t>
        </is>
      </c>
      <c r="H977">
        <f>INDEX(Limits!$B$2:$B$5,MATCH(E977,Limits!$A$2:$A$5,0))</f>
        <v/>
      </c>
      <c r="I977">
        <f>INDEX(Limits!$C$2:$C$5,MATCH(E977,Limits!$A$2:$A$5,0))</f>
        <v/>
      </c>
      <c r="J977">
        <f>IF(F977&gt;=I977,"Action",IF(F977&gt;=H977,"Alert","Pass"))</f>
        <v/>
      </c>
      <c r="K977" s="4">
        <f>DATE(YEAR(B977),MONTH(B977),1)</f>
        <v/>
      </c>
    </row>
    <row r="978">
      <c r="A978" t="inlineStr">
        <is>
          <t>EM000977</t>
        </is>
      </c>
      <c r="B978" s="7" t="n">
        <v>46098</v>
      </c>
      <c r="C978" t="inlineStr">
        <is>
          <t>CR-102</t>
        </is>
      </c>
      <c r="D978" t="inlineStr">
        <is>
          <t>ISO 7</t>
        </is>
      </c>
      <c r="E978" t="inlineStr">
        <is>
          <t>Personnel glove</t>
        </is>
      </c>
      <c r="F978" t="n">
        <v>0</v>
      </c>
      <c r="G978" t="inlineStr">
        <is>
          <t>Tech A</t>
        </is>
      </c>
      <c r="H978">
        <f>INDEX(Limits!$B$2:$B$5,MATCH(E978,Limits!$A$2:$A$5,0))</f>
        <v/>
      </c>
      <c r="I978">
        <f>INDEX(Limits!$C$2:$C$5,MATCH(E978,Limits!$A$2:$A$5,0))</f>
        <v/>
      </c>
      <c r="J978">
        <f>IF(F978&gt;=I978,"Action",IF(F978&gt;=H978,"Alert","Pass"))</f>
        <v/>
      </c>
      <c r="K978" s="4">
        <f>DATE(YEAR(B978),MONTH(B978),1)</f>
        <v/>
      </c>
    </row>
    <row r="979">
      <c r="A979" t="inlineStr">
        <is>
          <t>EM000978</t>
        </is>
      </c>
      <c r="B979" s="7" t="n">
        <v>46098</v>
      </c>
      <c r="C979" t="inlineStr">
        <is>
          <t>CR-201</t>
        </is>
      </c>
      <c r="D979" t="inlineStr">
        <is>
          <t>ISO 8</t>
        </is>
      </c>
      <c r="E979" t="inlineStr">
        <is>
          <t>Active air</t>
        </is>
      </c>
      <c r="F979" t="n">
        <v>0</v>
      </c>
      <c r="G979" t="inlineStr">
        <is>
          <t>Tech A</t>
        </is>
      </c>
      <c r="H979">
        <f>INDEX(Limits!$B$2:$B$5,MATCH(E979,Limits!$A$2:$A$5,0))</f>
        <v/>
      </c>
      <c r="I979">
        <f>INDEX(Limits!$C$2:$C$5,MATCH(E979,Limits!$A$2:$A$5,0))</f>
        <v/>
      </c>
      <c r="J979">
        <f>IF(F979&gt;=I979,"Action",IF(F979&gt;=H979,"Alert","Pass"))</f>
        <v/>
      </c>
      <c r="K979" s="4">
        <f>DATE(YEAR(B979),MONTH(B979),1)</f>
        <v/>
      </c>
    </row>
    <row r="980">
      <c r="A980" t="inlineStr">
        <is>
          <t>EM000979</t>
        </is>
      </c>
      <c r="B980" s="7" t="n">
        <v>46098</v>
      </c>
      <c r="C980" t="inlineStr">
        <is>
          <t>CR-201</t>
        </is>
      </c>
      <c r="D980" t="inlineStr">
        <is>
          <t>ISO 8</t>
        </is>
      </c>
      <c r="E980" t="inlineStr">
        <is>
          <t>Surface contact</t>
        </is>
      </c>
      <c r="F980" t="n">
        <v>0</v>
      </c>
      <c r="G980" t="inlineStr">
        <is>
          <t>Tech D</t>
        </is>
      </c>
      <c r="H980">
        <f>INDEX(Limits!$B$2:$B$5,MATCH(E980,Limits!$A$2:$A$5,0))</f>
        <v/>
      </c>
      <c r="I980">
        <f>INDEX(Limits!$C$2:$C$5,MATCH(E980,Limits!$A$2:$A$5,0))</f>
        <v/>
      </c>
      <c r="J980">
        <f>IF(F980&gt;=I980,"Action",IF(F980&gt;=H980,"Alert","Pass"))</f>
        <v/>
      </c>
      <c r="K980" s="4">
        <f>DATE(YEAR(B980),MONTH(B980),1)</f>
        <v/>
      </c>
    </row>
    <row r="981">
      <c r="A981" t="inlineStr">
        <is>
          <t>EM000980</t>
        </is>
      </c>
      <c r="B981" s="7" t="n">
        <v>46098</v>
      </c>
      <c r="C981" t="inlineStr">
        <is>
          <t>CR-201</t>
        </is>
      </c>
      <c r="D981" t="inlineStr">
        <is>
          <t>ISO 8</t>
        </is>
      </c>
      <c r="E981" t="inlineStr">
        <is>
          <t>Compressed air</t>
        </is>
      </c>
      <c r="F981" t="n">
        <v>0</v>
      </c>
      <c r="G981" t="inlineStr">
        <is>
          <t>Tech B</t>
        </is>
      </c>
      <c r="H981">
        <f>INDEX(Limits!$B$2:$B$5,MATCH(E981,Limits!$A$2:$A$5,0))</f>
        <v/>
      </c>
      <c r="I981">
        <f>INDEX(Limits!$C$2:$C$5,MATCH(E981,Limits!$A$2:$A$5,0))</f>
        <v/>
      </c>
      <c r="J981">
        <f>IF(F981&gt;=I981,"Action",IF(F981&gt;=H981,"Alert","Pass"))</f>
        <v/>
      </c>
      <c r="K981" s="4">
        <f>DATE(YEAR(B981),MONTH(B981),1)</f>
        <v/>
      </c>
    </row>
    <row r="982">
      <c r="A982" t="inlineStr">
        <is>
          <t>EM000981</t>
        </is>
      </c>
      <c r="B982" s="7" t="n">
        <v>46098</v>
      </c>
      <c r="C982" t="inlineStr">
        <is>
          <t>CR-201</t>
        </is>
      </c>
      <c r="D982" t="inlineStr">
        <is>
          <t>ISO 8</t>
        </is>
      </c>
      <c r="E982" t="inlineStr">
        <is>
          <t>Personnel glove</t>
        </is>
      </c>
      <c r="F982" t="n">
        <v>0</v>
      </c>
      <c r="G982" t="inlineStr">
        <is>
          <t>Tech A</t>
        </is>
      </c>
      <c r="H982">
        <f>INDEX(Limits!$B$2:$B$5,MATCH(E982,Limits!$A$2:$A$5,0))</f>
        <v/>
      </c>
      <c r="I982">
        <f>INDEX(Limits!$C$2:$C$5,MATCH(E982,Limits!$A$2:$A$5,0))</f>
        <v/>
      </c>
      <c r="J982">
        <f>IF(F982&gt;=I982,"Action",IF(F982&gt;=H982,"Alert","Pass"))</f>
        <v/>
      </c>
      <c r="K982" s="4">
        <f>DATE(YEAR(B982),MONTH(B982),1)</f>
        <v/>
      </c>
    </row>
    <row r="983">
      <c r="A983" t="inlineStr">
        <is>
          <t>EM000982</t>
        </is>
      </c>
      <c r="B983" s="7" t="n">
        <v>46098</v>
      </c>
      <c r="C983" t="inlineStr">
        <is>
          <t>CR-202</t>
        </is>
      </c>
      <c r="D983" t="inlineStr">
        <is>
          <t>ISO 8</t>
        </is>
      </c>
      <c r="E983" t="inlineStr">
        <is>
          <t>Active air</t>
        </is>
      </c>
      <c r="F983" t="n">
        <v>4</v>
      </c>
      <c r="G983" t="inlineStr">
        <is>
          <t>Tech B</t>
        </is>
      </c>
      <c r="H983">
        <f>INDEX(Limits!$B$2:$B$5,MATCH(E983,Limits!$A$2:$A$5,0))</f>
        <v/>
      </c>
      <c r="I983">
        <f>INDEX(Limits!$C$2:$C$5,MATCH(E983,Limits!$A$2:$A$5,0))</f>
        <v/>
      </c>
      <c r="J983">
        <f>IF(F983&gt;=I983,"Action",IF(F983&gt;=H983,"Alert","Pass"))</f>
        <v/>
      </c>
      <c r="K983" s="4">
        <f>DATE(YEAR(B983),MONTH(B983),1)</f>
        <v/>
      </c>
    </row>
    <row r="984">
      <c r="A984" t="inlineStr">
        <is>
          <t>EM000983</t>
        </is>
      </c>
      <c r="B984" s="7" t="n">
        <v>46098</v>
      </c>
      <c r="C984" t="inlineStr">
        <is>
          <t>CR-202</t>
        </is>
      </c>
      <c r="D984" t="inlineStr">
        <is>
          <t>ISO 8</t>
        </is>
      </c>
      <c r="E984" t="inlineStr">
        <is>
          <t>Surface contact</t>
        </is>
      </c>
      <c r="F984" t="n">
        <v>1</v>
      </c>
      <c r="G984" t="inlineStr">
        <is>
          <t>Tech C</t>
        </is>
      </c>
      <c r="H984">
        <f>INDEX(Limits!$B$2:$B$5,MATCH(E984,Limits!$A$2:$A$5,0))</f>
        <v/>
      </c>
      <c r="I984">
        <f>INDEX(Limits!$C$2:$C$5,MATCH(E984,Limits!$A$2:$A$5,0))</f>
        <v/>
      </c>
      <c r="J984">
        <f>IF(F984&gt;=I984,"Action",IF(F984&gt;=H984,"Alert","Pass"))</f>
        <v/>
      </c>
      <c r="K984" s="4">
        <f>DATE(YEAR(B984),MONTH(B984),1)</f>
        <v/>
      </c>
    </row>
    <row r="985">
      <c r="A985" t="inlineStr">
        <is>
          <t>EM000984</t>
        </is>
      </c>
      <c r="B985" s="7" t="n">
        <v>46098</v>
      </c>
      <c r="C985" t="inlineStr">
        <is>
          <t>CR-202</t>
        </is>
      </c>
      <c r="D985" t="inlineStr">
        <is>
          <t>ISO 8</t>
        </is>
      </c>
      <c r="E985" t="inlineStr">
        <is>
          <t>Compressed air</t>
        </is>
      </c>
      <c r="F985" t="n">
        <v>0</v>
      </c>
      <c r="G985" t="inlineStr">
        <is>
          <t>Tech D</t>
        </is>
      </c>
      <c r="H985">
        <f>INDEX(Limits!$B$2:$B$5,MATCH(E985,Limits!$A$2:$A$5,0))</f>
        <v/>
      </c>
      <c r="I985">
        <f>INDEX(Limits!$C$2:$C$5,MATCH(E985,Limits!$A$2:$A$5,0))</f>
        <v/>
      </c>
      <c r="J985">
        <f>IF(F985&gt;=I985,"Action",IF(F985&gt;=H985,"Alert","Pass"))</f>
        <v/>
      </c>
      <c r="K985" s="4">
        <f>DATE(YEAR(B985),MONTH(B985),1)</f>
        <v/>
      </c>
    </row>
    <row r="986">
      <c r="A986" t="inlineStr">
        <is>
          <t>EM000985</t>
        </is>
      </c>
      <c r="B986" s="7" t="n">
        <v>46098</v>
      </c>
      <c r="C986" t="inlineStr">
        <is>
          <t>CR-202</t>
        </is>
      </c>
      <c r="D986" t="inlineStr">
        <is>
          <t>ISO 8</t>
        </is>
      </c>
      <c r="E986" t="inlineStr">
        <is>
          <t>Personnel glove</t>
        </is>
      </c>
      <c r="F986" t="n">
        <v>0</v>
      </c>
      <c r="G986" t="inlineStr">
        <is>
          <t>Tech B</t>
        </is>
      </c>
      <c r="H986">
        <f>INDEX(Limits!$B$2:$B$5,MATCH(E986,Limits!$A$2:$A$5,0))</f>
        <v/>
      </c>
      <c r="I986">
        <f>INDEX(Limits!$C$2:$C$5,MATCH(E986,Limits!$A$2:$A$5,0))</f>
        <v/>
      </c>
      <c r="J986">
        <f>IF(F986&gt;=I986,"Action",IF(F986&gt;=H986,"Alert","Pass"))</f>
        <v/>
      </c>
      <c r="K986" s="4">
        <f>DATE(YEAR(B986),MONTH(B986),1)</f>
        <v/>
      </c>
    </row>
    <row r="987">
      <c r="A987" t="inlineStr">
        <is>
          <t>EM000986</t>
        </is>
      </c>
      <c r="B987" s="7" t="n">
        <v>46098</v>
      </c>
      <c r="C987" t="inlineStr">
        <is>
          <t>Gowning</t>
        </is>
      </c>
      <c r="D987" t="inlineStr">
        <is>
          <t>ISO 8</t>
        </is>
      </c>
      <c r="E987" t="inlineStr">
        <is>
          <t>Active air</t>
        </is>
      </c>
      <c r="F987" t="n">
        <v>1</v>
      </c>
      <c r="G987" t="inlineStr">
        <is>
          <t>Tech A</t>
        </is>
      </c>
      <c r="H987">
        <f>INDEX(Limits!$B$2:$B$5,MATCH(E987,Limits!$A$2:$A$5,0))</f>
        <v/>
      </c>
      <c r="I987">
        <f>INDEX(Limits!$C$2:$C$5,MATCH(E987,Limits!$A$2:$A$5,0))</f>
        <v/>
      </c>
      <c r="J987">
        <f>IF(F987&gt;=I987,"Action",IF(F987&gt;=H987,"Alert","Pass"))</f>
        <v/>
      </c>
      <c r="K987" s="4">
        <f>DATE(YEAR(B987),MONTH(B987),1)</f>
        <v/>
      </c>
    </row>
    <row r="988">
      <c r="A988" t="inlineStr">
        <is>
          <t>EM000987</t>
        </is>
      </c>
      <c r="B988" s="7" t="n">
        <v>46098</v>
      </c>
      <c r="C988" t="inlineStr">
        <is>
          <t>Gowning</t>
        </is>
      </c>
      <c r="D988" t="inlineStr">
        <is>
          <t>ISO 8</t>
        </is>
      </c>
      <c r="E988" t="inlineStr">
        <is>
          <t>Surface contact</t>
        </is>
      </c>
      <c r="F988" t="n">
        <v>1</v>
      </c>
      <c r="G988" t="inlineStr">
        <is>
          <t>Tech B</t>
        </is>
      </c>
      <c r="H988">
        <f>INDEX(Limits!$B$2:$B$5,MATCH(E988,Limits!$A$2:$A$5,0))</f>
        <v/>
      </c>
      <c r="I988">
        <f>INDEX(Limits!$C$2:$C$5,MATCH(E988,Limits!$A$2:$A$5,0))</f>
        <v/>
      </c>
      <c r="J988">
        <f>IF(F988&gt;=I988,"Action",IF(F988&gt;=H988,"Alert","Pass"))</f>
        <v/>
      </c>
      <c r="K988" s="4">
        <f>DATE(YEAR(B988),MONTH(B988),1)</f>
        <v/>
      </c>
    </row>
    <row r="989">
      <c r="A989" t="inlineStr">
        <is>
          <t>EM000988</t>
        </is>
      </c>
      <c r="B989" s="7" t="n">
        <v>46098</v>
      </c>
      <c r="C989" t="inlineStr">
        <is>
          <t>Gowning</t>
        </is>
      </c>
      <c r="D989" t="inlineStr">
        <is>
          <t>ISO 8</t>
        </is>
      </c>
      <c r="E989" t="inlineStr">
        <is>
          <t>Personnel glove</t>
        </is>
      </c>
      <c r="F989" t="n">
        <v>0</v>
      </c>
      <c r="G989" t="inlineStr">
        <is>
          <t>Tech B</t>
        </is>
      </c>
      <c r="H989">
        <f>INDEX(Limits!$B$2:$B$5,MATCH(E989,Limits!$A$2:$A$5,0))</f>
        <v/>
      </c>
      <c r="I989">
        <f>INDEX(Limits!$C$2:$C$5,MATCH(E989,Limits!$A$2:$A$5,0))</f>
        <v/>
      </c>
      <c r="J989">
        <f>IF(F989&gt;=I989,"Action",IF(F989&gt;=H989,"Alert","Pass"))</f>
        <v/>
      </c>
      <c r="K989" s="4">
        <f>DATE(YEAR(B989),MONTH(B989),1)</f>
        <v/>
      </c>
    </row>
    <row r="990">
      <c r="A990" t="inlineStr">
        <is>
          <t>EM000989</t>
        </is>
      </c>
      <c r="B990" s="7" t="n">
        <v>46099</v>
      </c>
      <c r="C990" t="inlineStr">
        <is>
          <t>CR-101</t>
        </is>
      </c>
      <c r="D990" t="inlineStr">
        <is>
          <t>ISO 7</t>
        </is>
      </c>
      <c r="E990" t="inlineStr">
        <is>
          <t>Active air</t>
        </is>
      </c>
      <c r="F990" t="n">
        <v>1</v>
      </c>
      <c r="G990" t="inlineStr">
        <is>
          <t>Tech C</t>
        </is>
      </c>
      <c r="H990">
        <f>INDEX(Limits!$B$2:$B$5,MATCH(E990,Limits!$A$2:$A$5,0))</f>
        <v/>
      </c>
      <c r="I990">
        <f>INDEX(Limits!$C$2:$C$5,MATCH(E990,Limits!$A$2:$A$5,0))</f>
        <v/>
      </c>
      <c r="J990">
        <f>IF(F990&gt;=I990,"Action",IF(F990&gt;=H990,"Alert","Pass"))</f>
        <v/>
      </c>
      <c r="K990" s="4">
        <f>DATE(YEAR(B990),MONTH(B990),1)</f>
        <v/>
      </c>
    </row>
    <row r="991">
      <c r="A991" t="inlineStr">
        <is>
          <t>EM000990</t>
        </is>
      </c>
      <c r="B991" s="7" t="n">
        <v>46099</v>
      </c>
      <c r="C991" t="inlineStr">
        <is>
          <t>CR-101</t>
        </is>
      </c>
      <c r="D991" t="inlineStr">
        <is>
          <t>ISO 7</t>
        </is>
      </c>
      <c r="E991" t="inlineStr">
        <is>
          <t>Surface contact</t>
        </is>
      </c>
      <c r="F991" t="n">
        <v>1</v>
      </c>
      <c r="G991" t="inlineStr">
        <is>
          <t>Tech C</t>
        </is>
      </c>
      <c r="H991">
        <f>INDEX(Limits!$B$2:$B$5,MATCH(E991,Limits!$A$2:$A$5,0))</f>
        <v/>
      </c>
      <c r="I991">
        <f>INDEX(Limits!$C$2:$C$5,MATCH(E991,Limits!$A$2:$A$5,0))</f>
        <v/>
      </c>
      <c r="J991">
        <f>IF(F991&gt;=I991,"Action",IF(F991&gt;=H991,"Alert","Pass"))</f>
        <v/>
      </c>
      <c r="K991" s="4">
        <f>DATE(YEAR(B991),MONTH(B991),1)</f>
        <v/>
      </c>
    </row>
    <row r="992">
      <c r="A992" t="inlineStr">
        <is>
          <t>EM000991</t>
        </is>
      </c>
      <c r="B992" s="7" t="n">
        <v>46099</v>
      </c>
      <c r="C992" t="inlineStr">
        <is>
          <t>CR-101</t>
        </is>
      </c>
      <c r="D992" t="inlineStr">
        <is>
          <t>ISO 7</t>
        </is>
      </c>
      <c r="E992" t="inlineStr">
        <is>
          <t>Compressed air</t>
        </is>
      </c>
      <c r="F992" t="n">
        <v>0</v>
      </c>
      <c r="G992" t="inlineStr">
        <is>
          <t>Tech A</t>
        </is>
      </c>
      <c r="H992">
        <f>INDEX(Limits!$B$2:$B$5,MATCH(E992,Limits!$A$2:$A$5,0))</f>
        <v/>
      </c>
      <c r="I992">
        <f>INDEX(Limits!$C$2:$C$5,MATCH(E992,Limits!$A$2:$A$5,0))</f>
        <v/>
      </c>
      <c r="J992">
        <f>IF(F992&gt;=I992,"Action",IF(F992&gt;=H992,"Alert","Pass"))</f>
        <v/>
      </c>
      <c r="K992" s="4">
        <f>DATE(YEAR(B992),MONTH(B992),1)</f>
        <v/>
      </c>
    </row>
    <row r="993">
      <c r="A993" t="inlineStr">
        <is>
          <t>EM000992</t>
        </is>
      </c>
      <c r="B993" s="7" t="n">
        <v>46099</v>
      </c>
      <c r="C993" t="inlineStr">
        <is>
          <t>CR-101</t>
        </is>
      </c>
      <c r="D993" t="inlineStr">
        <is>
          <t>ISO 7</t>
        </is>
      </c>
      <c r="E993" t="inlineStr">
        <is>
          <t>Personnel glove</t>
        </is>
      </c>
      <c r="F993" t="n">
        <v>0</v>
      </c>
      <c r="G993" t="inlineStr">
        <is>
          <t>Tech C</t>
        </is>
      </c>
      <c r="H993">
        <f>INDEX(Limits!$B$2:$B$5,MATCH(E993,Limits!$A$2:$A$5,0))</f>
        <v/>
      </c>
      <c r="I993">
        <f>INDEX(Limits!$C$2:$C$5,MATCH(E993,Limits!$A$2:$A$5,0))</f>
        <v/>
      </c>
      <c r="J993">
        <f>IF(F993&gt;=I993,"Action",IF(F993&gt;=H993,"Alert","Pass"))</f>
        <v/>
      </c>
      <c r="K993" s="4">
        <f>DATE(YEAR(B993),MONTH(B993),1)</f>
        <v/>
      </c>
    </row>
    <row r="994">
      <c r="A994" t="inlineStr">
        <is>
          <t>EM000993</t>
        </is>
      </c>
      <c r="B994" s="7" t="n">
        <v>46099</v>
      </c>
      <c r="C994" t="inlineStr">
        <is>
          <t>CR-102</t>
        </is>
      </c>
      <c r="D994" t="inlineStr">
        <is>
          <t>ISO 7</t>
        </is>
      </c>
      <c r="E994" t="inlineStr">
        <is>
          <t>Active air</t>
        </is>
      </c>
      <c r="F994" t="n">
        <v>0</v>
      </c>
      <c r="G994" t="inlineStr">
        <is>
          <t>Tech B</t>
        </is>
      </c>
      <c r="H994">
        <f>INDEX(Limits!$B$2:$B$5,MATCH(E994,Limits!$A$2:$A$5,0))</f>
        <v/>
      </c>
      <c r="I994">
        <f>INDEX(Limits!$C$2:$C$5,MATCH(E994,Limits!$A$2:$A$5,0))</f>
        <v/>
      </c>
      <c r="J994">
        <f>IF(F994&gt;=I994,"Action",IF(F994&gt;=H994,"Alert","Pass"))</f>
        <v/>
      </c>
      <c r="K994" s="4">
        <f>DATE(YEAR(B994),MONTH(B994),1)</f>
        <v/>
      </c>
    </row>
    <row r="995">
      <c r="A995" t="inlineStr">
        <is>
          <t>EM000994</t>
        </is>
      </c>
      <c r="B995" s="7" t="n">
        <v>46099</v>
      </c>
      <c r="C995" t="inlineStr">
        <is>
          <t>CR-102</t>
        </is>
      </c>
      <c r="D995" t="inlineStr">
        <is>
          <t>ISO 7</t>
        </is>
      </c>
      <c r="E995" t="inlineStr">
        <is>
          <t>Surface contact</t>
        </is>
      </c>
      <c r="F995" t="n">
        <v>1</v>
      </c>
      <c r="G995" t="inlineStr">
        <is>
          <t>Tech A</t>
        </is>
      </c>
      <c r="H995">
        <f>INDEX(Limits!$B$2:$B$5,MATCH(E995,Limits!$A$2:$A$5,0))</f>
        <v/>
      </c>
      <c r="I995">
        <f>INDEX(Limits!$C$2:$C$5,MATCH(E995,Limits!$A$2:$A$5,0))</f>
        <v/>
      </c>
      <c r="J995">
        <f>IF(F995&gt;=I995,"Action",IF(F995&gt;=H995,"Alert","Pass"))</f>
        <v/>
      </c>
      <c r="K995" s="4">
        <f>DATE(YEAR(B995),MONTH(B995),1)</f>
        <v/>
      </c>
    </row>
    <row r="996">
      <c r="A996" t="inlineStr">
        <is>
          <t>EM000995</t>
        </is>
      </c>
      <c r="B996" s="7" t="n">
        <v>46099</v>
      </c>
      <c r="C996" t="inlineStr">
        <is>
          <t>CR-102</t>
        </is>
      </c>
      <c r="D996" t="inlineStr">
        <is>
          <t>ISO 7</t>
        </is>
      </c>
      <c r="E996" t="inlineStr">
        <is>
          <t>Compressed air</t>
        </is>
      </c>
      <c r="F996" t="n">
        <v>0</v>
      </c>
      <c r="G996" t="inlineStr">
        <is>
          <t>Tech B</t>
        </is>
      </c>
      <c r="H996">
        <f>INDEX(Limits!$B$2:$B$5,MATCH(E996,Limits!$A$2:$A$5,0))</f>
        <v/>
      </c>
      <c r="I996">
        <f>INDEX(Limits!$C$2:$C$5,MATCH(E996,Limits!$A$2:$A$5,0))</f>
        <v/>
      </c>
      <c r="J996">
        <f>IF(F996&gt;=I996,"Action",IF(F996&gt;=H996,"Alert","Pass"))</f>
        <v/>
      </c>
      <c r="K996" s="4">
        <f>DATE(YEAR(B996),MONTH(B996),1)</f>
        <v/>
      </c>
    </row>
    <row r="997">
      <c r="A997" t="inlineStr">
        <is>
          <t>EM000996</t>
        </is>
      </c>
      <c r="B997" s="7" t="n">
        <v>46099</v>
      </c>
      <c r="C997" t="inlineStr">
        <is>
          <t>CR-102</t>
        </is>
      </c>
      <c r="D997" t="inlineStr">
        <is>
          <t>ISO 7</t>
        </is>
      </c>
      <c r="E997" t="inlineStr">
        <is>
          <t>Personnel glove</t>
        </is>
      </c>
      <c r="F997" t="n">
        <v>0</v>
      </c>
      <c r="G997" t="inlineStr">
        <is>
          <t>Tech A</t>
        </is>
      </c>
      <c r="H997">
        <f>INDEX(Limits!$B$2:$B$5,MATCH(E997,Limits!$A$2:$A$5,0))</f>
        <v/>
      </c>
      <c r="I997">
        <f>INDEX(Limits!$C$2:$C$5,MATCH(E997,Limits!$A$2:$A$5,0))</f>
        <v/>
      </c>
      <c r="J997">
        <f>IF(F997&gt;=I997,"Action",IF(F997&gt;=H997,"Alert","Pass"))</f>
        <v/>
      </c>
      <c r="K997" s="4">
        <f>DATE(YEAR(B997),MONTH(B997),1)</f>
        <v/>
      </c>
    </row>
    <row r="998">
      <c r="A998" t="inlineStr">
        <is>
          <t>EM000997</t>
        </is>
      </c>
      <c r="B998" s="7" t="n">
        <v>46099</v>
      </c>
      <c r="C998" t="inlineStr">
        <is>
          <t>CR-201</t>
        </is>
      </c>
      <c r="D998" t="inlineStr">
        <is>
          <t>ISO 8</t>
        </is>
      </c>
      <c r="E998" t="inlineStr">
        <is>
          <t>Active air</t>
        </is>
      </c>
      <c r="F998" t="n">
        <v>0</v>
      </c>
      <c r="G998" t="inlineStr">
        <is>
          <t>Tech A</t>
        </is>
      </c>
      <c r="H998">
        <f>INDEX(Limits!$B$2:$B$5,MATCH(E998,Limits!$A$2:$A$5,0))</f>
        <v/>
      </c>
      <c r="I998">
        <f>INDEX(Limits!$C$2:$C$5,MATCH(E998,Limits!$A$2:$A$5,0))</f>
        <v/>
      </c>
      <c r="J998">
        <f>IF(F998&gt;=I998,"Action",IF(F998&gt;=H998,"Alert","Pass"))</f>
        <v/>
      </c>
      <c r="K998" s="4">
        <f>DATE(YEAR(B998),MONTH(B998),1)</f>
        <v/>
      </c>
    </row>
    <row r="999">
      <c r="A999" t="inlineStr">
        <is>
          <t>EM000998</t>
        </is>
      </c>
      <c r="B999" s="7" t="n">
        <v>46099</v>
      </c>
      <c r="C999" t="inlineStr">
        <is>
          <t>CR-201</t>
        </is>
      </c>
      <c r="D999" t="inlineStr">
        <is>
          <t>ISO 8</t>
        </is>
      </c>
      <c r="E999" t="inlineStr">
        <is>
          <t>Surface contact</t>
        </is>
      </c>
      <c r="F999" t="n">
        <v>0</v>
      </c>
      <c r="G999" t="inlineStr">
        <is>
          <t>Tech B</t>
        </is>
      </c>
      <c r="H999">
        <f>INDEX(Limits!$B$2:$B$5,MATCH(E999,Limits!$A$2:$A$5,0))</f>
        <v/>
      </c>
      <c r="I999">
        <f>INDEX(Limits!$C$2:$C$5,MATCH(E999,Limits!$A$2:$A$5,0))</f>
        <v/>
      </c>
      <c r="J999">
        <f>IF(F999&gt;=I999,"Action",IF(F999&gt;=H999,"Alert","Pass"))</f>
        <v/>
      </c>
      <c r="K999" s="4">
        <f>DATE(YEAR(B999),MONTH(B999),1)</f>
        <v/>
      </c>
    </row>
    <row r="1000">
      <c r="A1000" t="inlineStr">
        <is>
          <t>EM000999</t>
        </is>
      </c>
      <c r="B1000" s="7" t="n">
        <v>46099</v>
      </c>
      <c r="C1000" t="inlineStr">
        <is>
          <t>CR-201</t>
        </is>
      </c>
      <c r="D1000" t="inlineStr">
        <is>
          <t>ISO 8</t>
        </is>
      </c>
      <c r="E1000" t="inlineStr">
        <is>
          <t>Compressed air</t>
        </is>
      </c>
      <c r="F1000" t="n">
        <v>0</v>
      </c>
      <c r="G1000" t="inlineStr">
        <is>
          <t>Tech A</t>
        </is>
      </c>
      <c r="H1000">
        <f>INDEX(Limits!$B$2:$B$5,MATCH(E1000,Limits!$A$2:$A$5,0))</f>
        <v/>
      </c>
      <c r="I1000">
        <f>INDEX(Limits!$C$2:$C$5,MATCH(E1000,Limits!$A$2:$A$5,0))</f>
        <v/>
      </c>
      <c r="J1000">
        <f>IF(F1000&gt;=I1000,"Action",IF(F1000&gt;=H1000,"Alert","Pass"))</f>
        <v/>
      </c>
      <c r="K1000" s="4">
        <f>DATE(YEAR(B1000),MONTH(B1000),1)</f>
        <v/>
      </c>
    </row>
    <row r="1001">
      <c r="A1001" t="inlineStr">
        <is>
          <t>EM001000</t>
        </is>
      </c>
      <c r="B1001" s="7" t="n">
        <v>46099</v>
      </c>
      <c r="C1001" t="inlineStr">
        <is>
          <t>CR-201</t>
        </is>
      </c>
      <c r="D1001" t="inlineStr">
        <is>
          <t>ISO 8</t>
        </is>
      </c>
      <c r="E1001" t="inlineStr">
        <is>
          <t>Personnel glove</t>
        </is>
      </c>
      <c r="F1001" t="n">
        <v>0</v>
      </c>
      <c r="G1001" t="inlineStr">
        <is>
          <t>Tech C</t>
        </is>
      </c>
      <c r="H1001">
        <f>INDEX(Limits!$B$2:$B$5,MATCH(E1001,Limits!$A$2:$A$5,0))</f>
        <v/>
      </c>
      <c r="I1001">
        <f>INDEX(Limits!$C$2:$C$5,MATCH(E1001,Limits!$A$2:$A$5,0))</f>
        <v/>
      </c>
      <c r="J1001">
        <f>IF(F1001&gt;=I1001,"Action",IF(F1001&gt;=H1001,"Alert","Pass"))</f>
        <v/>
      </c>
      <c r="K1001" s="4">
        <f>DATE(YEAR(B1001),MONTH(B1001),1)</f>
        <v/>
      </c>
    </row>
    <row r="1002">
      <c r="A1002" t="inlineStr">
        <is>
          <t>EM001001</t>
        </is>
      </c>
      <c r="B1002" s="7" t="n">
        <v>46099</v>
      </c>
      <c r="C1002" t="inlineStr">
        <is>
          <t>CR-202</t>
        </is>
      </c>
      <c r="D1002" t="inlineStr">
        <is>
          <t>ISO 8</t>
        </is>
      </c>
      <c r="E1002" t="inlineStr">
        <is>
          <t>Active air</t>
        </is>
      </c>
      <c r="F1002" t="n">
        <v>1</v>
      </c>
      <c r="G1002" t="inlineStr">
        <is>
          <t>Tech D</t>
        </is>
      </c>
      <c r="H1002">
        <f>INDEX(Limits!$B$2:$B$5,MATCH(E1002,Limits!$A$2:$A$5,0))</f>
        <v/>
      </c>
      <c r="I1002">
        <f>INDEX(Limits!$C$2:$C$5,MATCH(E1002,Limits!$A$2:$A$5,0))</f>
        <v/>
      </c>
      <c r="J1002">
        <f>IF(F1002&gt;=I1002,"Action",IF(F1002&gt;=H1002,"Alert","Pass"))</f>
        <v/>
      </c>
      <c r="K1002" s="4">
        <f>DATE(YEAR(B1002),MONTH(B1002),1)</f>
        <v/>
      </c>
    </row>
    <row r="1003">
      <c r="A1003" t="inlineStr">
        <is>
          <t>EM001002</t>
        </is>
      </c>
      <c r="B1003" s="7" t="n">
        <v>46099</v>
      </c>
      <c r="C1003" t="inlineStr">
        <is>
          <t>CR-202</t>
        </is>
      </c>
      <c r="D1003" t="inlineStr">
        <is>
          <t>ISO 8</t>
        </is>
      </c>
      <c r="E1003" t="inlineStr">
        <is>
          <t>Surface contact</t>
        </is>
      </c>
      <c r="F1003" t="n">
        <v>0</v>
      </c>
      <c r="G1003" t="inlineStr">
        <is>
          <t>Tech D</t>
        </is>
      </c>
      <c r="H1003">
        <f>INDEX(Limits!$B$2:$B$5,MATCH(E1003,Limits!$A$2:$A$5,0))</f>
        <v/>
      </c>
      <c r="I1003">
        <f>INDEX(Limits!$C$2:$C$5,MATCH(E1003,Limits!$A$2:$A$5,0))</f>
        <v/>
      </c>
      <c r="J1003">
        <f>IF(F1003&gt;=I1003,"Action",IF(F1003&gt;=H1003,"Alert","Pass"))</f>
        <v/>
      </c>
      <c r="K1003" s="4">
        <f>DATE(YEAR(B1003),MONTH(B1003),1)</f>
        <v/>
      </c>
    </row>
    <row r="1004">
      <c r="A1004" t="inlineStr">
        <is>
          <t>EM001003</t>
        </is>
      </c>
      <c r="B1004" s="7" t="n">
        <v>46099</v>
      </c>
      <c r="C1004" t="inlineStr">
        <is>
          <t>CR-202</t>
        </is>
      </c>
      <c r="D1004" t="inlineStr">
        <is>
          <t>ISO 8</t>
        </is>
      </c>
      <c r="E1004" t="inlineStr">
        <is>
          <t>Compressed air</t>
        </is>
      </c>
      <c r="F1004" t="n">
        <v>0</v>
      </c>
      <c r="G1004" t="inlineStr">
        <is>
          <t>Tech C</t>
        </is>
      </c>
      <c r="H1004">
        <f>INDEX(Limits!$B$2:$B$5,MATCH(E1004,Limits!$A$2:$A$5,0))</f>
        <v/>
      </c>
      <c r="I1004">
        <f>INDEX(Limits!$C$2:$C$5,MATCH(E1004,Limits!$A$2:$A$5,0))</f>
        <v/>
      </c>
      <c r="J1004">
        <f>IF(F1004&gt;=I1004,"Action",IF(F1004&gt;=H1004,"Alert","Pass"))</f>
        <v/>
      </c>
      <c r="K1004" s="4">
        <f>DATE(YEAR(B1004),MONTH(B1004),1)</f>
        <v/>
      </c>
    </row>
    <row r="1005">
      <c r="A1005" t="inlineStr">
        <is>
          <t>EM001004</t>
        </is>
      </c>
      <c r="B1005" s="7" t="n">
        <v>46099</v>
      </c>
      <c r="C1005" t="inlineStr">
        <is>
          <t>CR-202</t>
        </is>
      </c>
      <c r="D1005" t="inlineStr">
        <is>
          <t>ISO 8</t>
        </is>
      </c>
      <c r="E1005" t="inlineStr">
        <is>
          <t>Personnel glove</t>
        </is>
      </c>
      <c r="F1005" t="n">
        <v>0</v>
      </c>
      <c r="G1005" t="inlineStr">
        <is>
          <t>Tech D</t>
        </is>
      </c>
      <c r="H1005">
        <f>INDEX(Limits!$B$2:$B$5,MATCH(E1005,Limits!$A$2:$A$5,0))</f>
        <v/>
      </c>
      <c r="I1005">
        <f>INDEX(Limits!$C$2:$C$5,MATCH(E1005,Limits!$A$2:$A$5,0))</f>
        <v/>
      </c>
      <c r="J1005">
        <f>IF(F1005&gt;=I1005,"Action",IF(F1005&gt;=H1005,"Alert","Pass"))</f>
        <v/>
      </c>
      <c r="K1005" s="4">
        <f>DATE(YEAR(B1005),MONTH(B1005),1)</f>
        <v/>
      </c>
    </row>
    <row r="1006">
      <c r="A1006" t="inlineStr">
        <is>
          <t>EM001005</t>
        </is>
      </c>
      <c r="B1006" s="7" t="n">
        <v>46099</v>
      </c>
      <c r="C1006" t="inlineStr">
        <is>
          <t>Gowning</t>
        </is>
      </c>
      <c r="D1006" t="inlineStr">
        <is>
          <t>ISO 8</t>
        </is>
      </c>
      <c r="E1006" t="inlineStr">
        <is>
          <t>Active air</t>
        </is>
      </c>
      <c r="F1006" t="n">
        <v>2</v>
      </c>
      <c r="G1006" t="inlineStr">
        <is>
          <t>Tech B</t>
        </is>
      </c>
      <c r="H1006">
        <f>INDEX(Limits!$B$2:$B$5,MATCH(E1006,Limits!$A$2:$A$5,0))</f>
        <v/>
      </c>
      <c r="I1006">
        <f>INDEX(Limits!$C$2:$C$5,MATCH(E1006,Limits!$A$2:$A$5,0))</f>
        <v/>
      </c>
      <c r="J1006">
        <f>IF(F1006&gt;=I1006,"Action",IF(F1006&gt;=H1006,"Alert","Pass"))</f>
        <v/>
      </c>
      <c r="K1006" s="4">
        <f>DATE(YEAR(B1006),MONTH(B1006),1)</f>
        <v/>
      </c>
    </row>
    <row r="1007">
      <c r="A1007" t="inlineStr">
        <is>
          <t>EM001006</t>
        </is>
      </c>
      <c r="B1007" s="7" t="n">
        <v>46099</v>
      </c>
      <c r="C1007" t="inlineStr">
        <is>
          <t>Gowning</t>
        </is>
      </c>
      <c r="D1007" t="inlineStr">
        <is>
          <t>ISO 8</t>
        </is>
      </c>
      <c r="E1007" t="inlineStr">
        <is>
          <t>Surface contact</t>
        </is>
      </c>
      <c r="F1007" t="n">
        <v>0</v>
      </c>
      <c r="G1007" t="inlineStr">
        <is>
          <t>Tech B</t>
        </is>
      </c>
      <c r="H1007">
        <f>INDEX(Limits!$B$2:$B$5,MATCH(E1007,Limits!$A$2:$A$5,0))</f>
        <v/>
      </c>
      <c r="I1007">
        <f>INDEX(Limits!$C$2:$C$5,MATCH(E1007,Limits!$A$2:$A$5,0))</f>
        <v/>
      </c>
      <c r="J1007">
        <f>IF(F1007&gt;=I1007,"Action",IF(F1007&gt;=H1007,"Alert","Pass"))</f>
        <v/>
      </c>
      <c r="K1007" s="4">
        <f>DATE(YEAR(B1007),MONTH(B1007),1)</f>
        <v/>
      </c>
    </row>
    <row r="1008">
      <c r="A1008" t="inlineStr">
        <is>
          <t>EM001007</t>
        </is>
      </c>
      <c r="B1008" s="7" t="n">
        <v>46099</v>
      </c>
      <c r="C1008" t="inlineStr">
        <is>
          <t>Gowning</t>
        </is>
      </c>
      <c r="D1008" t="inlineStr">
        <is>
          <t>ISO 8</t>
        </is>
      </c>
      <c r="E1008" t="inlineStr">
        <is>
          <t>Personnel glove</t>
        </is>
      </c>
      <c r="F1008" t="n">
        <v>0</v>
      </c>
      <c r="G1008" t="inlineStr">
        <is>
          <t>Tech C</t>
        </is>
      </c>
      <c r="H1008">
        <f>INDEX(Limits!$B$2:$B$5,MATCH(E1008,Limits!$A$2:$A$5,0))</f>
        <v/>
      </c>
      <c r="I1008">
        <f>INDEX(Limits!$C$2:$C$5,MATCH(E1008,Limits!$A$2:$A$5,0))</f>
        <v/>
      </c>
      <c r="J1008">
        <f>IF(F1008&gt;=I1008,"Action",IF(F1008&gt;=H1008,"Alert","Pass"))</f>
        <v/>
      </c>
      <c r="K1008" s="4">
        <f>DATE(YEAR(B1008),MONTH(B1008),1)</f>
        <v/>
      </c>
    </row>
    <row r="1009">
      <c r="A1009" t="inlineStr">
        <is>
          <t>EM001008</t>
        </is>
      </c>
      <c r="B1009" s="7" t="n">
        <v>46100</v>
      </c>
      <c r="C1009" t="inlineStr">
        <is>
          <t>CR-101</t>
        </is>
      </c>
      <c r="D1009" t="inlineStr">
        <is>
          <t>ISO 7</t>
        </is>
      </c>
      <c r="E1009" t="inlineStr">
        <is>
          <t>Active air</t>
        </is>
      </c>
      <c r="F1009" t="n">
        <v>0</v>
      </c>
      <c r="G1009" t="inlineStr">
        <is>
          <t>Tech B</t>
        </is>
      </c>
      <c r="H1009">
        <f>INDEX(Limits!$B$2:$B$5,MATCH(E1009,Limits!$A$2:$A$5,0))</f>
        <v/>
      </c>
      <c r="I1009">
        <f>INDEX(Limits!$C$2:$C$5,MATCH(E1009,Limits!$A$2:$A$5,0))</f>
        <v/>
      </c>
      <c r="J1009">
        <f>IF(F1009&gt;=I1009,"Action",IF(F1009&gt;=H1009,"Alert","Pass"))</f>
        <v/>
      </c>
      <c r="K1009" s="4">
        <f>DATE(YEAR(B1009),MONTH(B1009),1)</f>
        <v/>
      </c>
    </row>
    <row r="1010">
      <c r="A1010" t="inlineStr">
        <is>
          <t>EM001009</t>
        </is>
      </c>
      <c r="B1010" s="7" t="n">
        <v>46100</v>
      </c>
      <c r="C1010" t="inlineStr">
        <is>
          <t>CR-101</t>
        </is>
      </c>
      <c r="D1010" t="inlineStr">
        <is>
          <t>ISO 7</t>
        </is>
      </c>
      <c r="E1010" t="inlineStr">
        <is>
          <t>Surface contact</t>
        </is>
      </c>
      <c r="F1010" t="n">
        <v>0</v>
      </c>
      <c r="G1010" t="inlineStr">
        <is>
          <t>Tech A</t>
        </is>
      </c>
      <c r="H1010">
        <f>INDEX(Limits!$B$2:$B$5,MATCH(E1010,Limits!$A$2:$A$5,0))</f>
        <v/>
      </c>
      <c r="I1010">
        <f>INDEX(Limits!$C$2:$C$5,MATCH(E1010,Limits!$A$2:$A$5,0))</f>
        <v/>
      </c>
      <c r="J1010">
        <f>IF(F1010&gt;=I1010,"Action",IF(F1010&gt;=H1010,"Alert","Pass"))</f>
        <v/>
      </c>
      <c r="K1010" s="4">
        <f>DATE(YEAR(B1010),MONTH(B1010),1)</f>
        <v/>
      </c>
    </row>
    <row r="1011">
      <c r="A1011" t="inlineStr">
        <is>
          <t>EM001010</t>
        </is>
      </c>
      <c r="B1011" s="7" t="n">
        <v>46100</v>
      </c>
      <c r="C1011" t="inlineStr">
        <is>
          <t>CR-101</t>
        </is>
      </c>
      <c r="D1011" t="inlineStr">
        <is>
          <t>ISO 7</t>
        </is>
      </c>
      <c r="E1011" t="inlineStr">
        <is>
          <t>Compressed air</t>
        </is>
      </c>
      <c r="F1011" t="n">
        <v>0</v>
      </c>
      <c r="G1011" t="inlineStr">
        <is>
          <t>Tech D</t>
        </is>
      </c>
      <c r="H1011">
        <f>INDEX(Limits!$B$2:$B$5,MATCH(E1011,Limits!$A$2:$A$5,0))</f>
        <v/>
      </c>
      <c r="I1011">
        <f>INDEX(Limits!$C$2:$C$5,MATCH(E1011,Limits!$A$2:$A$5,0))</f>
        <v/>
      </c>
      <c r="J1011">
        <f>IF(F1011&gt;=I1011,"Action",IF(F1011&gt;=H1011,"Alert","Pass"))</f>
        <v/>
      </c>
      <c r="K1011" s="4">
        <f>DATE(YEAR(B1011),MONTH(B1011),1)</f>
        <v/>
      </c>
    </row>
    <row r="1012">
      <c r="A1012" t="inlineStr">
        <is>
          <t>EM001011</t>
        </is>
      </c>
      <c r="B1012" s="7" t="n">
        <v>46100</v>
      </c>
      <c r="C1012" t="inlineStr">
        <is>
          <t>CR-101</t>
        </is>
      </c>
      <c r="D1012" t="inlineStr">
        <is>
          <t>ISO 7</t>
        </is>
      </c>
      <c r="E1012" t="inlineStr">
        <is>
          <t>Personnel glove</t>
        </is>
      </c>
      <c r="F1012" t="n">
        <v>0</v>
      </c>
      <c r="G1012" t="inlineStr">
        <is>
          <t>Tech B</t>
        </is>
      </c>
      <c r="H1012">
        <f>INDEX(Limits!$B$2:$B$5,MATCH(E1012,Limits!$A$2:$A$5,0))</f>
        <v/>
      </c>
      <c r="I1012">
        <f>INDEX(Limits!$C$2:$C$5,MATCH(E1012,Limits!$A$2:$A$5,0))</f>
        <v/>
      </c>
      <c r="J1012">
        <f>IF(F1012&gt;=I1012,"Action",IF(F1012&gt;=H1012,"Alert","Pass"))</f>
        <v/>
      </c>
      <c r="K1012" s="4">
        <f>DATE(YEAR(B1012),MONTH(B1012),1)</f>
        <v/>
      </c>
    </row>
    <row r="1013">
      <c r="A1013" t="inlineStr">
        <is>
          <t>EM001012</t>
        </is>
      </c>
      <c r="B1013" s="7" t="n">
        <v>46100</v>
      </c>
      <c r="C1013" t="inlineStr">
        <is>
          <t>CR-102</t>
        </is>
      </c>
      <c r="D1013" t="inlineStr">
        <is>
          <t>ISO 7</t>
        </is>
      </c>
      <c r="E1013" t="inlineStr">
        <is>
          <t>Active air</t>
        </is>
      </c>
      <c r="F1013" t="n">
        <v>1</v>
      </c>
      <c r="G1013" t="inlineStr">
        <is>
          <t>Tech B</t>
        </is>
      </c>
      <c r="H1013">
        <f>INDEX(Limits!$B$2:$B$5,MATCH(E1013,Limits!$A$2:$A$5,0))</f>
        <v/>
      </c>
      <c r="I1013">
        <f>INDEX(Limits!$C$2:$C$5,MATCH(E1013,Limits!$A$2:$A$5,0))</f>
        <v/>
      </c>
      <c r="J1013">
        <f>IF(F1013&gt;=I1013,"Action",IF(F1013&gt;=H1013,"Alert","Pass"))</f>
        <v/>
      </c>
      <c r="K1013" s="4">
        <f>DATE(YEAR(B1013),MONTH(B1013),1)</f>
        <v/>
      </c>
    </row>
    <row r="1014">
      <c r="A1014" t="inlineStr">
        <is>
          <t>EM001013</t>
        </is>
      </c>
      <c r="B1014" s="7" t="n">
        <v>46100</v>
      </c>
      <c r="C1014" t="inlineStr">
        <is>
          <t>CR-102</t>
        </is>
      </c>
      <c r="D1014" t="inlineStr">
        <is>
          <t>ISO 7</t>
        </is>
      </c>
      <c r="E1014" t="inlineStr">
        <is>
          <t>Surface contact</t>
        </is>
      </c>
      <c r="F1014" t="n">
        <v>1</v>
      </c>
      <c r="G1014" t="inlineStr">
        <is>
          <t>Tech D</t>
        </is>
      </c>
      <c r="H1014">
        <f>INDEX(Limits!$B$2:$B$5,MATCH(E1014,Limits!$A$2:$A$5,0))</f>
        <v/>
      </c>
      <c r="I1014">
        <f>INDEX(Limits!$C$2:$C$5,MATCH(E1014,Limits!$A$2:$A$5,0))</f>
        <v/>
      </c>
      <c r="J1014">
        <f>IF(F1014&gt;=I1014,"Action",IF(F1014&gt;=H1014,"Alert","Pass"))</f>
        <v/>
      </c>
      <c r="K1014" s="4">
        <f>DATE(YEAR(B1014),MONTH(B1014),1)</f>
        <v/>
      </c>
    </row>
    <row r="1015">
      <c r="A1015" t="inlineStr">
        <is>
          <t>EM001014</t>
        </is>
      </c>
      <c r="B1015" s="7" t="n">
        <v>46100</v>
      </c>
      <c r="C1015" t="inlineStr">
        <is>
          <t>CR-102</t>
        </is>
      </c>
      <c r="D1015" t="inlineStr">
        <is>
          <t>ISO 7</t>
        </is>
      </c>
      <c r="E1015" t="inlineStr">
        <is>
          <t>Compressed air</t>
        </is>
      </c>
      <c r="F1015" t="n">
        <v>0</v>
      </c>
      <c r="G1015" t="inlineStr">
        <is>
          <t>Tech C</t>
        </is>
      </c>
      <c r="H1015">
        <f>INDEX(Limits!$B$2:$B$5,MATCH(E1015,Limits!$A$2:$A$5,0))</f>
        <v/>
      </c>
      <c r="I1015">
        <f>INDEX(Limits!$C$2:$C$5,MATCH(E1015,Limits!$A$2:$A$5,0))</f>
        <v/>
      </c>
      <c r="J1015">
        <f>IF(F1015&gt;=I1015,"Action",IF(F1015&gt;=H1015,"Alert","Pass"))</f>
        <v/>
      </c>
      <c r="K1015" s="4">
        <f>DATE(YEAR(B1015),MONTH(B1015),1)</f>
        <v/>
      </c>
    </row>
    <row r="1016">
      <c r="A1016" t="inlineStr">
        <is>
          <t>EM001015</t>
        </is>
      </c>
      <c r="B1016" s="7" t="n">
        <v>46100</v>
      </c>
      <c r="C1016" t="inlineStr">
        <is>
          <t>CR-102</t>
        </is>
      </c>
      <c r="D1016" t="inlineStr">
        <is>
          <t>ISO 7</t>
        </is>
      </c>
      <c r="E1016" t="inlineStr">
        <is>
          <t>Personnel glove</t>
        </is>
      </c>
      <c r="F1016" t="n">
        <v>1</v>
      </c>
      <c r="G1016" t="inlineStr">
        <is>
          <t>Tech B</t>
        </is>
      </c>
      <c r="H1016">
        <f>INDEX(Limits!$B$2:$B$5,MATCH(E1016,Limits!$A$2:$A$5,0))</f>
        <v/>
      </c>
      <c r="I1016">
        <f>INDEX(Limits!$C$2:$C$5,MATCH(E1016,Limits!$A$2:$A$5,0))</f>
        <v/>
      </c>
      <c r="J1016">
        <f>IF(F1016&gt;=I1016,"Action",IF(F1016&gt;=H1016,"Alert","Pass"))</f>
        <v/>
      </c>
      <c r="K1016" s="4">
        <f>DATE(YEAR(B1016),MONTH(B1016),1)</f>
        <v/>
      </c>
    </row>
    <row r="1017">
      <c r="A1017" t="inlineStr">
        <is>
          <t>EM001016</t>
        </is>
      </c>
      <c r="B1017" s="7" t="n">
        <v>46100</v>
      </c>
      <c r="C1017" t="inlineStr">
        <is>
          <t>CR-201</t>
        </is>
      </c>
      <c r="D1017" t="inlineStr">
        <is>
          <t>ISO 8</t>
        </is>
      </c>
      <c r="E1017" t="inlineStr">
        <is>
          <t>Active air</t>
        </is>
      </c>
      <c r="F1017" t="n">
        <v>3</v>
      </c>
      <c r="G1017" t="inlineStr">
        <is>
          <t>Tech B</t>
        </is>
      </c>
      <c r="H1017">
        <f>INDEX(Limits!$B$2:$B$5,MATCH(E1017,Limits!$A$2:$A$5,0))</f>
        <v/>
      </c>
      <c r="I1017">
        <f>INDEX(Limits!$C$2:$C$5,MATCH(E1017,Limits!$A$2:$A$5,0))</f>
        <v/>
      </c>
      <c r="J1017">
        <f>IF(F1017&gt;=I1017,"Action",IF(F1017&gt;=H1017,"Alert","Pass"))</f>
        <v/>
      </c>
      <c r="K1017" s="4">
        <f>DATE(YEAR(B1017),MONTH(B1017),1)</f>
        <v/>
      </c>
    </row>
    <row r="1018">
      <c r="A1018" t="inlineStr">
        <is>
          <t>EM001017</t>
        </is>
      </c>
      <c r="B1018" s="7" t="n">
        <v>46100</v>
      </c>
      <c r="C1018" t="inlineStr">
        <is>
          <t>CR-201</t>
        </is>
      </c>
      <c r="D1018" t="inlineStr">
        <is>
          <t>ISO 8</t>
        </is>
      </c>
      <c r="E1018" t="inlineStr">
        <is>
          <t>Surface contact</t>
        </is>
      </c>
      <c r="F1018" t="n">
        <v>0</v>
      </c>
      <c r="G1018" t="inlineStr">
        <is>
          <t>Tech C</t>
        </is>
      </c>
      <c r="H1018">
        <f>INDEX(Limits!$B$2:$B$5,MATCH(E1018,Limits!$A$2:$A$5,0))</f>
        <v/>
      </c>
      <c r="I1018">
        <f>INDEX(Limits!$C$2:$C$5,MATCH(E1018,Limits!$A$2:$A$5,0))</f>
        <v/>
      </c>
      <c r="J1018">
        <f>IF(F1018&gt;=I1018,"Action",IF(F1018&gt;=H1018,"Alert","Pass"))</f>
        <v/>
      </c>
      <c r="K1018" s="4">
        <f>DATE(YEAR(B1018),MONTH(B1018),1)</f>
        <v/>
      </c>
    </row>
    <row r="1019">
      <c r="A1019" t="inlineStr">
        <is>
          <t>EM001018</t>
        </is>
      </c>
      <c r="B1019" s="7" t="n">
        <v>46100</v>
      </c>
      <c r="C1019" t="inlineStr">
        <is>
          <t>CR-201</t>
        </is>
      </c>
      <c r="D1019" t="inlineStr">
        <is>
          <t>ISO 8</t>
        </is>
      </c>
      <c r="E1019" t="inlineStr">
        <is>
          <t>Compressed air</t>
        </is>
      </c>
      <c r="F1019" t="n">
        <v>0</v>
      </c>
      <c r="G1019" t="inlineStr">
        <is>
          <t>Tech B</t>
        </is>
      </c>
      <c r="H1019">
        <f>INDEX(Limits!$B$2:$B$5,MATCH(E1019,Limits!$A$2:$A$5,0))</f>
        <v/>
      </c>
      <c r="I1019">
        <f>INDEX(Limits!$C$2:$C$5,MATCH(E1019,Limits!$A$2:$A$5,0))</f>
        <v/>
      </c>
      <c r="J1019">
        <f>IF(F1019&gt;=I1019,"Action",IF(F1019&gt;=H1019,"Alert","Pass"))</f>
        <v/>
      </c>
      <c r="K1019" s="4">
        <f>DATE(YEAR(B1019),MONTH(B1019),1)</f>
        <v/>
      </c>
    </row>
    <row r="1020">
      <c r="A1020" t="inlineStr">
        <is>
          <t>EM001019</t>
        </is>
      </c>
      <c r="B1020" s="7" t="n">
        <v>46100</v>
      </c>
      <c r="C1020" t="inlineStr">
        <is>
          <t>CR-201</t>
        </is>
      </c>
      <c r="D1020" t="inlineStr">
        <is>
          <t>ISO 8</t>
        </is>
      </c>
      <c r="E1020" t="inlineStr">
        <is>
          <t>Personnel glove</t>
        </is>
      </c>
      <c r="F1020" t="n">
        <v>1</v>
      </c>
      <c r="G1020" t="inlineStr">
        <is>
          <t>Tech B</t>
        </is>
      </c>
      <c r="H1020">
        <f>INDEX(Limits!$B$2:$B$5,MATCH(E1020,Limits!$A$2:$A$5,0))</f>
        <v/>
      </c>
      <c r="I1020">
        <f>INDEX(Limits!$C$2:$C$5,MATCH(E1020,Limits!$A$2:$A$5,0))</f>
        <v/>
      </c>
      <c r="J1020">
        <f>IF(F1020&gt;=I1020,"Action",IF(F1020&gt;=H1020,"Alert","Pass"))</f>
        <v/>
      </c>
      <c r="K1020" s="4">
        <f>DATE(YEAR(B1020),MONTH(B1020),1)</f>
        <v/>
      </c>
    </row>
    <row r="1021">
      <c r="A1021" t="inlineStr">
        <is>
          <t>EM001020</t>
        </is>
      </c>
      <c r="B1021" s="7" t="n">
        <v>46100</v>
      </c>
      <c r="C1021" t="inlineStr">
        <is>
          <t>CR-202</t>
        </is>
      </c>
      <c r="D1021" t="inlineStr">
        <is>
          <t>ISO 8</t>
        </is>
      </c>
      <c r="E1021" t="inlineStr">
        <is>
          <t>Active air</t>
        </is>
      </c>
      <c r="F1021" t="n">
        <v>3</v>
      </c>
      <c r="G1021" t="inlineStr">
        <is>
          <t>Tech B</t>
        </is>
      </c>
      <c r="H1021">
        <f>INDEX(Limits!$B$2:$B$5,MATCH(E1021,Limits!$A$2:$A$5,0))</f>
        <v/>
      </c>
      <c r="I1021">
        <f>INDEX(Limits!$C$2:$C$5,MATCH(E1021,Limits!$A$2:$A$5,0))</f>
        <v/>
      </c>
      <c r="J1021">
        <f>IF(F1021&gt;=I1021,"Action",IF(F1021&gt;=H1021,"Alert","Pass"))</f>
        <v/>
      </c>
      <c r="K1021" s="4">
        <f>DATE(YEAR(B1021),MONTH(B1021),1)</f>
        <v/>
      </c>
    </row>
    <row r="1022">
      <c r="A1022" t="inlineStr">
        <is>
          <t>EM001021</t>
        </is>
      </c>
      <c r="B1022" s="7" t="n">
        <v>46100</v>
      </c>
      <c r="C1022" t="inlineStr">
        <is>
          <t>CR-202</t>
        </is>
      </c>
      <c r="D1022" t="inlineStr">
        <is>
          <t>ISO 8</t>
        </is>
      </c>
      <c r="E1022" t="inlineStr">
        <is>
          <t>Surface contact</t>
        </is>
      </c>
      <c r="F1022" t="n">
        <v>2</v>
      </c>
      <c r="G1022" t="inlineStr">
        <is>
          <t>Tech B</t>
        </is>
      </c>
      <c r="H1022">
        <f>INDEX(Limits!$B$2:$B$5,MATCH(E1022,Limits!$A$2:$A$5,0))</f>
        <v/>
      </c>
      <c r="I1022">
        <f>INDEX(Limits!$C$2:$C$5,MATCH(E1022,Limits!$A$2:$A$5,0))</f>
        <v/>
      </c>
      <c r="J1022">
        <f>IF(F1022&gt;=I1022,"Action",IF(F1022&gt;=H1022,"Alert","Pass"))</f>
        <v/>
      </c>
      <c r="K1022" s="4">
        <f>DATE(YEAR(B1022),MONTH(B1022),1)</f>
        <v/>
      </c>
    </row>
    <row r="1023">
      <c r="A1023" t="inlineStr">
        <is>
          <t>EM001022</t>
        </is>
      </c>
      <c r="B1023" s="7" t="n">
        <v>46100</v>
      </c>
      <c r="C1023" t="inlineStr">
        <is>
          <t>CR-202</t>
        </is>
      </c>
      <c r="D1023" t="inlineStr">
        <is>
          <t>ISO 8</t>
        </is>
      </c>
      <c r="E1023" t="inlineStr">
        <is>
          <t>Compressed air</t>
        </is>
      </c>
      <c r="F1023" t="n">
        <v>0</v>
      </c>
      <c r="G1023" t="inlineStr">
        <is>
          <t>Tech B</t>
        </is>
      </c>
      <c r="H1023">
        <f>INDEX(Limits!$B$2:$B$5,MATCH(E1023,Limits!$A$2:$A$5,0))</f>
        <v/>
      </c>
      <c r="I1023">
        <f>INDEX(Limits!$C$2:$C$5,MATCH(E1023,Limits!$A$2:$A$5,0))</f>
        <v/>
      </c>
      <c r="J1023">
        <f>IF(F1023&gt;=I1023,"Action",IF(F1023&gt;=H1023,"Alert","Pass"))</f>
        <v/>
      </c>
      <c r="K1023" s="4">
        <f>DATE(YEAR(B1023),MONTH(B1023),1)</f>
        <v/>
      </c>
    </row>
    <row r="1024">
      <c r="A1024" t="inlineStr">
        <is>
          <t>EM001023</t>
        </is>
      </c>
      <c r="B1024" s="7" t="n">
        <v>46100</v>
      </c>
      <c r="C1024" t="inlineStr">
        <is>
          <t>CR-202</t>
        </is>
      </c>
      <c r="D1024" t="inlineStr">
        <is>
          <t>ISO 8</t>
        </is>
      </c>
      <c r="E1024" t="inlineStr">
        <is>
          <t>Personnel glove</t>
        </is>
      </c>
      <c r="F1024" t="n">
        <v>0</v>
      </c>
      <c r="G1024" t="inlineStr">
        <is>
          <t>Tech D</t>
        </is>
      </c>
      <c r="H1024">
        <f>INDEX(Limits!$B$2:$B$5,MATCH(E1024,Limits!$A$2:$A$5,0))</f>
        <v/>
      </c>
      <c r="I1024">
        <f>INDEX(Limits!$C$2:$C$5,MATCH(E1024,Limits!$A$2:$A$5,0))</f>
        <v/>
      </c>
      <c r="J1024">
        <f>IF(F1024&gt;=I1024,"Action",IF(F1024&gt;=H1024,"Alert","Pass"))</f>
        <v/>
      </c>
      <c r="K1024" s="4">
        <f>DATE(YEAR(B1024),MONTH(B1024),1)</f>
        <v/>
      </c>
    </row>
    <row r="1025">
      <c r="A1025" t="inlineStr">
        <is>
          <t>EM001024</t>
        </is>
      </c>
      <c r="B1025" s="7" t="n">
        <v>46100</v>
      </c>
      <c r="C1025" t="inlineStr">
        <is>
          <t>Gowning</t>
        </is>
      </c>
      <c r="D1025" t="inlineStr">
        <is>
          <t>ISO 8</t>
        </is>
      </c>
      <c r="E1025" t="inlineStr">
        <is>
          <t>Active air</t>
        </is>
      </c>
      <c r="F1025" t="n">
        <v>2</v>
      </c>
      <c r="G1025" t="inlineStr">
        <is>
          <t>Tech A</t>
        </is>
      </c>
      <c r="H1025">
        <f>INDEX(Limits!$B$2:$B$5,MATCH(E1025,Limits!$A$2:$A$5,0))</f>
        <v/>
      </c>
      <c r="I1025">
        <f>INDEX(Limits!$C$2:$C$5,MATCH(E1025,Limits!$A$2:$A$5,0))</f>
        <v/>
      </c>
      <c r="J1025">
        <f>IF(F1025&gt;=I1025,"Action",IF(F1025&gt;=H1025,"Alert","Pass"))</f>
        <v/>
      </c>
      <c r="K1025" s="4">
        <f>DATE(YEAR(B1025),MONTH(B1025),1)</f>
        <v/>
      </c>
    </row>
    <row r="1026">
      <c r="A1026" t="inlineStr">
        <is>
          <t>EM001025</t>
        </is>
      </c>
      <c r="B1026" s="7" t="n">
        <v>46100</v>
      </c>
      <c r="C1026" t="inlineStr">
        <is>
          <t>Gowning</t>
        </is>
      </c>
      <c r="D1026" t="inlineStr">
        <is>
          <t>ISO 8</t>
        </is>
      </c>
      <c r="E1026" t="inlineStr">
        <is>
          <t>Surface contact</t>
        </is>
      </c>
      <c r="F1026" t="n">
        <v>1</v>
      </c>
      <c r="G1026" t="inlineStr">
        <is>
          <t>Tech D</t>
        </is>
      </c>
      <c r="H1026">
        <f>INDEX(Limits!$B$2:$B$5,MATCH(E1026,Limits!$A$2:$A$5,0))</f>
        <v/>
      </c>
      <c r="I1026">
        <f>INDEX(Limits!$C$2:$C$5,MATCH(E1026,Limits!$A$2:$A$5,0))</f>
        <v/>
      </c>
      <c r="J1026">
        <f>IF(F1026&gt;=I1026,"Action",IF(F1026&gt;=H1026,"Alert","Pass"))</f>
        <v/>
      </c>
      <c r="K1026" s="4">
        <f>DATE(YEAR(B1026),MONTH(B1026),1)</f>
        <v/>
      </c>
    </row>
    <row r="1027">
      <c r="A1027" t="inlineStr">
        <is>
          <t>EM001026</t>
        </is>
      </c>
      <c r="B1027" s="7" t="n">
        <v>46100</v>
      </c>
      <c r="C1027" t="inlineStr">
        <is>
          <t>Gowning</t>
        </is>
      </c>
      <c r="D1027" t="inlineStr">
        <is>
          <t>ISO 8</t>
        </is>
      </c>
      <c r="E1027" t="inlineStr">
        <is>
          <t>Personnel glove</t>
        </is>
      </c>
      <c r="F1027" t="n">
        <v>0</v>
      </c>
      <c r="G1027" t="inlineStr">
        <is>
          <t>Tech D</t>
        </is>
      </c>
      <c r="H1027">
        <f>INDEX(Limits!$B$2:$B$5,MATCH(E1027,Limits!$A$2:$A$5,0))</f>
        <v/>
      </c>
      <c r="I1027">
        <f>INDEX(Limits!$C$2:$C$5,MATCH(E1027,Limits!$A$2:$A$5,0))</f>
        <v/>
      </c>
      <c r="J1027">
        <f>IF(F1027&gt;=I1027,"Action",IF(F1027&gt;=H1027,"Alert","Pass"))</f>
        <v/>
      </c>
      <c r="K1027" s="4">
        <f>DATE(YEAR(B1027),MONTH(B1027),1)</f>
        <v/>
      </c>
    </row>
    <row r="1028">
      <c r="A1028" t="inlineStr">
        <is>
          <t>EM001027</t>
        </is>
      </c>
      <c r="B1028" s="7" t="n">
        <v>46101</v>
      </c>
      <c r="C1028" t="inlineStr">
        <is>
          <t>CR-101</t>
        </is>
      </c>
      <c r="D1028" t="inlineStr">
        <is>
          <t>ISO 7</t>
        </is>
      </c>
      <c r="E1028" t="inlineStr">
        <is>
          <t>Active air</t>
        </is>
      </c>
      <c r="F1028" t="n">
        <v>0</v>
      </c>
      <c r="G1028" t="inlineStr">
        <is>
          <t>Tech D</t>
        </is>
      </c>
      <c r="H1028">
        <f>INDEX(Limits!$B$2:$B$5,MATCH(E1028,Limits!$A$2:$A$5,0))</f>
        <v/>
      </c>
      <c r="I1028">
        <f>INDEX(Limits!$C$2:$C$5,MATCH(E1028,Limits!$A$2:$A$5,0))</f>
        <v/>
      </c>
      <c r="J1028">
        <f>IF(F1028&gt;=I1028,"Action",IF(F1028&gt;=H1028,"Alert","Pass"))</f>
        <v/>
      </c>
      <c r="K1028" s="4">
        <f>DATE(YEAR(B1028),MONTH(B1028),1)</f>
        <v/>
      </c>
    </row>
    <row r="1029">
      <c r="A1029" t="inlineStr">
        <is>
          <t>EM001028</t>
        </is>
      </c>
      <c r="B1029" s="7" t="n">
        <v>46101</v>
      </c>
      <c r="C1029" t="inlineStr">
        <is>
          <t>CR-101</t>
        </is>
      </c>
      <c r="D1029" t="inlineStr">
        <is>
          <t>ISO 7</t>
        </is>
      </c>
      <c r="E1029" t="inlineStr">
        <is>
          <t>Surface contact</t>
        </is>
      </c>
      <c r="F1029" t="n">
        <v>0</v>
      </c>
      <c r="G1029" t="inlineStr">
        <is>
          <t>Tech A</t>
        </is>
      </c>
      <c r="H1029">
        <f>INDEX(Limits!$B$2:$B$5,MATCH(E1029,Limits!$A$2:$A$5,0))</f>
        <v/>
      </c>
      <c r="I1029">
        <f>INDEX(Limits!$C$2:$C$5,MATCH(E1029,Limits!$A$2:$A$5,0))</f>
        <v/>
      </c>
      <c r="J1029">
        <f>IF(F1029&gt;=I1029,"Action",IF(F1029&gt;=H1029,"Alert","Pass"))</f>
        <v/>
      </c>
      <c r="K1029" s="4">
        <f>DATE(YEAR(B1029),MONTH(B1029),1)</f>
        <v/>
      </c>
    </row>
    <row r="1030">
      <c r="A1030" t="inlineStr">
        <is>
          <t>EM001029</t>
        </is>
      </c>
      <c r="B1030" s="7" t="n">
        <v>46101</v>
      </c>
      <c r="C1030" t="inlineStr">
        <is>
          <t>CR-101</t>
        </is>
      </c>
      <c r="D1030" t="inlineStr">
        <is>
          <t>ISO 7</t>
        </is>
      </c>
      <c r="E1030" t="inlineStr">
        <is>
          <t>Compressed air</t>
        </is>
      </c>
      <c r="F1030" t="n">
        <v>0</v>
      </c>
      <c r="G1030" t="inlineStr">
        <is>
          <t>Tech D</t>
        </is>
      </c>
      <c r="H1030">
        <f>INDEX(Limits!$B$2:$B$5,MATCH(E1030,Limits!$A$2:$A$5,0))</f>
        <v/>
      </c>
      <c r="I1030">
        <f>INDEX(Limits!$C$2:$C$5,MATCH(E1030,Limits!$A$2:$A$5,0))</f>
        <v/>
      </c>
      <c r="J1030">
        <f>IF(F1030&gt;=I1030,"Action",IF(F1030&gt;=H1030,"Alert","Pass"))</f>
        <v/>
      </c>
      <c r="K1030" s="4">
        <f>DATE(YEAR(B1030),MONTH(B1030),1)</f>
        <v/>
      </c>
    </row>
    <row r="1031">
      <c r="A1031" t="inlineStr">
        <is>
          <t>EM001030</t>
        </is>
      </c>
      <c r="B1031" s="7" t="n">
        <v>46101</v>
      </c>
      <c r="C1031" t="inlineStr">
        <is>
          <t>CR-101</t>
        </is>
      </c>
      <c r="D1031" t="inlineStr">
        <is>
          <t>ISO 7</t>
        </is>
      </c>
      <c r="E1031" t="inlineStr">
        <is>
          <t>Personnel glove</t>
        </is>
      </c>
      <c r="F1031" t="n">
        <v>0</v>
      </c>
      <c r="G1031" t="inlineStr">
        <is>
          <t>Tech B</t>
        </is>
      </c>
      <c r="H1031">
        <f>INDEX(Limits!$B$2:$B$5,MATCH(E1031,Limits!$A$2:$A$5,0))</f>
        <v/>
      </c>
      <c r="I1031">
        <f>INDEX(Limits!$C$2:$C$5,MATCH(E1031,Limits!$A$2:$A$5,0))</f>
        <v/>
      </c>
      <c r="J1031">
        <f>IF(F1031&gt;=I1031,"Action",IF(F1031&gt;=H1031,"Alert","Pass"))</f>
        <v/>
      </c>
      <c r="K1031" s="4">
        <f>DATE(YEAR(B1031),MONTH(B1031),1)</f>
        <v/>
      </c>
    </row>
    <row r="1032">
      <c r="A1032" t="inlineStr">
        <is>
          <t>EM001031</t>
        </is>
      </c>
      <c r="B1032" s="7" t="n">
        <v>46101</v>
      </c>
      <c r="C1032" t="inlineStr">
        <is>
          <t>CR-102</t>
        </is>
      </c>
      <c r="D1032" t="inlineStr">
        <is>
          <t>ISO 7</t>
        </is>
      </c>
      <c r="E1032" t="inlineStr">
        <is>
          <t>Active air</t>
        </is>
      </c>
      <c r="F1032" t="n">
        <v>1</v>
      </c>
      <c r="G1032" t="inlineStr">
        <is>
          <t>Tech B</t>
        </is>
      </c>
      <c r="H1032">
        <f>INDEX(Limits!$B$2:$B$5,MATCH(E1032,Limits!$A$2:$A$5,0))</f>
        <v/>
      </c>
      <c r="I1032">
        <f>INDEX(Limits!$C$2:$C$5,MATCH(E1032,Limits!$A$2:$A$5,0))</f>
        <v/>
      </c>
      <c r="J1032">
        <f>IF(F1032&gt;=I1032,"Action",IF(F1032&gt;=H1032,"Alert","Pass"))</f>
        <v/>
      </c>
      <c r="K1032" s="4">
        <f>DATE(YEAR(B1032),MONTH(B1032),1)</f>
        <v/>
      </c>
    </row>
    <row r="1033">
      <c r="A1033" t="inlineStr">
        <is>
          <t>EM001032</t>
        </is>
      </c>
      <c r="B1033" s="7" t="n">
        <v>46101</v>
      </c>
      <c r="C1033" t="inlineStr">
        <is>
          <t>CR-102</t>
        </is>
      </c>
      <c r="D1033" t="inlineStr">
        <is>
          <t>ISO 7</t>
        </is>
      </c>
      <c r="E1033" t="inlineStr">
        <is>
          <t>Surface contact</t>
        </is>
      </c>
      <c r="F1033" t="n">
        <v>0</v>
      </c>
      <c r="G1033" t="inlineStr">
        <is>
          <t>Tech B</t>
        </is>
      </c>
      <c r="H1033">
        <f>INDEX(Limits!$B$2:$B$5,MATCH(E1033,Limits!$A$2:$A$5,0))</f>
        <v/>
      </c>
      <c r="I1033">
        <f>INDEX(Limits!$C$2:$C$5,MATCH(E1033,Limits!$A$2:$A$5,0))</f>
        <v/>
      </c>
      <c r="J1033">
        <f>IF(F1033&gt;=I1033,"Action",IF(F1033&gt;=H1033,"Alert","Pass"))</f>
        <v/>
      </c>
      <c r="K1033" s="4">
        <f>DATE(YEAR(B1033),MONTH(B1033),1)</f>
        <v/>
      </c>
    </row>
    <row r="1034">
      <c r="A1034" t="inlineStr">
        <is>
          <t>EM001033</t>
        </is>
      </c>
      <c r="B1034" s="7" t="n">
        <v>46101</v>
      </c>
      <c r="C1034" t="inlineStr">
        <is>
          <t>CR-102</t>
        </is>
      </c>
      <c r="D1034" t="inlineStr">
        <is>
          <t>ISO 7</t>
        </is>
      </c>
      <c r="E1034" t="inlineStr">
        <is>
          <t>Compressed air</t>
        </is>
      </c>
      <c r="F1034" t="n">
        <v>0</v>
      </c>
      <c r="G1034" t="inlineStr">
        <is>
          <t>Tech A</t>
        </is>
      </c>
      <c r="H1034">
        <f>INDEX(Limits!$B$2:$B$5,MATCH(E1034,Limits!$A$2:$A$5,0))</f>
        <v/>
      </c>
      <c r="I1034">
        <f>INDEX(Limits!$C$2:$C$5,MATCH(E1034,Limits!$A$2:$A$5,0))</f>
        <v/>
      </c>
      <c r="J1034">
        <f>IF(F1034&gt;=I1034,"Action",IF(F1034&gt;=H1034,"Alert","Pass"))</f>
        <v/>
      </c>
      <c r="K1034" s="4">
        <f>DATE(YEAR(B1034),MONTH(B1034),1)</f>
        <v/>
      </c>
    </row>
    <row r="1035">
      <c r="A1035" t="inlineStr">
        <is>
          <t>EM001034</t>
        </is>
      </c>
      <c r="B1035" s="7" t="n">
        <v>46101</v>
      </c>
      <c r="C1035" t="inlineStr">
        <is>
          <t>CR-102</t>
        </is>
      </c>
      <c r="D1035" t="inlineStr">
        <is>
          <t>ISO 7</t>
        </is>
      </c>
      <c r="E1035" t="inlineStr">
        <is>
          <t>Personnel glove</t>
        </is>
      </c>
      <c r="F1035" t="n">
        <v>0</v>
      </c>
      <c r="G1035" t="inlineStr">
        <is>
          <t>Tech A</t>
        </is>
      </c>
      <c r="H1035">
        <f>INDEX(Limits!$B$2:$B$5,MATCH(E1035,Limits!$A$2:$A$5,0))</f>
        <v/>
      </c>
      <c r="I1035">
        <f>INDEX(Limits!$C$2:$C$5,MATCH(E1035,Limits!$A$2:$A$5,0))</f>
        <v/>
      </c>
      <c r="J1035">
        <f>IF(F1035&gt;=I1035,"Action",IF(F1035&gt;=H1035,"Alert","Pass"))</f>
        <v/>
      </c>
      <c r="K1035" s="4">
        <f>DATE(YEAR(B1035),MONTH(B1035),1)</f>
        <v/>
      </c>
    </row>
    <row r="1036">
      <c r="A1036" t="inlineStr">
        <is>
          <t>EM001035</t>
        </is>
      </c>
      <c r="B1036" s="7" t="n">
        <v>46101</v>
      </c>
      <c r="C1036" t="inlineStr">
        <is>
          <t>CR-201</t>
        </is>
      </c>
      <c r="D1036" t="inlineStr">
        <is>
          <t>ISO 8</t>
        </is>
      </c>
      <c r="E1036" t="inlineStr">
        <is>
          <t>Active air</t>
        </is>
      </c>
      <c r="F1036" t="n">
        <v>2</v>
      </c>
      <c r="G1036" t="inlineStr">
        <is>
          <t>Tech B</t>
        </is>
      </c>
      <c r="H1036">
        <f>INDEX(Limits!$B$2:$B$5,MATCH(E1036,Limits!$A$2:$A$5,0))</f>
        <v/>
      </c>
      <c r="I1036">
        <f>INDEX(Limits!$C$2:$C$5,MATCH(E1036,Limits!$A$2:$A$5,0))</f>
        <v/>
      </c>
      <c r="J1036">
        <f>IF(F1036&gt;=I1036,"Action",IF(F1036&gt;=H1036,"Alert","Pass"))</f>
        <v/>
      </c>
      <c r="K1036" s="4">
        <f>DATE(YEAR(B1036),MONTH(B1036),1)</f>
        <v/>
      </c>
    </row>
    <row r="1037">
      <c r="A1037" t="inlineStr">
        <is>
          <t>EM001036</t>
        </is>
      </c>
      <c r="B1037" s="7" t="n">
        <v>46101</v>
      </c>
      <c r="C1037" t="inlineStr">
        <is>
          <t>CR-201</t>
        </is>
      </c>
      <c r="D1037" t="inlineStr">
        <is>
          <t>ISO 8</t>
        </is>
      </c>
      <c r="E1037" t="inlineStr">
        <is>
          <t>Surface contact</t>
        </is>
      </c>
      <c r="F1037" t="n">
        <v>0</v>
      </c>
      <c r="G1037" t="inlineStr">
        <is>
          <t>Tech D</t>
        </is>
      </c>
      <c r="H1037">
        <f>INDEX(Limits!$B$2:$B$5,MATCH(E1037,Limits!$A$2:$A$5,0))</f>
        <v/>
      </c>
      <c r="I1037">
        <f>INDEX(Limits!$C$2:$C$5,MATCH(E1037,Limits!$A$2:$A$5,0))</f>
        <v/>
      </c>
      <c r="J1037">
        <f>IF(F1037&gt;=I1037,"Action",IF(F1037&gt;=H1037,"Alert","Pass"))</f>
        <v/>
      </c>
      <c r="K1037" s="4">
        <f>DATE(YEAR(B1037),MONTH(B1037),1)</f>
        <v/>
      </c>
    </row>
    <row r="1038">
      <c r="A1038" t="inlineStr">
        <is>
          <t>EM001037</t>
        </is>
      </c>
      <c r="B1038" s="7" t="n">
        <v>46101</v>
      </c>
      <c r="C1038" t="inlineStr">
        <is>
          <t>CR-201</t>
        </is>
      </c>
      <c r="D1038" t="inlineStr">
        <is>
          <t>ISO 8</t>
        </is>
      </c>
      <c r="E1038" t="inlineStr">
        <is>
          <t>Compressed air</t>
        </is>
      </c>
      <c r="F1038" t="n">
        <v>0</v>
      </c>
      <c r="G1038" t="inlineStr">
        <is>
          <t>Tech B</t>
        </is>
      </c>
      <c r="H1038">
        <f>INDEX(Limits!$B$2:$B$5,MATCH(E1038,Limits!$A$2:$A$5,0))</f>
        <v/>
      </c>
      <c r="I1038">
        <f>INDEX(Limits!$C$2:$C$5,MATCH(E1038,Limits!$A$2:$A$5,0))</f>
        <v/>
      </c>
      <c r="J1038">
        <f>IF(F1038&gt;=I1038,"Action",IF(F1038&gt;=H1038,"Alert","Pass"))</f>
        <v/>
      </c>
      <c r="K1038" s="4">
        <f>DATE(YEAR(B1038),MONTH(B1038),1)</f>
        <v/>
      </c>
    </row>
    <row r="1039">
      <c r="A1039" t="inlineStr">
        <is>
          <t>EM001038</t>
        </is>
      </c>
      <c r="B1039" s="7" t="n">
        <v>46101</v>
      </c>
      <c r="C1039" t="inlineStr">
        <is>
          <t>CR-201</t>
        </is>
      </c>
      <c r="D1039" t="inlineStr">
        <is>
          <t>ISO 8</t>
        </is>
      </c>
      <c r="E1039" t="inlineStr">
        <is>
          <t>Personnel glove</t>
        </is>
      </c>
      <c r="F1039" t="n">
        <v>0</v>
      </c>
      <c r="G1039" t="inlineStr">
        <is>
          <t>Tech C</t>
        </is>
      </c>
      <c r="H1039">
        <f>INDEX(Limits!$B$2:$B$5,MATCH(E1039,Limits!$A$2:$A$5,0))</f>
        <v/>
      </c>
      <c r="I1039">
        <f>INDEX(Limits!$C$2:$C$5,MATCH(E1039,Limits!$A$2:$A$5,0))</f>
        <v/>
      </c>
      <c r="J1039">
        <f>IF(F1039&gt;=I1039,"Action",IF(F1039&gt;=H1039,"Alert","Pass"))</f>
        <v/>
      </c>
      <c r="K1039" s="4">
        <f>DATE(YEAR(B1039),MONTH(B1039),1)</f>
        <v/>
      </c>
    </row>
    <row r="1040">
      <c r="A1040" t="inlineStr">
        <is>
          <t>EM001039</t>
        </is>
      </c>
      <c r="B1040" s="7" t="n">
        <v>46101</v>
      </c>
      <c r="C1040" t="inlineStr">
        <is>
          <t>CR-202</t>
        </is>
      </c>
      <c r="D1040" t="inlineStr">
        <is>
          <t>ISO 8</t>
        </is>
      </c>
      <c r="E1040" t="inlineStr">
        <is>
          <t>Active air</t>
        </is>
      </c>
      <c r="F1040" t="n">
        <v>4</v>
      </c>
      <c r="G1040" t="inlineStr">
        <is>
          <t>Tech A</t>
        </is>
      </c>
      <c r="H1040">
        <f>INDEX(Limits!$B$2:$B$5,MATCH(E1040,Limits!$A$2:$A$5,0))</f>
        <v/>
      </c>
      <c r="I1040">
        <f>INDEX(Limits!$C$2:$C$5,MATCH(E1040,Limits!$A$2:$A$5,0))</f>
        <v/>
      </c>
      <c r="J1040">
        <f>IF(F1040&gt;=I1040,"Action",IF(F1040&gt;=H1040,"Alert","Pass"))</f>
        <v/>
      </c>
      <c r="K1040" s="4">
        <f>DATE(YEAR(B1040),MONTH(B1040),1)</f>
        <v/>
      </c>
    </row>
    <row r="1041">
      <c r="A1041" t="inlineStr">
        <is>
          <t>EM001040</t>
        </is>
      </c>
      <c r="B1041" s="7" t="n">
        <v>46101</v>
      </c>
      <c r="C1041" t="inlineStr">
        <is>
          <t>CR-202</t>
        </is>
      </c>
      <c r="D1041" t="inlineStr">
        <is>
          <t>ISO 8</t>
        </is>
      </c>
      <c r="E1041" t="inlineStr">
        <is>
          <t>Surface contact</t>
        </is>
      </c>
      <c r="F1041" t="n">
        <v>1</v>
      </c>
      <c r="G1041" t="inlineStr">
        <is>
          <t>Tech C</t>
        </is>
      </c>
      <c r="H1041">
        <f>INDEX(Limits!$B$2:$B$5,MATCH(E1041,Limits!$A$2:$A$5,0))</f>
        <v/>
      </c>
      <c r="I1041">
        <f>INDEX(Limits!$C$2:$C$5,MATCH(E1041,Limits!$A$2:$A$5,0))</f>
        <v/>
      </c>
      <c r="J1041">
        <f>IF(F1041&gt;=I1041,"Action",IF(F1041&gt;=H1041,"Alert","Pass"))</f>
        <v/>
      </c>
      <c r="K1041" s="4">
        <f>DATE(YEAR(B1041),MONTH(B1041),1)</f>
        <v/>
      </c>
    </row>
    <row r="1042">
      <c r="A1042" t="inlineStr">
        <is>
          <t>EM001041</t>
        </is>
      </c>
      <c r="B1042" s="7" t="n">
        <v>46101</v>
      </c>
      <c r="C1042" t="inlineStr">
        <is>
          <t>CR-202</t>
        </is>
      </c>
      <c r="D1042" t="inlineStr">
        <is>
          <t>ISO 8</t>
        </is>
      </c>
      <c r="E1042" t="inlineStr">
        <is>
          <t>Compressed air</t>
        </is>
      </c>
      <c r="F1042" t="n">
        <v>0</v>
      </c>
      <c r="G1042" t="inlineStr">
        <is>
          <t>Tech D</t>
        </is>
      </c>
      <c r="H1042">
        <f>INDEX(Limits!$B$2:$B$5,MATCH(E1042,Limits!$A$2:$A$5,0))</f>
        <v/>
      </c>
      <c r="I1042">
        <f>INDEX(Limits!$C$2:$C$5,MATCH(E1042,Limits!$A$2:$A$5,0))</f>
        <v/>
      </c>
      <c r="J1042">
        <f>IF(F1042&gt;=I1042,"Action",IF(F1042&gt;=H1042,"Alert","Pass"))</f>
        <v/>
      </c>
      <c r="K1042" s="4">
        <f>DATE(YEAR(B1042),MONTH(B1042),1)</f>
        <v/>
      </c>
    </row>
    <row r="1043">
      <c r="A1043" t="inlineStr">
        <is>
          <t>EM001042</t>
        </is>
      </c>
      <c r="B1043" s="7" t="n">
        <v>46101</v>
      </c>
      <c r="C1043" t="inlineStr">
        <is>
          <t>CR-202</t>
        </is>
      </c>
      <c r="D1043" t="inlineStr">
        <is>
          <t>ISO 8</t>
        </is>
      </c>
      <c r="E1043" t="inlineStr">
        <is>
          <t>Personnel glove</t>
        </is>
      </c>
      <c r="F1043" t="n">
        <v>0</v>
      </c>
      <c r="G1043" t="inlineStr">
        <is>
          <t>Tech B</t>
        </is>
      </c>
      <c r="H1043">
        <f>INDEX(Limits!$B$2:$B$5,MATCH(E1043,Limits!$A$2:$A$5,0))</f>
        <v/>
      </c>
      <c r="I1043">
        <f>INDEX(Limits!$C$2:$C$5,MATCH(E1043,Limits!$A$2:$A$5,0))</f>
        <v/>
      </c>
      <c r="J1043">
        <f>IF(F1043&gt;=I1043,"Action",IF(F1043&gt;=H1043,"Alert","Pass"))</f>
        <v/>
      </c>
      <c r="K1043" s="4">
        <f>DATE(YEAR(B1043),MONTH(B1043),1)</f>
        <v/>
      </c>
    </row>
    <row r="1044">
      <c r="A1044" t="inlineStr">
        <is>
          <t>EM001043</t>
        </is>
      </c>
      <c r="B1044" s="7" t="n">
        <v>46101</v>
      </c>
      <c r="C1044" t="inlineStr">
        <is>
          <t>Gowning</t>
        </is>
      </c>
      <c r="D1044" t="inlineStr">
        <is>
          <t>ISO 8</t>
        </is>
      </c>
      <c r="E1044" t="inlineStr">
        <is>
          <t>Active air</t>
        </is>
      </c>
      <c r="F1044" t="n">
        <v>0</v>
      </c>
      <c r="G1044" t="inlineStr">
        <is>
          <t>Tech D</t>
        </is>
      </c>
      <c r="H1044">
        <f>INDEX(Limits!$B$2:$B$5,MATCH(E1044,Limits!$A$2:$A$5,0))</f>
        <v/>
      </c>
      <c r="I1044">
        <f>INDEX(Limits!$C$2:$C$5,MATCH(E1044,Limits!$A$2:$A$5,0))</f>
        <v/>
      </c>
      <c r="J1044">
        <f>IF(F1044&gt;=I1044,"Action",IF(F1044&gt;=H1044,"Alert","Pass"))</f>
        <v/>
      </c>
      <c r="K1044" s="4">
        <f>DATE(YEAR(B1044),MONTH(B1044),1)</f>
        <v/>
      </c>
    </row>
    <row r="1045">
      <c r="A1045" t="inlineStr">
        <is>
          <t>EM001044</t>
        </is>
      </c>
      <c r="B1045" s="7" t="n">
        <v>46101</v>
      </c>
      <c r="C1045" t="inlineStr">
        <is>
          <t>Gowning</t>
        </is>
      </c>
      <c r="D1045" t="inlineStr">
        <is>
          <t>ISO 8</t>
        </is>
      </c>
      <c r="E1045" t="inlineStr">
        <is>
          <t>Surface contact</t>
        </is>
      </c>
      <c r="F1045" t="n">
        <v>1</v>
      </c>
      <c r="G1045" t="inlineStr">
        <is>
          <t>Tech A</t>
        </is>
      </c>
      <c r="H1045">
        <f>INDEX(Limits!$B$2:$B$5,MATCH(E1045,Limits!$A$2:$A$5,0))</f>
        <v/>
      </c>
      <c r="I1045">
        <f>INDEX(Limits!$C$2:$C$5,MATCH(E1045,Limits!$A$2:$A$5,0))</f>
        <v/>
      </c>
      <c r="J1045">
        <f>IF(F1045&gt;=I1045,"Action",IF(F1045&gt;=H1045,"Alert","Pass"))</f>
        <v/>
      </c>
      <c r="K1045" s="4">
        <f>DATE(YEAR(B1045),MONTH(B1045),1)</f>
        <v/>
      </c>
    </row>
    <row r="1046">
      <c r="A1046" t="inlineStr">
        <is>
          <t>EM001045</t>
        </is>
      </c>
      <c r="B1046" s="7" t="n">
        <v>46101</v>
      </c>
      <c r="C1046" t="inlineStr">
        <is>
          <t>Gowning</t>
        </is>
      </c>
      <c r="D1046" t="inlineStr">
        <is>
          <t>ISO 8</t>
        </is>
      </c>
      <c r="E1046" t="inlineStr">
        <is>
          <t>Personnel glove</t>
        </is>
      </c>
      <c r="F1046" t="n">
        <v>0</v>
      </c>
      <c r="G1046" t="inlineStr">
        <is>
          <t>Tech B</t>
        </is>
      </c>
      <c r="H1046">
        <f>INDEX(Limits!$B$2:$B$5,MATCH(E1046,Limits!$A$2:$A$5,0))</f>
        <v/>
      </c>
      <c r="I1046">
        <f>INDEX(Limits!$C$2:$C$5,MATCH(E1046,Limits!$A$2:$A$5,0))</f>
        <v/>
      </c>
      <c r="J1046">
        <f>IF(F1046&gt;=I1046,"Action",IF(F1046&gt;=H1046,"Alert","Pass"))</f>
        <v/>
      </c>
      <c r="K1046" s="4">
        <f>DATE(YEAR(B1046),MONTH(B1046),1)</f>
        <v/>
      </c>
    </row>
    <row r="1047">
      <c r="A1047" t="inlineStr">
        <is>
          <t>EM001046</t>
        </is>
      </c>
      <c r="B1047" s="7" t="n">
        <v>46104</v>
      </c>
      <c r="C1047" t="inlineStr">
        <is>
          <t>CR-101</t>
        </is>
      </c>
      <c r="D1047" t="inlineStr">
        <is>
          <t>ISO 7</t>
        </is>
      </c>
      <c r="E1047" t="inlineStr">
        <is>
          <t>Active air</t>
        </is>
      </c>
      <c r="F1047" t="n">
        <v>0</v>
      </c>
      <c r="G1047" t="inlineStr">
        <is>
          <t>Tech B</t>
        </is>
      </c>
      <c r="H1047">
        <f>INDEX(Limits!$B$2:$B$5,MATCH(E1047,Limits!$A$2:$A$5,0))</f>
        <v/>
      </c>
      <c r="I1047">
        <f>INDEX(Limits!$C$2:$C$5,MATCH(E1047,Limits!$A$2:$A$5,0))</f>
        <v/>
      </c>
      <c r="J1047">
        <f>IF(F1047&gt;=I1047,"Action",IF(F1047&gt;=H1047,"Alert","Pass"))</f>
        <v/>
      </c>
      <c r="K1047" s="4">
        <f>DATE(YEAR(B1047),MONTH(B1047),1)</f>
        <v/>
      </c>
    </row>
    <row r="1048">
      <c r="A1048" t="inlineStr">
        <is>
          <t>EM001047</t>
        </is>
      </c>
      <c r="B1048" s="7" t="n">
        <v>46104</v>
      </c>
      <c r="C1048" t="inlineStr">
        <is>
          <t>CR-101</t>
        </is>
      </c>
      <c r="D1048" t="inlineStr">
        <is>
          <t>ISO 7</t>
        </is>
      </c>
      <c r="E1048" t="inlineStr">
        <is>
          <t>Surface contact</t>
        </is>
      </c>
      <c r="F1048" t="n">
        <v>0</v>
      </c>
      <c r="G1048" t="inlineStr">
        <is>
          <t>Tech A</t>
        </is>
      </c>
      <c r="H1048">
        <f>INDEX(Limits!$B$2:$B$5,MATCH(E1048,Limits!$A$2:$A$5,0))</f>
        <v/>
      </c>
      <c r="I1048">
        <f>INDEX(Limits!$C$2:$C$5,MATCH(E1048,Limits!$A$2:$A$5,0))</f>
        <v/>
      </c>
      <c r="J1048">
        <f>IF(F1048&gt;=I1048,"Action",IF(F1048&gt;=H1048,"Alert","Pass"))</f>
        <v/>
      </c>
      <c r="K1048" s="4">
        <f>DATE(YEAR(B1048),MONTH(B1048),1)</f>
        <v/>
      </c>
    </row>
    <row r="1049">
      <c r="A1049" t="inlineStr">
        <is>
          <t>EM001048</t>
        </is>
      </c>
      <c r="B1049" s="7" t="n">
        <v>46104</v>
      </c>
      <c r="C1049" t="inlineStr">
        <is>
          <t>CR-101</t>
        </is>
      </c>
      <c r="D1049" t="inlineStr">
        <is>
          <t>ISO 7</t>
        </is>
      </c>
      <c r="E1049" t="inlineStr">
        <is>
          <t>Compressed air</t>
        </is>
      </c>
      <c r="F1049" t="n">
        <v>0</v>
      </c>
      <c r="G1049" t="inlineStr">
        <is>
          <t>Tech A</t>
        </is>
      </c>
      <c r="H1049">
        <f>INDEX(Limits!$B$2:$B$5,MATCH(E1049,Limits!$A$2:$A$5,0))</f>
        <v/>
      </c>
      <c r="I1049">
        <f>INDEX(Limits!$C$2:$C$5,MATCH(E1049,Limits!$A$2:$A$5,0))</f>
        <v/>
      </c>
      <c r="J1049">
        <f>IF(F1049&gt;=I1049,"Action",IF(F1049&gt;=H1049,"Alert","Pass"))</f>
        <v/>
      </c>
      <c r="K1049" s="4">
        <f>DATE(YEAR(B1049),MONTH(B1049),1)</f>
        <v/>
      </c>
    </row>
    <row r="1050">
      <c r="A1050" t="inlineStr">
        <is>
          <t>EM001049</t>
        </is>
      </c>
      <c r="B1050" s="7" t="n">
        <v>46104</v>
      </c>
      <c r="C1050" t="inlineStr">
        <is>
          <t>CR-101</t>
        </is>
      </c>
      <c r="D1050" t="inlineStr">
        <is>
          <t>ISO 7</t>
        </is>
      </c>
      <c r="E1050" t="inlineStr">
        <is>
          <t>Personnel glove</t>
        </is>
      </c>
      <c r="F1050" t="n">
        <v>0</v>
      </c>
      <c r="G1050" t="inlineStr">
        <is>
          <t>Tech A</t>
        </is>
      </c>
      <c r="H1050">
        <f>INDEX(Limits!$B$2:$B$5,MATCH(E1050,Limits!$A$2:$A$5,0))</f>
        <v/>
      </c>
      <c r="I1050">
        <f>INDEX(Limits!$C$2:$C$5,MATCH(E1050,Limits!$A$2:$A$5,0))</f>
        <v/>
      </c>
      <c r="J1050">
        <f>IF(F1050&gt;=I1050,"Action",IF(F1050&gt;=H1050,"Alert","Pass"))</f>
        <v/>
      </c>
      <c r="K1050" s="4">
        <f>DATE(YEAR(B1050),MONTH(B1050),1)</f>
        <v/>
      </c>
    </row>
    <row r="1051">
      <c r="A1051" t="inlineStr">
        <is>
          <t>EM001050</t>
        </is>
      </c>
      <c r="B1051" s="7" t="n">
        <v>46104</v>
      </c>
      <c r="C1051" t="inlineStr">
        <is>
          <t>CR-102</t>
        </is>
      </c>
      <c r="D1051" t="inlineStr">
        <is>
          <t>ISO 7</t>
        </is>
      </c>
      <c r="E1051" t="inlineStr">
        <is>
          <t>Active air</t>
        </is>
      </c>
      <c r="F1051" t="n">
        <v>1</v>
      </c>
      <c r="G1051" t="inlineStr">
        <is>
          <t>Tech D</t>
        </is>
      </c>
      <c r="H1051">
        <f>INDEX(Limits!$B$2:$B$5,MATCH(E1051,Limits!$A$2:$A$5,0))</f>
        <v/>
      </c>
      <c r="I1051">
        <f>INDEX(Limits!$C$2:$C$5,MATCH(E1051,Limits!$A$2:$A$5,0))</f>
        <v/>
      </c>
      <c r="J1051">
        <f>IF(F1051&gt;=I1051,"Action",IF(F1051&gt;=H1051,"Alert","Pass"))</f>
        <v/>
      </c>
      <c r="K1051" s="4">
        <f>DATE(YEAR(B1051),MONTH(B1051),1)</f>
        <v/>
      </c>
    </row>
    <row r="1052">
      <c r="A1052" t="inlineStr">
        <is>
          <t>EM001051</t>
        </is>
      </c>
      <c r="B1052" s="7" t="n">
        <v>46104</v>
      </c>
      <c r="C1052" t="inlineStr">
        <is>
          <t>CR-102</t>
        </is>
      </c>
      <c r="D1052" t="inlineStr">
        <is>
          <t>ISO 7</t>
        </is>
      </c>
      <c r="E1052" t="inlineStr">
        <is>
          <t>Surface contact</t>
        </is>
      </c>
      <c r="F1052" t="n">
        <v>0</v>
      </c>
      <c r="G1052" t="inlineStr">
        <is>
          <t>Tech B</t>
        </is>
      </c>
      <c r="H1052">
        <f>INDEX(Limits!$B$2:$B$5,MATCH(E1052,Limits!$A$2:$A$5,0))</f>
        <v/>
      </c>
      <c r="I1052">
        <f>INDEX(Limits!$C$2:$C$5,MATCH(E1052,Limits!$A$2:$A$5,0))</f>
        <v/>
      </c>
      <c r="J1052">
        <f>IF(F1052&gt;=I1052,"Action",IF(F1052&gt;=H1052,"Alert","Pass"))</f>
        <v/>
      </c>
      <c r="K1052" s="4">
        <f>DATE(YEAR(B1052),MONTH(B1052),1)</f>
        <v/>
      </c>
    </row>
    <row r="1053">
      <c r="A1053" t="inlineStr">
        <is>
          <t>EM001052</t>
        </is>
      </c>
      <c r="B1053" s="7" t="n">
        <v>46104</v>
      </c>
      <c r="C1053" t="inlineStr">
        <is>
          <t>CR-102</t>
        </is>
      </c>
      <c r="D1053" t="inlineStr">
        <is>
          <t>ISO 7</t>
        </is>
      </c>
      <c r="E1053" t="inlineStr">
        <is>
          <t>Compressed air</t>
        </is>
      </c>
      <c r="F1053" t="n">
        <v>0</v>
      </c>
      <c r="G1053" t="inlineStr">
        <is>
          <t>Tech D</t>
        </is>
      </c>
      <c r="H1053">
        <f>INDEX(Limits!$B$2:$B$5,MATCH(E1053,Limits!$A$2:$A$5,0))</f>
        <v/>
      </c>
      <c r="I1053">
        <f>INDEX(Limits!$C$2:$C$5,MATCH(E1053,Limits!$A$2:$A$5,0))</f>
        <v/>
      </c>
      <c r="J1053">
        <f>IF(F1053&gt;=I1053,"Action",IF(F1053&gt;=H1053,"Alert","Pass"))</f>
        <v/>
      </c>
      <c r="K1053" s="4">
        <f>DATE(YEAR(B1053),MONTH(B1053),1)</f>
        <v/>
      </c>
    </row>
    <row r="1054">
      <c r="A1054" t="inlineStr">
        <is>
          <t>EM001053</t>
        </is>
      </c>
      <c r="B1054" s="7" t="n">
        <v>46104</v>
      </c>
      <c r="C1054" t="inlineStr">
        <is>
          <t>CR-102</t>
        </is>
      </c>
      <c r="D1054" t="inlineStr">
        <is>
          <t>ISO 7</t>
        </is>
      </c>
      <c r="E1054" t="inlineStr">
        <is>
          <t>Personnel glove</t>
        </is>
      </c>
      <c r="F1054" t="n">
        <v>0</v>
      </c>
      <c r="G1054" t="inlineStr">
        <is>
          <t>Tech C</t>
        </is>
      </c>
      <c r="H1054">
        <f>INDEX(Limits!$B$2:$B$5,MATCH(E1054,Limits!$A$2:$A$5,0))</f>
        <v/>
      </c>
      <c r="I1054">
        <f>INDEX(Limits!$C$2:$C$5,MATCH(E1054,Limits!$A$2:$A$5,0))</f>
        <v/>
      </c>
      <c r="J1054">
        <f>IF(F1054&gt;=I1054,"Action",IF(F1054&gt;=H1054,"Alert","Pass"))</f>
        <v/>
      </c>
      <c r="K1054" s="4">
        <f>DATE(YEAR(B1054),MONTH(B1054),1)</f>
        <v/>
      </c>
    </row>
    <row r="1055">
      <c r="A1055" t="inlineStr">
        <is>
          <t>EM001054</t>
        </is>
      </c>
      <c r="B1055" s="7" t="n">
        <v>46104</v>
      </c>
      <c r="C1055" t="inlineStr">
        <is>
          <t>CR-201</t>
        </is>
      </c>
      <c r="D1055" t="inlineStr">
        <is>
          <t>ISO 8</t>
        </is>
      </c>
      <c r="E1055" t="inlineStr">
        <is>
          <t>Active air</t>
        </is>
      </c>
      <c r="F1055" t="n">
        <v>1</v>
      </c>
      <c r="G1055" t="inlineStr">
        <is>
          <t>Tech B</t>
        </is>
      </c>
      <c r="H1055">
        <f>INDEX(Limits!$B$2:$B$5,MATCH(E1055,Limits!$A$2:$A$5,0))</f>
        <v/>
      </c>
      <c r="I1055">
        <f>INDEX(Limits!$C$2:$C$5,MATCH(E1055,Limits!$A$2:$A$5,0))</f>
        <v/>
      </c>
      <c r="J1055">
        <f>IF(F1055&gt;=I1055,"Action",IF(F1055&gt;=H1055,"Alert","Pass"))</f>
        <v/>
      </c>
      <c r="K1055" s="4">
        <f>DATE(YEAR(B1055),MONTH(B1055),1)</f>
        <v/>
      </c>
    </row>
    <row r="1056">
      <c r="A1056" t="inlineStr">
        <is>
          <t>EM001055</t>
        </is>
      </c>
      <c r="B1056" s="7" t="n">
        <v>46104</v>
      </c>
      <c r="C1056" t="inlineStr">
        <is>
          <t>CR-201</t>
        </is>
      </c>
      <c r="D1056" t="inlineStr">
        <is>
          <t>ISO 8</t>
        </is>
      </c>
      <c r="E1056" t="inlineStr">
        <is>
          <t>Surface contact</t>
        </is>
      </c>
      <c r="F1056" t="n">
        <v>1</v>
      </c>
      <c r="G1056" t="inlineStr">
        <is>
          <t>Tech D</t>
        </is>
      </c>
      <c r="H1056">
        <f>INDEX(Limits!$B$2:$B$5,MATCH(E1056,Limits!$A$2:$A$5,0))</f>
        <v/>
      </c>
      <c r="I1056">
        <f>INDEX(Limits!$C$2:$C$5,MATCH(E1056,Limits!$A$2:$A$5,0))</f>
        <v/>
      </c>
      <c r="J1056">
        <f>IF(F1056&gt;=I1056,"Action",IF(F1056&gt;=H1056,"Alert","Pass"))</f>
        <v/>
      </c>
      <c r="K1056" s="4">
        <f>DATE(YEAR(B1056),MONTH(B1056),1)</f>
        <v/>
      </c>
    </row>
    <row r="1057">
      <c r="A1057" t="inlineStr">
        <is>
          <t>EM001056</t>
        </is>
      </c>
      <c r="B1057" s="7" t="n">
        <v>46104</v>
      </c>
      <c r="C1057" t="inlineStr">
        <is>
          <t>CR-201</t>
        </is>
      </c>
      <c r="D1057" t="inlineStr">
        <is>
          <t>ISO 8</t>
        </is>
      </c>
      <c r="E1057" t="inlineStr">
        <is>
          <t>Compressed air</t>
        </is>
      </c>
      <c r="F1057" t="n">
        <v>0</v>
      </c>
      <c r="G1057" t="inlineStr">
        <is>
          <t>Tech C</t>
        </is>
      </c>
      <c r="H1057">
        <f>INDEX(Limits!$B$2:$B$5,MATCH(E1057,Limits!$A$2:$A$5,0))</f>
        <v/>
      </c>
      <c r="I1057">
        <f>INDEX(Limits!$C$2:$C$5,MATCH(E1057,Limits!$A$2:$A$5,0))</f>
        <v/>
      </c>
      <c r="J1057">
        <f>IF(F1057&gt;=I1057,"Action",IF(F1057&gt;=H1057,"Alert","Pass"))</f>
        <v/>
      </c>
      <c r="K1057" s="4">
        <f>DATE(YEAR(B1057),MONTH(B1057),1)</f>
        <v/>
      </c>
    </row>
    <row r="1058">
      <c r="A1058" t="inlineStr">
        <is>
          <t>EM001057</t>
        </is>
      </c>
      <c r="B1058" s="7" t="n">
        <v>46104</v>
      </c>
      <c r="C1058" t="inlineStr">
        <is>
          <t>CR-201</t>
        </is>
      </c>
      <c r="D1058" t="inlineStr">
        <is>
          <t>ISO 8</t>
        </is>
      </c>
      <c r="E1058" t="inlineStr">
        <is>
          <t>Personnel glove</t>
        </is>
      </c>
      <c r="F1058" t="n">
        <v>0</v>
      </c>
      <c r="G1058" t="inlineStr">
        <is>
          <t>Tech D</t>
        </is>
      </c>
      <c r="H1058">
        <f>INDEX(Limits!$B$2:$B$5,MATCH(E1058,Limits!$A$2:$A$5,0))</f>
        <v/>
      </c>
      <c r="I1058">
        <f>INDEX(Limits!$C$2:$C$5,MATCH(E1058,Limits!$A$2:$A$5,0))</f>
        <v/>
      </c>
      <c r="J1058">
        <f>IF(F1058&gt;=I1058,"Action",IF(F1058&gt;=H1058,"Alert","Pass"))</f>
        <v/>
      </c>
      <c r="K1058" s="4">
        <f>DATE(YEAR(B1058),MONTH(B1058),1)</f>
        <v/>
      </c>
    </row>
    <row r="1059">
      <c r="A1059" t="inlineStr">
        <is>
          <t>EM001058</t>
        </is>
      </c>
      <c r="B1059" s="7" t="n">
        <v>46104</v>
      </c>
      <c r="C1059" t="inlineStr">
        <is>
          <t>CR-202</t>
        </is>
      </c>
      <c r="D1059" t="inlineStr">
        <is>
          <t>ISO 8</t>
        </is>
      </c>
      <c r="E1059" t="inlineStr">
        <is>
          <t>Active air</t>
        </is>
      </c>
      <c r="F1059" t="n">
        <v>3</v>
      </c>
      <c r="G1059" t="inlineStr">
        <is>
          <t>Tech D</t>
        </is>
      </c>
      <c r="H1059">
        <f>INDEX(Limits!$B$2:$B$5,MATCH(E1059,Limits!$A$2:$A$5,0))</f>
        <v/>
      </c>
      <c r="I1059">
        <f>INDEX(Limits!$C$2:$C$5,MATCH(E1059,Limits!$A$2:$A$5,0))</f>
        <v/>
      </c>
      <c r="J1059">
        <f>IF(F1059&gt;=I1059,"Action",IF(F1059&gt;=H1059,"Alert","Pass"))</f>
        <v/>
      </c>
      <c r="K1059" s="4">
        <f>DATE(YEAR(B1059),MONTH(B1059),1)</f>
        <v/>
      </c>
    </row>
    <row r="1060">
      <c r="A1060" t="inlineStr">
        <is>
          <t>EM001059</t>
        </is>
      </c>
      <c r="B1060" s="7" t="n">
        <v>46104</v>
      </c>
      <c r="C1060" t="inlineStr">
        <is>
          <t>CR-202</t>
        </is>
      </c>
      <c r="D1060" t="inlineStr">
        <is>
          <t>ISO 8</t>
        </is>
      </c>
      <c r="E1060" t="inlineStr">
        <is>
          <t>Surface contact</t>
        </is>
      </c>
      <c r="F1060" t="n">
        <v>0</v>
      </c>
      <c r="G1060" t="inlineStr">
        <is>
          <t>Tech C</t>
        </is>
      </c>
      <c r="H1060">
        <f>INDEX(Limits!$B$2:$B$5,MATCH(E1060,Limits!$A$2:$A$5,0))</f>
        <v/>
      </c>
      <c r="I1060">
        <f>INDEX(Limits!$C$2:$C$5,MATCH(E1060,Limits!$A$2:$A$5,0))</f>
        <v/>
      </c>
      <c r="J1060">
        <f>IF(F1060&gt;=I1060,"Action",IF(F1060&gt;=H1060,"Alert","Pass"))</f>
        <v/>
      </c>
      <c r="K1060" s="4">
        <f>DATE(YEAR(B1060),MONTH(B1060),1)</f>
        <v/>
      </c>
    </row>
    <row r="1061">
      <c r="A1061" t="inlineStr">
        <is>
          <t>EM001060</t>
        </is>
      </c>
      <c r="B1061" s="7" t="n">
        <v>46104</v>
      </c>
      <c r="C1061" t="inlineStr">
        <is>
          <t>CR-202</t>
        </is>
      </c>
      <c r="D1061" t="inlineStr">
        <is>
          <t>ISO 8</t>
        </is>
      </c>
      <c r="E1061" t="inlineStr">
        <is>
          <t>Compressed air</t>
        </is>
      </c>
      <c r="F1061" t="n">
        <v>0</v>
      </c>
      <c r="G1061" t="inlineStr">
        <is>
          <t>Tech D</t>
        </is>
      </c>
      <c r="H1061">
        <f>INDEX(Limits!$B$2:$B$5,MATCH(E1061,Limits!$A$2:$A$5,0))</f>
        <v/>
      </c>
      <c r="I1061">
        <f>INDEX(Limits!$C$2:$C$5,MATCH(E1061,Limits!$A$2:$A$5,0))</f>
        <v/>
      </c>
      <c r="J1061">
        <f>IF(F1061&gt;=I1061,"Action",IF(F1061&gt;=H1061,"Alert","Pass"))</f>
        <v/>
      </c>
      <c r="K1061" s="4">
        <f>DATE(YEAR(B1061),MONTH(B1061),1)</f>
        <v/>
      </c>
    </row>
    <row r="1062">
      <c r="A1062" t="inlineStr">
        <is>
          <t>EM001061</t>
        </is>
      </c>
      <c r="B1062" s="7" t="n">
        <v>46104</v>
      </c>
      <c r="C1062" t="inlineStr">
        <is>
          <t>CR-202</t>
        </is>
      </c>
      <c r="D1062" t="inlineStr">
        <is>
          <t>ISO 8</t>
        </is>
      </c>
      <c r="E1062" t="inlineStr">
        <is>
          <t>Personnel glove</t>
        </is>
      </c>
      <c r="F1062" t="n">
        <v>0</v>
      </c>
      <c r="G1062" t="inlineStr">
        <is>
          <t>Tech C</t>
        </is>
      </c>
      <c r="H1062">
        <f>INDEX(Limits!$B$2:$B$5,MATCH(E1062,Limits!$A$2:$A$5,0))</f>
        <v/>
      </c>
      <c r="I1062">
        <f>INDEX(Limits!$C$2:$C$5,MATCH(E1062,Limits!$A$2:$A$5,0))</f>
        <v/>
      </c>
      <c r="J1062">
        <f>IF(F1062&gt;=I1062,"Action",IF(F1062&gt;=H1062,"Alert","Pass"))</f>
        <v/>
      </c>
      <c r="K1062" s="4">
        <f>DATE(YEAR(B1062),MONTH(B1062),1)</f>
        <v/>
      </c>
    </row>
    <row r="1063">
      <c r="A1063" t="inlineStr">
        <is>
          <t>EM001062</t>
        </is>
      </c>
      <c r="B1063" s="7" t="n">
        <v>46104</v>
      </c>
      <c r="C1063" t="inlineStr">
        <is>
          <t>Gowning</t>
        </is>
      </c>
      <c r="D1063" t="inlineStr">
        <is>
          <t>ISO 8</t>
        </is>
      </c>
      <c r="E1063" t="inlineStr">
        <is>
          <t>Active air</t>
        </is>
      </c>
      <c r="F1063" t="n">
        <v>1</v>
      </c>
      <c r="G1063" t="inlineStr">
        <is>
          <t>Tech A</t>
        </is>
      </c>
      <c r="H1063">
        <f>INDEX(Limits!$B$2:$B$5,MATCH(E1063,Limits!$A$2:$A$5,0))</f>
        <v/>
      </c>
      <c r="I1063">
        <f>INDEX(Limits!$C$2:$C$5,MATCH(E1063,Limits!$A$2:$A$5,0))</f>
        <v/>
      </c>
      <c r="J1063">
        <f>IF(F1063&gt;=I1063,"Action",IF(F1063&gt;=H1063,"Alert","Pass"))</f>
        <v/>
      </c>
      <c r="K1063" s="4">
        <f>DATE(YEAR(B1063),MONTH(B1063),1)</f>
        <v/>
      </c>
    </row>
    <row r="1064">
      <c r="A1064" t="inlineStr">
        <is>
          <t>EM001063</t>
        </is>
      </c>
      <c r="B1064" s="7" t="n">
        <v>46104</v>
      </c>
      <c r="C1064" t="inlineStr">
        <is>
          <t>Gowning</t>
        </is>
      </c>
      <c r="D1064" t="inlineStr">
        <is>
          <t>ISO 8</t>
        </is>
      </c>
      <c r="E1064" t="inlineStr">
        <is>
          <t>Surface contact</t>
        </is>
      </c>
      <c r="F1064" t="n">
        <v>0</v>
      </c>
      <c r="G1064" t="inlineStr">
        <is>
          <t>Tech D</t>
        </is>
      </c>
      <c r="H1064">
        <f>INDEX(Limits!$B$2:$B$5,MATCH(E1064,Limits!$A$2:$A$5,0))</f>
        <v/>
      </c>
      <c r="I1064">
        <f>INDEX(Limits!$C$2:$C$5,MATCH(E1064,Limits!$A$2:$A$5,0))</f>
        <v/>
      </c>
      <c r="J1064">
        <f>IF(F1064&gt;=I1064,"Action",IF(F1064&gt;=H1064,"Alert","Pass"))</f>
        <v/>
      </c>
      <c r="K1064" s="4">
        <f>DATE(YEAR(B1064),MONTH(B1064),1)</f>
        <v/>
      </c>
    </row>
    <row r="1065">
      <c r="A1065" t="inlineStr">
        <is>
          <t>EM001064</t>
        </is>
      </c>
      <c r="B1065" s="7" t="n">
        <v>46104</v>
      </c>
      <c r="C1065" t="inlineStr">
        <is>
          <t>Gowning</t>
        </is>
      </c>
      <c r="D1065" t="inlineStr">
        <is>
          <t>ISO 8</t>
        </is>
      </c>
      <c r="E1065" t="inlineStr">
        <is>
          <t>Personnel glove</t>
        </is>
      </c>
      <c r="F1065" t="n">
        <v>0</v>
      </c>
      <c r="G1065" t="inlineStr">
        <is>
          <t>Tech B</t>
        </is>
      </c>
      <c r="H1065">
        <f>INDEX(Limits!$B$2:$B$5,MATCH(E1065,Limits!$A$2:$A$5,0))</f>
        <v/>
      </c>
      <c r="I1065">
        <f>INDEX(Limits!$C$2:$C$5,MATCH(E1065,Limits!$A$2:$A$5,0))</f>
        <v/>
      </c>
      <c r="J1065">
        <f>IF(F1065&gt;=I1065,"Action",IF(F1065&gt;=H1065,"Alert","Pass"))</f>
        <v/>
      </c>
      <c r="K1065" s="4">
        <f>DATE(YEAR(B1065),MONTH(B1065),1)</f>
        <v/>
      </c>
    </row>
    <row r="1066">
      <c r="A1066" t="inlineStr">
        <is>
          <t>EM001065</t>
        </is>
      </c>
      <c r="B1066" s="7" t="n">
        <v>46105</v>
      </c>
      <c r="C1066" t="inlineStr">
        <is>
          <t>CR-101</t>
        </is>
      </c>
      <c r="D1066" t="inlineStr">
        <is>
          <t>ISO 7</t>
        </is>
      </c>
      <c r="E1066" t="inlineStr">
        <is>
          <t>Active air</t>
        </is>
      </c>
      <c r="F1066" t="n">
        <v>0</v>
      </c>
      <c r="G1066" t="inlineStr">
        <is>
          <t>Tech D</t>
        </is>
      </c>
      <c r="H1066">
        <f>INDEX(Limits!$B$2:$B$5,MATCH(E1066,Limits!$A$2:$A$5,0))</f>
        <v/>
      </c>
      <c r="I1066">
        <f>INDEX(Limits!$C$2:$C$5,MATCH(E1066,Limits!$A$2:$A$5,0))</f>
        <v/>
      </c>
      <c r="J1066">
        <f>IF(F1066&gt;=I1066,"Action",IF(F1066&gt;=H1066,"Alert","Pass"))</f>
        <v/>
      </c>
      <c r="K1066" s="4">
        <f>DATE(YEAR(B1066),MONTH(B1066),1)</f>
        <v/>
      </c>
    </row>
    <row r="1067">
      <c r="A1067" t="inlineStr">
        <is>
          <t>EM001066</t>
        </is>
      </c>
      <c r="B1067" s="7" t="n">
        <v>46105</v>
      </c>
      <c r="C1067" t="inlineStr">
        <is>
          <t>CR-101</t>
        </is>
      </c>
      <c r="D1067" t="inlineStr">
        <is>
          <t>ISO 7</t>
        </is>
      </c>
      <c r="E1067" t="inlineStr">
        <is>
          <t>Surface contact</t>
        </is>
      </c>
      <c r="F1067" t="n">
        <v>1</v>
      </c>
      <c r="G1067" t="inlineStr">
        <is>
          <t>Tech C</t>
        </is>
      </c>
      <c r="H1067">
        <f>INDEX(Limits!$B$2:$B$5,MATCH(E1067,Limits!$A$2:$A$5,0))</f>
        <v/>
      </c>
      <c r="I1067">
        <f>INDEX(Limits!$C$2:$C$5,MATCH(E1067,Limits!$A$2:$A$5,0))</f>
        <v/>
      </c>
      <c r="J1067">
        <f>IF(F1067&gt;=I1067,"Action",IF(F1067&gt;=H1067,"Alert","Pass"))</f>
        <v/>
      </c>
      <c r="K1067" s="4">
        <f>DATE(YEAR(B1067),MONTH(B1067),1)</f>
        <v/>
      </c>
    </row>
    <row r="1068">
      <c r="A1068" t="inlineStr">
        <is>
          <t>EM001067</t>
        </is>
      </c>
      <c r="B1068" s="7" t="n">
        <v>46105</v>
      </c>
      <c r="C1068" t="inlineStr">
        <is>
          <t>CR-101</t>
        </is>
      </c>
      <c r="D1068" t="inlineStr">
        <is>
          <t>ISO 7</t>
        </is>
      </c>
      <c r="E1068" t="inlineStr">
        <is>
          <t>Compressed air</t>
        </is>
      </c>
      <c r="F1068" t="n">
        <v>0</v>
      </c>
      <c r="G1068" t="inlineStr">
        <is>
          <t>Tech C</t>
        </is>
      </c>
      <c r="H1068">
        <f>INDEX(Limits!$B$2:$B$5,MATCH(E1068,Limits!$A$2:$A$5,0))</f>
        <v/>
      </c>
      <c r="I1068">
        <f>INDEX(Limits!$C$2:$C$5,MATCH(E1068,Limits!$A$2:$A$5,0))</f>
        <v/>
      </c>
      <c r="J1068">
        <f>IF(F1068&gt;=I1068,"Action",IF(F1068&gt;=H1068,"Alert","Pass"))</f>
        <v/>
      </c>
      <c r="K1068" s="4">
        <f>DATE(YEAR(B1068),MONTH(B1068),1)</f>
        <v/>
      </c>
    </row>
    <row r="1069">
      <c r="A1069" t="inlineStr">
        <is>
          <t>EM001068</t>
        </is>
      </c>
      <c r="B1069" s="7" t="n">
        <v>46105</v>
      </c>
      <c r="C1069" t="inlineStr">
        <is>
          <t>CR-101</t>
        </is>
      </c>
      <c r="D1069" t="inlineStr">
        <is>
          <t>ISO 7</t>
        </is>
      </c>
      <c r="E1069" t="inlineStr">
        <is>
          <t>Personnel glove</t>
        </is>
      </c>
      <c r="F1069" t="n">
        <v>0</v>
      </c>
      <c r="G1069" t="inlineStr">
        <is>
          <t>Tech C</t>
        </is>
      </c>
      <c r="H1069">
        <f>INDEX(Limits!$B$2:$B$5,MATCH(E1069,Limits!$A$2:$A$5,0))</f>
        <v/>
      </c>
      <c r="I1069">
        <f>INDEX(Limits!$C$2:$C$5,MATCH(E1069,Limits!$A$2:$A$5,0))</f>
        <v/>
      </c>
      <c r="J1069">
        <f>IF(F1069&gt;=I1069,"Action",IF(F1069&gt;=H1069,"Alert","Pass"))</f>
        <v/>
      </c>
      <c r="K1069" s="4">
        <f>DATE(YEAR(B1069),MONTH(B1069),1)</f>
        <v/>
      </c>
    </row>
    <row r="1070">
      <c r="A1070" t="inlineStr">
        <is>
          <t>EM001069</t>
        </is>
      </c>
      <c r="B1070" s="7" t="n">
        <v>46105</v>
      </c>
      <c r="C1070" t="inlineStr">
        <is>
          <t>CR-102</t>
        </is>
      </c>
      <c r="D1070" t="inlineStr">
        <is>
          <t>ISO 7</t>
        </is>
      </c>
      <c r="E1070" t="inlineStr">
        <is>
          <t>Active air</t>
        </is>
      </c>
      <c r="F1070" t="n">
        <v>2</v>
      </c>
      <c r="G1070" t="inlineStr">
        <is>
          <t>Tech C</t>
        </is>
      </c>
      <c r="H1070">
        <f>INDEX(Limits!$B$2:$B$5,MATCH(E1070,Limits!$A$2:$A$5,0))</f>
        <v/>
      </c>
      <c r="I1070">
        <f>INDEX(Limits!$C$2:$C$5,MATCH(E1070,Limits!$A$2:$A$5,0))</f>
        <v/>
      </c>
      <c r="J1070">
        <f>IF(F1070&gt;=I1070,"Action",IF(F1070&gt;=H1070,"Alert","Pass"))</f>
        <v/>
      </c>
      <c r="K1070" s="4">
        <f>DATE(YEAR(B1070),MONTH(B1070),1)</f>
        <v/>
      </c>
    </row>
    <row r="1071">
      <c r="A1071" t="inlineStr">
        <is>
          <t>EM001070</t>
        </is>
      </c>
      <c r="B1071" s="7" t="n">
        <v>46105</v>
      </c>
      <c r="C1071" t="inlineStr">
        <is>
          <t>CR-102</t>
        </is>
      </c>
      <c r="D1071" t="inlineStr">
        <is>
          <t>ISO 7</t>
        </is>
      </c>
      <c r="E1071" t="inlineStr">
        <is>
          <t>Surface contact</t>
        </is>
      </c>
      <c r="F1071" t="n">
        <v>3</v>
      </c>
      <c r="G1071" t="inlineStr">
        <is>
          <t>Tech D</t>
        </is>
      </c>
      <c r="H1071">
        <f>INDEX(Limits!$B$2:$B$5,MATCH(E1071,Limits!$A$2:$A$5,0))</f>
        <v/>
      </c>
      <c r="I1071">
        <f>INDEX(Limits!$C$2:$C$5,MATCH(E1071,Limits!$A$2:$A$5,0))</f>
        <v/>
      </c>
      <c r="J1071">
        <f>IF(F1071&gt;=I1071,"Action",IF(F1071&gt;=H1071,"Alert","Pass"))</f>
        <v/>
      </c>
      <c r="K1071" s="4">
        <f>DATE(YEAR(B1071),MONTH(B1071),1)</f>
        <v/>
      </c>
    </row>
    <row r="1072">
      <c r="A1072" t="inlineStr">
        <is>
          <t>EM001071</t>
        </is>
      </c>
      <c r="B1072" s="7" t="n">
        <v>46105</v>
      </c>
      <c r="C1072" t="inlineStr">
        <is>
          <t>CR-102</t>
        </is>
      </c>
      <c r="D1072" t="inlineStr">
        <is>
          <t>ISO 7</t>
        </is>
      </c>
      <c r="E1072" t="inlineStr">
        <is>
          <t>Compressed air</t>
        </is>
      </c>
      <c r="F1072" t="n">
        <v>0</v>
      </c>
      <c r="G1072" t="inlineStr">
        <is>
          <t>Tech A</t>
        </is>
      </c>
      <c r="H1072">
        <f>INDEX(Limits!$B$2:$B$5,MATCH(E1072,Limits!$A$2:$A$5,0))</f>
        <v/>
      </c>
      <c r="I1072">
        <f>INDEX(Limits!$C$2:$C$5,MATCH(E1072,Limits!$A$2:$A$5,0))</f>
        <v/>
      </c>
      <c r="J1072">
        <f>IF(F1072&gt;=I1072,"Action",IF(F1072&gt;=H1072,"Alert","Pass"))</f>
        <v/>
      </c>
      <c r="K1072" s="4">
        <f>DATE(YEAR(B1072),MONTH(B1072),1)</f>
        <v/>
      </c>
    </row>
    <row r="1073">
      <c r="A1073" t="inlineStr">
        <is>
          <t>EM001072</t>
        </is>
      </c>
      <c r="B1073" s="7" t="n">
        <v>46105</v>
      </c>
      <c r="C1073" t="inlineStr">
        <is>
          <t>CR-102</t>
        </is>
      </c>
      <c r="D1073" t="inlineStr">
        <is>
          <t>ISO 7</t>
        </is>
      </c>
      <c r="E1073" t="inlineStr">
        <is>
          <t>Personnel glove</t>
        </is>
      </c>
      <c r="F1073" t="n">
        <v>0</v>
      </c>
      <c r="G1073" t="inlineStr">
        <is>
          <t>Tech C</t>
        </is>
      </c>
      <c r="H1073">
        <f>INDEX(Limits!$B$2:$B$5,MATCH(E1073,Limits!$A$2:$A$5,0))</f>
        <v/>
      </c>
      <c r="I1073">
        <f>INDEX(Limits!$C$2:$C$5,MATCH(E1073,Limits!$A$2:$A$5,0))</f>
        <v/>
      </c>
      <c r="J1073">
        <f>IF(F1073&gt;=I1073,"Action",IF(F1073&gt;=H1073,"Alert","Pass"))</f>
        <v/>
      </c>
      <c r="K1073" s="4">
        <f>DATE(YEAR(B1073),MONTH(B1073),1)</f>
        <v/>
      </c>
    </row>
    <row r="1074">
      <c r="A1074" t="inlineStr">
        <is>
          <t>EM001073</t>
        </is>
      </c>
      <c r="B1074" s="7" t="n">
        <v>46105</v>
      </c>
      <c r="C1074" t="inlineStr">
        <is>
          <t>CR-201</t>
        </is>
      </c>
      <c r="D1074" t="inlineStr">
        <is>
          <t>ISO 8</t>
        </is>
      </c>
      <c r="E1074" t="inlineStr">
        <is>
          <t>Active air</t>
        </is>
      </c>
      <c r="F1074" t="n">
        <v>2</v>
      </c>
      <c r="G1074" t="inlineStr">
        <is>
          <t>Tech D</t>
        </is>
      </c>
      <c r="H1074">
        <f>INDEX(Limits!$B$2:$B$5,MATCH(E1074,Limits!$A$2:$A$5,0))</f>
        <v/>
      </c>
      <c r="I1074">
        <f>INDEX(Limits!$C$2:$C$5,MATCH(E1074,Limits!$A$2:$A$5,0))</f>
        <v/>
      </c>
      <c r="J1074">
        <f>IF(F1074&gt;=I1074,"Action",IF(F1074&gt;=H1074,"Alert","Pass"))</f>
        <v/>
      </c>
      <c r="K1074" s="4">
        <f>DATE(YEAR(B1074),MONTH(B1074),1)</f>
        <v/>
      </c>
    </row>
    <row r="1075">
      <c r="A1075" t="inlineStr">
        <is>
          <t>EM001074</t>
        </is>
      </c>
      <c r="B1075" s="7" t="n">
        <v>46105</v>
      </c>
      <c r="C1075" t="inlineStr">
        <is>
          <t>CR-201</t>
        </is>
      </c>
      <c r="D1075" t="inlineStr">
        <is>
          <t>ISO 8</t>
        </is>
      </c>
      <c r="E1075" t="inlineStr">
        <is>
          <t>Surface contact</t>
        </is>
      </c>
      <c r="F1075" t="n">
        <v>1</v>
      </c>
      <c r="G1075" t="inlineStr">
        <is>
          <t>Tech B</t>
        </is>
      </c>
      <c r="H1075">
        <f>INDEX(Limits!$B$2:$B$5,MATCH(E1075,Limits!$A$2:$A$5,0))</f>
        <v/>
      </c>
      <c r="I1075">
        <f>INDEX(Limits!$C$2:$C$5,MATCH(E1075,Limits!$A$2:$A$5,0))</f>
        <v/>
      </c>
      <c r="J1075">
        <f>IF(F1075&gt;=I1075,"Action",IF(F1075&gt;=H1075,"Alert","Pass"))</f>
        <v/>
      </c>
      <c r="K1075" s="4">
        <f>DATE(YEAR(B1075),MONTH(B1075),1)</f>
        <v/>
      </c>
    </row>
    <row r="1076">
      <c r="A1076" t="inlineStr">
        <is>
          <t>EM001075</t>
        </is>
      </c>
      <c r="B1076" s="7" t="n">
        <v>46105</v>
      </c>
      <c r="C1076" t="inlineStr">
        <is>
          <t>CR-201</t>
        </is>
      </c>
      <c r="D1076" t="inlineStr">
        <is>
          <t>ISO 8</t>
        </is>
      </c>
      <c r="E1076" t="inlineStr">
        <is>
          <t>Compressed air</t>
        </is>
      </c>
      <c r="F1076" t="n">
        <v>0</v>
      </c>
      <c r="G1076" t="inlineStr">
        <is>
          <t>Tech D</t>
        </is>
      </c>
      <c r="H1076">
        <f>INDEX(Limits!$B$2:$B$5,MATCH(E1076,Limits!$A$2:$A$5,0))</f>
        <v/>
      </c>
      <c r="I1076">
        <f>INDEX(Limits!$C$2:$C$5,MATCH(E1076,Limits!$A$2:$A$5,0))</f>
        <v/>
      </c>
      <c r="J1076">
        <f>IF(F1076&gt;=I1076,"Action",IF(F1076&gt;=H1076,"Alert","Pass"))</f>
        <v/>
      </c>
      <c r="K1076" s="4">
        <f>DATE(YEAR(B1076),MONTH(B1076),1)</f>
        <v/>
      </c>
    </row>
    <row r="1077">
      <c r="A1077" t="inlineStr">
        <is>
          <t>EM001076</t>
        </is>
      </c>
      <c r="B1077" s="7" t="n">
        <v>46105</v>
      </c>
      <c r="C1077" t="inlineStr">
        <is>
          <t>CR-201</t>
        </is>
      </c>
      <c r="D1077" t="inlineStr">
        <is>
          <t>ISO 8</t>
        </is>
      </c>
      <c r="E1077" t="inlineStr">
        <is>
          <t>Personnel glove</t>
        </is>
      </c>
      <c r="F1077" t="n">
        <v>0</v>
      </c>
      <c r="G1077" t="inlineStr">
        <is>
          <t>Tech C</t>
        </is>
      </c>
      <c r="H1077">
        <f>INDEX(Limits!$B$2:$B$5,MATCH(E1077,Limits!$A$2:$A$5,0))</f>
        <v/>
      </c>
      <c r="I1077">
        <f>INDEX(Limits!$C$2:$C$5,MATCH(E1077,Limits!$A$2:$A$5,0))</f>
        <v/>
      </c>
      <c r="J1077">
        <f>IF(F1077&gt;=I1077,"Action",IF(F1077&gt;=H1077,"Alert","Pass"))</f>
        <v/>
      </c>
      <c r="K1077" s="4">
        <f>DATE(YEAR(B1077),MONTH(B1077),1)</f>
        <v/>
      </c>
    </row>
    <row r="1078">
      <c r="A1078" t="inlineStr">
        <is>
          <t>EM001077</t>
        </is>
      </c>
      <c r="B1078" s="7" t="n">
        <v>46105</v>
      </c>
      <c r="C1078" t="inlineStr">
        <is>
          <t>CR-202</t>
        </is>
      </c>
      <c r="D1078" t="inlineStr">
        <is>
          <t>ISO 8</t>
        </is>
      </c>
      <c r="E1078" t="inlineStr">
        <is>
          <t>Active air</t>
        </is>
      </c>
      <c r="F1078" t="n">
        <v>3</v>
      </c>
      <c r="G1078" t="inlineStr">
        <is>
          <t>Tech C</t>
        </is>
      </c>
      <c r="H1078">
        <f>INDEX(Limits!$B$2:$B$5,MATCH(E1078,Limits!$A$2:$A$5,0))</f>
        <v/>
      </c>
      <c r="I1078">
        <f>INDEX(Limits!$C$2:$C$5,MATCH(E1078,Limits!$A$2:$A$5,0))</f>
        <v/>
      </c>
      <c r="J1078">
        <f>IF(F1078&gt;=I1078,"Action",IF(F1078&gt;=H1078,"Alert","Pass"))</f>
        <v/>
      </c>
      <c r="K1078" s="4">
        <f>DATE(YEAR(B1078),MONTH(B1078),1)</f>
        <v/>
      </c>
    </row>
    <row r="1079">
      <c r="A1079" t="inlineStr">
        <is>
          <t>EM001078</t>
        </is>
      </c>
      <c r="B1079" s="7" t="n">
        <v>46105</v>
      </c>
      <c r="C1079" t="inlineStr">
        <is>
          <t>CR-202</t>
        </is>
      </c>
      <c r="D1079" t="inlineStr">
        <is>
          <t>ISO 8</t>
        </is>
      </c>
      <c r="E1079" t="inlineStr">
        <is>
          <t>Surface contact</t>
        </is>
      </c>
      <c r="F1079" t="n">
        <v>0</v>
      </c>
      <c r="G1079" t="inlineStr">
        <is>
          <t>Tech B</t>
        </is>
      </c>
      <c r="H1079">
        <f>INDEX(Limits!$B$2:$B$5,MATCH(E1079,Limits!$A$2:$A$5,0))</f>
        <v/>
      </c>
      <c r="I1079">
        <f>INDEX(Limits!$C$2:$C$5,MATCH(E1079,Limits!$A$2:$A$5,0))</f>
        <v/>
      </c>
      <c r="J1079">
        <f>IF(F1079&gt;=I1079,"Action",IF(F1079&gt;=H1079,"Alert","Pass"))</f>
        <v/>
      </c>
      <c r="K1079" s="4">
        <f>DATE(YEAR(B1079),MONTH(B1079),1)</f>
        <v/>
      </c>
    </row>
    <row r="1080">
      <c r="A1080" t="inlineStr">
        <is>
          <t>EM001079</t>
        </is>
      </c>
      <c r="B1080" s="7" t="n">
        <v>46105</v>
      </c>
      <c r="C1080" t="inlineStr">
        <is>
          <t>CR-202</t>
        </is>
      </c>
      <c r="D1080" t="inlineStr">
        <is>
          <t>ISO 8</t>
        </is>
      </c>
      <c r="E1080" t="inlineStr">
        <is>
          <t>Compressed air</t>
        </is>
      </c>
      <c r="F1080" t="n">
        <v>0</v>
      </c>
      <c r="G1080" t="inlineStr">
        <is>
          <t>Tech C</t>
        </is>
      </c>
      <c r="H1080">
        <f>INDEX(Limits!$B$2:$B$5,MATCH(E1080,Limits!$A$2:$A$5,0))</f>
        <v/>
      </c>
      <c r="I1080">
        <f>INDEX(Limits!$C$2:$C$5,MATCH(E1080,Limits!$A$2:$A$5,0))</f>
        <v/>
      </c>
      <c r="J1080">
        <f>IF(F1080&gt;=I1080,"Action",IF(F1080&gt;=H1080,"Alert","Pass"))</f>
        <v/>
      </c>
      <c r="K1080" s="4">
        <f>DATE(YEAR(B1080),MONTH(B1080),1)</f>
        <v/>
      </c>
    </row>
    <row r="1081">
      <c r="A1081" t="inlineStr">
        <is>
          <t>EM001080</t>
        </is>
      </c>
      <c r="B1081" s="7" t="n">
        <v>46105</v>
      </c>
      <c r="C1081" t="inlineStr">
        <is>
          <t>CR-202</t>
        </is>
      </c>
      <c r="D1081" t="inlineStr">
        <is>
          <t>ISO 8</t>
        </is>
      </c>
      <c r="E1081" t="inlineStr">
        <is>
          <t>Personnel glove</t>
        </is>
      </c>
      <c r="F1081" t="n">
        <v>0</v>
      </c>
      <c r="G1081" t="inlineStr">
        <is>
          <t>Tech A</t>
        </is>
      </c>
      <c r="H1081">
        <f>INDEX(Limits!$B$2:$B$5,MATCH(E1081,Limits!$A$2:$A$5,0))</f>
        <v/>
      </c>
      <c r="I1081">
        <f>INDEX(Limits!$C$2:$C$5,MATCH(E1081,Limits!$A$2:$A$5,0))</f>
        <v/>
      </c>
      <c r="J1081">
        <f>IF(F1081&gt;=I1081,"Action",IF(F1081&gt;=H1081,"Alert","Pass"))</f>
        <v/>
      </c>
      <c r="K1081" s="4">
        <f>DATE(YEAR(B1081),MONTH(B1081),1)</f>
        <v/>
      </c>
    </row>
    <row r="1082">
      <c r="A1082" t="inlineStr">
        <is>
          <t>EM001081</t>
        </is>
      </c>
      <c r="B1082" s="7" t="n">
        <v>46105</v>
      </c>
      <c r="C1082" t="inlineStr">
        <is>
          <t>Gowning</t>
        </is>
      </c>
      <c r="D1082" t="inlineStr">
        <is>
          <t>ISO 8</t>
        </is>
      </c>
      <c r="E1082" t="inlineStr">
        <is>
          <t>Active air</t>
        </is>
      </c>
      <c r="F1082" t="n">
        <v>2</v>
      </c>
      <c r="G1082" t="inlineStr">
        <is>
          <t>Tech C</t>
        </is>
      </c>
      <c r="H1082">
        <f>INDEX(Limits!$B$2:$B$5,MATCH(E1082,Limits!$A$2:$A$5,0))</f>
        <v/>
      </c>
      <c r="I1082">
        <f>INDEX(Limits!$C$2:$C$5,MATCH(E1082,Limits!$A$2:$A$5,0))</f>
        <v/>
      </c>
      <c r="J1082">
        <f>IF(F1082&gt;=I1082,"Action",IF(F1082&gt;=H1082,"Alert","Pass"))</f>
        <v/>
      </c>
      <c r="K1082" s="4">
        <f>DATE(YEAR(B1082),MONTH(B1082),1)</f>
        <v/>
      </c>
    </row>
    <row r="1083">
      <c r="A1083" t="inlineStr">
        <is>
          <t>EM001082</t>
        </is>
      </c>
      <c r="B1083" s="7" t="n">
        <v>46105</v>
      </c>
      <c r="C1083" t="inlineStr">
        <is>
          <t>Gowning</t>
        </is>
      </c>
      <c r="D1083" t="inlineStr">
        <is>
          <t>ISO 8</t>
        </is>
      </c>
      <c r="E1083" t="inlineStr">
        <is>
          <t>Surface contact</t>
        </is>
      </c>
      <c r="F1083" t="n">
        <v>1</v>
      </c>
      <c r="G1083" t="inlineStr">
        <is>
          <t>Tech C</t>
        </is>
      </c>
      <c r="H1083">
        <f>INDEX(Limits!$B$2:$B$5,MATCH(E1083,Limits!$A$2:$A$5,0))</f>
        <v/>
      </c>
      <c r="I1083">
        <f>INDEX(Limits!$C$2:$C$5,MATCH(E1083,Limits!$A$2:$A$5,0))</f>
        <v/>
      </c>
      <c r="J1083">
        <f>IF(F1083&gt;=I1083,"Action",IF(F1083&gt;=H1083,"Alert","Pass"))</f>
        <v/>
      </c>
      <c r="K1083" s="4">
        <f>DATE(YEAR(B1083),MONTH(B1083),1)</f>
        <v/>
      </c>
    </row>
    <row r="1084">
      <c r="A1084" t="inlineStr">
        <is>
          <t>EM001083</t>
        </is>
      </c>
      <c r="B1084" s="7" t="n">
        <v>46105</v>
      </c>
      <c r="C1084" t="inlineStr">
        <is>
          <t>Gowning</t>
        </is>
      </c>
      <c r="D1084" t="inlineStr">
        <is>
          <t>ISO 8</t>
        </is>
      </c>
      <c r="E1084" t="inlineStr">
        <is>
          <t>Personnel glove</t>
        </is>
      </c>
      <c r="F1084" t="n">
        <v>0</v>
      </c>
      <c r="G1084" t="inlineStr">
        <is>
          <t>Tech A</t>
        </is>
      </c>
      <c r="H1084">
        <f>INDEX(Limits!$B$2:$B$5,MATCH(E1084,Limits!$A$2:$A$5,0))</f>
        <v/>
      </c>
      <c r="I1084">
        <f>INDEX(Limits!$C$2:$C$5,MATCH(E1084,Limits!$A$2:$A$5,0))</f>
        <v/>
      </c>
      <c r="J1084">
        <f>IF(F1084&gt;=I1084,"Action",IF(F1084&gt;=H1084,"Alert","Pass"))</f>
        <v/>
      </c>
      <c r="K1084" s="4">
        <f>DATE(YEAR(B1084),MONTH(B1084),1)</f>
        <v/>
      </c>
    </row>
    <row r="1085">
      <c r="A1085" t="inlineStr">
        <is>
          <t>EM001084</t>
        </is>
      </c>
      <c r="B1085" s="7" t="n">
        <v>46106</v>
      </c>
      <c r="C1085" t="inlineStr">
        <is>
          <t>CR-101</t>
        </is>
      </c>
      <c r="D1085" t="inlineStr">
        <is>
          <t>ISO 7</t>
        </is>
      </c>
      <c r="E1085" t="inlineStr">
        <is>
          <t>Active air</t>
        </is>
      </c>
      <c r="F1085" t="n">
        <v>2</v>
      </c>
      <c r="G1085" t="inlineStr">
        <is>
          <t>Tech D</t>
        </is>
      </c>
      <c r="H1085">
        <f>INDEX(Limits!$B$2:$B$5,MATCH(E1085,Limits!$A$2:$A$5,0))</f>
        <v/>
      </c>
      <c r="I1085">
        <f>INDEX(Limits!$C$2:$C$5,MATCH(E1085,Limits!$A$2:$A$5,0))</f>
        <v/>
      </c>
      <c r="J1085">
        <f>IF(F1085&gt;=I1085,"Action",IF(F1085&gt;=H1085,"Alert","Pass"))</f>
        <v/>
      </c>
      <c r="K1085" s="4">
        <f>DATE(YEAR(B1085),MONTH(B1085),1)</f>
        <v/>
      </c>
    </row>
    <row r="1086">
      <c r="A1086" t="inlineStr">
        <is>
          <t>EM001085</t>
        </is>
      </c>
      <c r="B1086" s="7" t="n">
        <v>46106</v>
      </c>
      <c r="C1086" t="inlineStr">
        <is>
          <t>CR-101</t>
        </is>
      </c>
      <c r="D1086" t="inlineStr">
        <is>
          <t>ISO 7</t>
        </is>
      </c>
      <c r="E1086" t="inlineStr">
        <is>
          <t>Surface contact</t>
        </is>
      </c>
      <c r="F1086" t="n">
        <v>0</v>
      </c>
      <c r="G1086" t="inlineStr">
        <is>
          <t>Tech C</t>
        </is>
      </c>
      <c r="H1086">
        <f>INDEX(Limits!$B$2:$B$5,MATCH(E1086,Limits!$A$2:$A$5,0))</f>
        <v/>
      </c>
      <c r="I1086">
        <f>INDEX(Limits!$C$2:$C$5,MATCH(E1086,Limits!$A$2:$A$5,0))</f>
        <v/>
      </c>
      <c r="J1086">
        <f>IF(F1086&gt;=I1086,"Action",IF(F1086&gt;=H1086,"Alert","Pass"))</f>
        <v/>
      </c>
      <c r="K1086" s="4">
        <f>DATE(YEAR(B1086),MONTH(B1086),1)</f>
        <v/>
      </c>
    </row>
    <row r="1087">
      <c r="A1087" t="inlineStr">
        <is>
          <t>EM001086</t>
        </is>
      </c>
      <c r="B1087" s="7" t="n">
        <v>46106</v>
      </c>
      <c r="C1087" t="inlineStr">
        <is>
          <t>CR-101</t>
        </is>
      </c>
      <c r="D1087" t="inlineStr">
        <is>
          <t>ISO 7</t>
        </is>
      </c>
      <c r="E1087" t="inlineStr">
        <is>
          <t>Compressed air</t>
        </is>
      </c>
      <c r="F1087" t="n">
        <v>0</v>
      </c>
      <c r="G1087" t="inlineStr">
        <is>
          <t>Tech D</t>
        </is>
      </c>
      <c r="H1087">
        <f>INDEX(Limits!$B$2:$B$5,MATCH(E1087,Limits!$A$2:$A$5,0))</f>
        <v/>
      </c>
      <c r="I1087">
        <f>INDEX(Limits!$C$2:$C$5,MATCH(E1087,Limits!$A$2:$A$5,0))</f>
        <v/>
      </c>
      <c r="J1087">
        <f>IF(F1087&gt;=I1087,"Action",IF(F1087&gt;=H1087,"Alert","Pass"))</f>
        <v/>
      </c>
      <c r="K1087" s="4">
        <f>DATE(YEAR(B1087),MONTH(B1087),1)</f>
        <v/>
      </c>
    </row>
    <row r="1088">
      <c r="A1088" t="inlineStr">
        <is>
          <t>EM001087</t>
        </is>
      </c>
      <c r="B1088" s="7" t="n">
        <v>46106</v>
      </c>
      <c r="C1088" t="inlineStr">
        <is>
          <t>CR-101</t>
        </is>
      </c>
      <c r="D1088" t="inlineStr">
        <is>
          <t>ISO 7</t>
        </is>
      </c>
      <c r="E1088" t="inlineStr">
        <is>
          <t>Personnel glove</t>
        </is>
      </c>
      <c r="F1088" t="n">
        <v>0</v>
      </c>
      <c r="G1088" t="inlineStr">
        <is>
          <t>Tech B</t>
        </is>
      </c>
      <c r="H1088">
        <f>INDEX(Limits!$B$2:$B$5,MATCH(E1088,Limits!$A$2:$A$5,0))</f>
        <v/>
      </c>
      <c r="I1088">
        <f>INDEX(Limits!$C$2:$C$5,MATCH(E1088,Limits!$A$2:$A$5,0))</f>
        <v/>
      </c>
      <c r="J1088">
        <f>IF(F1088&gt;=I1088,"Action",IF(F1088&gt;=H1088,"Alert","Pass"))</f>
        <v/>
      </c>
      <c r="K1088" s="4">
        <f>DATE(YEAR(B1088),MONTH(B1088),1)</f>
        <v/>
      </c>
    </row>
    <row r="1089">
      <c r="A1089" t="inlineStr">
        <is>
          <t>EM001088</t>
        </is>
      </c>
      <c r="B1089" s="7" t="n">
        <v>46106</v>
      </c>
      <c r="C1089" t="inlineStr">
        <is>
          <t>CR-102</t>
        </is>
      </c>
      <c r="D1089" t="inlineStr">
        <is>
          <t>ISO 7</t>
        </is>
      </c>
      <c r="E1089" t="inlineStr">
        <is>
          <t>Active air</t>
        </is>
      </c>
      <c r="F1089" t="n">
        <v>0</v>
      </c>
      <c r="G1089" t="inlineStr">
        <is>
          <t>Tech B</t>
        </is>
      </c>
      <c r="H1089">
        <f>INDEX(Limits!$B$2:$B$5,MATCH(E1089,Limits!$A$2:$A$5,0))</f>
        <v/>
      </c>
      <c r="I1089">
        <f>INDEX(Limits!$C$2:$C$5,MATCH(E1089,Limits!$A$2:$A$5,0))</f>
        <v/>
      </c>
      <c r="J1089">
        <f>IF(F1089&gt;=I1089,"Action",IF(F1089&gt;=H1089,"Alert","Pass"))</f>
        <v/>
      </c>
      <c r="K1089" s="4">
        <f>DATE(YEAR(B1089),MONTH(B1089),1)</f>
        <v/>
      </c>
    </row>
    <row r="1090">
      <c r="A1090" t="inlineStr">
        <is>
          <t>EM001089</t>
        </is>
      </c>
      <c r="B1090" s="7" t="n">
        <v>46106</v>
      </c>
      <c r="C1090" t="inlineStr">
        <is>
          <t>CR-102</t>
        </is>
      </c>
      <c r="D1090" t="inlineStr">
        <is>
          <t>ISO 7</t>
        </is>
      </c>
      <c r="E1090" t="inlineStr">
        <is>
          <t>Surface contact</t>
        </is>
      </c>
      <c r="F1090" t="n">
        <v>0</v>
      </c>
      <c r="G1090" t="inlineStr">
        <is>
          <t>Tech C</t>
        </is>
      </c>
      <c r="H1090">
        <f>INDEX(Limits!$B$2:$B$5,MATCH(E1090,Limits!$A$2:$A$5,0))</f>
        <v/>
      </c>
      <c r="I1090">
        <f>INDEX(Limits!$C$2:$C$5,MATCH(E1090,Limits!$A$2:$A$5,0))</f>
        <v/>
      </c>
      <c r="J1090">
        <f>IF(F1090&gt;=I1090,"Action",IF(F1090&gt;=H1090,"Alert","Pass"))</f>
        <v/>
      </c>
      <c r="K1090" s="4">
        <f>DATE(YEAR(B1090),MONTH(B1090),1)</f>
        <v/>
      </c>
    </row>
    <row r="1091">
      <c r="A1091" t="inlineStr">
        <is>
          <t>EM001090</t>
        </is>
      </c>
      <c r="B1091" s="7" t="n">
        <v>46106</v>
      </c>
      <c r="C1091" t="inlineStr">
        <is>
          <t>CR-102</t>
        </is>
      </c>
      <c r="D1091" t="inlineStr">
        <is>
          <t>ISO 7</t>
        </is>
      </c>
      <c r="E1091" t="inlineStr">
        <is>
          <t>Compressed air</t>
        </is>
      </c>
      <c r="F1091" t="n">
        <v>0</v>
      </c>
      <c r="G1091" t="inlineStr">
        <is>
          <t>Tech C</t>
        </is>
      </c>
      <c r="H1091">
        <f>INDEX(Limits!$B$2:$B$5,MATCH(E1091,Limits!$A$2:$A$5,0))</f>
        <v/>
      </c>
      <c r="I1091">
        <f>INDEX(Limits!$C$2:$C$5,MATCH(E1091,Limits!$A$2:$A$5,0))</f>
        <v/>
      </c>
      <c r="J1091">
        <f>IF(F1091&gt;=I1091,"Action",IF(F1091&gt;=H1091,"Alert","Pass"))</f>
        <v/>
      </c>
      <c r="K1091" s="4">
        <f>DATE(YEAR(B1091),MONTH(B1091),1)</f>
        <v/>
      </c>
    </row>
    <row r="1092">
      <c r="A1092" t="inlineStr">
        <is>
          <t>EM001091</t>
        </is>
      </c>
      <c r="B1092" s="7" t="n">
        <v>46106</v>
      </c>
      <c r="C1092" t="inlineStr">
        <is>
          <t>CR-102</t>
        </is>
      </c>
      <c r="D1092" t="inlineStr">
        <is>
          <t>ISO 7</t>
        </is>
      </c>
      <c r="E1092" t="inlineStr">
        <is>
          <t>Personnel glove</t>
        </is>
      </c>
      <c r="F1092" t="n">
        <v>0</v>
      </c>
      <c r="G1092" t="inlineStr">
        <is>
          <t>Tech C</t>
        </is>
      </c>
      <c r="H1092">
        <f>INDEX(Limits!$B$2:$B$5,MATCH(E1092,Limits!$A$2:$A$5,0))</f>
        <v/>
      </c>
      <c r="I1092">
        <f>INDEX(Limits!$C$2:$C$5,MATCH(E1092,Limits!$A$2:$A$5,0))</f>
        <v/>
      </c>
      <c r="J1092">
        <f>IF(F1092&gt;=I1092,"Action",IF(F1092&gt;=H1092,"Alert","Pass"))</f>
        <v/>
      </c>
      <c r="K1092" s="4">
        <f>DATE(YEAR(B1092),MONTH(B1092),1)</f>
        <v/>
      </c>
    </row>
    <row r="1093">
      <c r="A1093" t="inlineStr">
        <is>
          <t>EM001092</t>
        </is>
      </c>
      <c r="B1093" s="7" t="n">
        <v>46106</v>
      </c>
      <c r="C1093" t="inlineStr">
        <is>
          <t>CR-201</t>
        </is>
      </c>
      <c r="D1093" t="inlineStr">
        <is>
          <t>ISO 8</t>
        </is>
      </c>
      <c r="E1093" t="inlineStr">
        <is>
          <t>Active air</t>
        </is>
      </c>
      <c r="F1093" t="n">
        <v>0</v>
      </c>
      <c r="G1093" t="inlineStr">
        <is>
          <t>Tech D</t>
        </is>
      </c>
      <c r="H1093">
        <f>INDEX(Limits!$B$2:$B$5,MATCH(E1093,Limits!$A$2:$A$5,0))</f>
        <v/>
      </c>
      <c r="I1093">
        <f>INDEX(Limits!$C$2:$C$5,MATCH(E1093,Limits!$A$2:$A$5,0))</f>
        <v/>
      </c>
      <c r="J1093">
        <f>IF(F1093&gt;=I1093,"Action",IF(F1093&gt;=H1093,"Alert","Pass"))</f>
        <v/>
      </c>
      <c r="K1093" s="4">
        <f>DATE(YEAR(B1093),MONTH(B1093),1)</f>
        <v/>
      </c>
    </row>
    <row r="1094">
      <c r="A1094" t="inlineStr">
        <is>
          <t>EM001093</t>
        </is>
      </c>
      <c r="B1094" s="7" t="n">
        <v>46106</v>
      </c>
      <c r="C1094" t="inlineStr">
        <is>
          <t>CR-201</t>
        </is>
      </c>
      <c r="D1094" t="inlineStr">
        <is>
          <t>ISO 8</t>
        </is>
      </c>
      <c r="E1094" t="inlineStr">
        <is>
          <t>Surface contact</t>
        </is>
      </c>
      <c r="F1094" t="n">
        <v>0</v>
      </c>
      <c r="G1094" t="inlineStr">
        <is>
          <t>Tech B</t>
        </is>
      </c>
      <c r="H1094">
        <f>INDEX(Limits!$B$2:$B$5,MATCH(E1094,Limits!$A$2:$A$5,0))</f>
        <v/>
      </c>
      <c r="I1094">
        <f>INDEX(Limits!$C$2:$C$5,MATCH(E1094,Limits!$A$2:$A$5,0))</f>
        <v/>
      </c>
      <c r="J1094">
        <f>IF(F1094&gt;=I1094,"Action",IF(F1094&gt;=H1094,"Alert","Pass"))</f>
        <v/>
      </c>
      <c r="K1094" s="4">
        <f>DATE(YEAR(B1094),MONTH(B1094),1)</f>
        <v/>
      </c>
    </row>
    <row r="1095">
      <c r="A1095" t="inlineStr">
        <is>
          <t>EM001094</t>
        </is>
      </c>
      <c r="B1095" s="7" t="n">
        <v>46106</v>
      </c>
      <c r="C1095" t="inlineStr">
        <is>
          <t>CR-201</t>
        </is>
      </c>
      <c r="D1095" t="inlineStr">
        <is>
          <t>ISO 8</t>
        </is>
      </c>
      <c r="E1095" t="inlineStr">
        <is>
          <t>Compressed air</t>
        </is>
      </c>
      <c r="F1095" t="n">
        <v>0</v>
      </c>
      <c r="G1095" t="inlineStr">
        <is>
          <t>Tech A</t>
        </is>
      </c>
      <c r="H1095">
        <f>INDEX(Limits!$B$2:$B$5,MATCH(E1095,Limits!$A$2:$A$5,0))</f>
        <v/>
      </c>
      <c r="I1095">
        <f>INDEX(Limits!$C$2:$C$5,MATCH(E1095,Limits!$A$2:$A$5,0))</f>
        <v/>
      </c>
      <c r="J1095">
        <f>IF(F1095&gt;=I1095,"Action",IF(F1095&gt;=H1095,"Alert","Pass"))</f>
        <v/>
      </c>
      <c r="K1095" s="4">
        <f>DATE(YEAR(B1095),MONTH(B1095),1)</f>
        <v/>
      </c>
    </row>
    <row r="1096">
      <c r="A1096" t="inlineStr">
        <is>
          <t>EM001095</t>
        </is>
      </c>
      <c r="B1096" s="7" t="n">
        <v>46106</v>
      </c>
      <c r="C1096" t="inlineStr">
        <is>
          <t>CR-201</t>
        </is>
      </c>
      <c r="D1096" t="inlineStr">
        <is>
          <t>ISO 8</t>
        </is>
      </c>
      <c r="E1096" t="inlineStr">
        <is>
          <t>Personnel glove</t>
        </is>
      </c>
      <c r="F1096" t="n">
        <v>0</v>
      </c>
      <c r="G1096" t="inlineStr">
        <is>
          <t>Tech D</t>
        </is>
      </c>
      <c r="H1096">
        <f>INDEX(Limits!$B$2:$B$5,MATCH(E1096,Limits!$A$2:$A$5,0))</f>
        <v/>
      </c>
      <c r="I1096">
        <f>INDEX(Limits!$C$2:$C$5,MATCH(E1096,Limits!$A$2:$A$5,0))</f>
        <v/>
      </c>
      <c r="J1096">
        <f>IF(F1096&gt;=I1096,"Action",IF(F1096&gt;=H1096,"Alert","Pass"))</f>
        <v/>
      </c>
      <c r="K1096" s="4">
        <f>DATE(YEAR(B1096),MONTH(B1096),1)</f>
        <v/>
      </c>
    </row>
    <row r="1097">
      <c r="A1097" t="inlineStr">
        <is>
          <t>EM001096</t>
        </is>
      </c>
      <c r="B1097" s="7" t="n">
        <v>46106</v>
      </c>
      <c r="C1097" t="inlineStr">
        <is>
          <t>CR-202</t>
        </is>
      </c>
      <c r="D1097" t="inlineStr">
        <is>
          <t>ISO 8</t>
        </is>
      </c>
      <c r="E1097" t="inlineStr">
        <is>
          <t>Active air</t>
        </is>
      </c>
      <c r="F1097" t="n">
        <v>2</v>
      </c>
      <c r="G1097" t="inlineStr">
        <is>
          <t>Tech B</t>
        </is>
      </c>
      <c r="H1097">
        <f>INDEX(Limits!$B$2:$B$5,MATCH(E1097,Limits!$A$2:$A$5,0))</f>
        <v/>
      </c>
      <c r="I1097">
        <f>INDEX(Limits!$C$2:$C$5,MATCH(E1097,Limits!$A$2:$A$5,0))</f>
        <v/>
      </c>
      <c r="J1097">
        <f>IF(F1097&gt;=I1097,"Action",IF(F1097&gt;=H1097,"Alert","Pass"))</f>
        <v/>
      </c>
      <c r="K1097" s="4">
        <f>DATE(YEAR(B1097),MONTH(B1097),1)</f>
        <v/>
      </c>
    </row>
    <row r="1098">
      <c r="A1098" t="inlineStr">
        <is>
          <t>EM001097</t>
        </is>
      </c>
      <c r="B1098" s="7" t="n">
        <v>46106</v>
      </c>
      <c r="C1098" t="inlineStr">
        <is>
          <t>CR-202</t>
        </is>
      </c>
      <c r="D1098" t="inlineStr">
        <is>
          <t>ISO 8</t>
        </is>
      </c>
      <c r="E1098" t="inlineStr">
        <is>
          <t>Surface contact</t>
        </is>
      </c>
      <c r="F1098" t="n">
        <v>0</v>
      </c>
      <c r="G1098" t="inlineStr">
        <is>
          <t>Tech C</t>
        </is>
      </c>
      <c r="H1098">
        <f>INDEX(Limits!$B$2:$B$5,MATCH(E1098,Limits!$A$2:$A$5,0))</f>
        <v/>
      </c>
      <c r="I1098">
        <f>INDEX(Limits!$C$2:$C$5,MATCH(E1098,Limits!$A$2:$A$5,0))</f>
        <v/>
      </c>
      <c r="J1098">
        <f>IF(F1098&gt;=I1098,"Action",IF(F1098&gt;=H1098,"Alert","Pass"))</f>
        <v/>
      </c>
      <c r="K1098" s="4">
        <f>DATE(YEAR(B1098),MONTH(B1098),1)</f>
        <v/>
      </c>
    </row>
    <row r="1099">
      <c r="A1099" t="inlineStr">
        <is>
          <t>EM001098</t>
        </is>
      </c>
      <c r="B1099" s="7" t="n">
        <v>46106</v>
      </c>
      <c r="C1099" t="inlineStr">
        <is>
          <t>CR-202</t>
        </is>
      </c>
      <c r="D1099" t="inlineStr">
        <is>
          <t>ISO 8</t>
        </is>
      </c>
      <c r="E1099" t="inlineStr">
        <is>
          <t>Compressed air</t>
        </is>
      </c>
      <c r="F1099" t="n">
        <v>0</v>
      </c>
      <c r="G1099" t="inlineStr">
        <is>
          <t>Tech A</t>
        </is>
      </c>
      <c r="H1099">
        <f>INDEX(Limits!$B$2:$B$5,MATCH(E1099,Limits!$A$2:$A$5,0))</f>
        <v/>
      </c>
      <c r="I1099">
        <f>INDEX(Limits!$C$2:$C$5,MATCH(E1099,Limits!$A$2:$A$5,0))</f>
        <v/>
      </c>
      <c r="J1099">
        <f>IF(F1099&gt;=I1099,"Action",IF(F1099&gt;=H1099,"Alert","Pass"))</f>
        <v/>
      </c>
      <c r="K1099" s="4">
        <f>DATE(YEAR(B1099),MONTH(B1099),1)</f>
        <v/>
      </c>
    </row>
    <row r="1100">
      <c r="A1100" t="inlineStr">
        <is>
          <t>EM001099</t>
        </is>
      </c>
      <c r="B1100" s="7" t="n">
        <v>46106</v>
      </c>
      <c r="C1100" t="inlineStr">
        <is>
          <t>CR-202</t>
        </is>
      </c>
      <c r="D1100" t="inlineStr">
        <is>
          <t>ISO 8</t>
        </is>
      </c>
      <c r="E1100" t="inlineStr">
        <is>
          <t>Personnel glove</t>
        </is>
      </c>
      <c r="F1100" t="n">
        <v>0</v>
      </c>
      <c r="G1100" t="inlineStr">
        <is>
          <t>Tech C</t>
        </is>
      </c>
      <c r="H1100">
        <f>INDEX(Limits!$B$2:$B$5,MATCH(E1100,Limits!$A$2:$A$5,0))</f>
        <v/>
      </c>
      <c r="I1100">
        <f>INDEX(Limits!$C$2:$C$5,MATCH(E1100,Limits!$A$2:$A$5,0))</f>
        <v/>
      </c>
      <c r="J1100">
        <f>IF(F1100&gt;=I1100,"Action",IF(F1100&gt;=H1100,"Alert","Pass"))</f>
        <v/>
      </c>
      <c r="K1100" s="4">
        <f>DATE(YEAR(B1100),MONTH(B1100),1)</f>
        <v/>
      </c>
    </row>
    <row r="1101">
      <c r="A1101" t="inlineStr">
        <is>
          <t>EM001100</t>
        </is>
      </c>
      <c r="B1101" s="7" t="n">
        <v>46106</v>
      </c>
      <c r="C1101" t="inlineStr">
        <is>
          <t>Gowning</t>
        </is>
      </c>
      <c r="D1101" t="inlineStr">
        <is>
          <t>ISO 8</t>
        </is>
      </c>
      <c r="E1101" t="inlineStr">
        <is>
          <t>Active air</t>
        </is>
      </c>
      <c r="F1101" t="n">
        <v>2</v>
      </c>
      <c r="G1101" t="inlineStr">
        <is>
          <t>Tech C</t>
        </is>
      </c>
      <c r="H1101">
        <f>INDEX(Limits!$B$2:$B$5,MATCH(E1101,Limits!$A$2:$A$5,0))</f>
        <v/>
      </c>
      <c r="I1101">
        <f>INDEX(Limits!$C$2:$C$5,MATCH(E1101,Limits!$A$2:$A$5,0))</f>
        <v/>
      </c>
      <c r="J1101">
        <f>IF(F1101&gt;=I1101,"Action",IF(F1101&gt;=H1101,"Alert","Pass"))</f>
        <v/>
      </c>
      <c r="K1101" s="4">
        <f>DATE(YEAR(B1101),MONTH(B1101),1)</f>
        <v/>
      </c>
    </row>
    <row r="1102">
      <c r="A1102" t="inlineStr">
        <is>
          <t>EM001101</t>
        </is>
      </c>
      <c r="B1102" s="7" t="n">
        <v>46106</v>
      </c>
      <c r="C1102" t="inlineStr">
        <is>
          <t>Gowning</t>
        </is>
      </c>
      <c r="D1102" t="inlineStr">
        <is>
          <t>ISO 8</t>
        </is>
      </c>
      <c r="E1102" t="inlineStr">
        <is>
          <t>Surface contact</t>
        </is>
      </c>
      <c r="F1102" t="n">
        <v>0</v>
      </c>
      <c r="G1102" t="inlineStr">
        <is>
          <t>Tech A</t>
        </is>
      </c>
      <c r="H1102">
        <f>INDEX(Limits!$B$2:$B$5,MATCH(E1102,Limits!$A$2:$A$5,0))</f>
        <v/>
      </c>
      <c r="I1102">
        <f>INDEX(Limits!$C$2:$C$5,MATCH(E1102,Limits!$A$2:$A$5,0))</f>
        <v/>
      </c>
      <c r="J1102">
        <f>IF(F1102&gt;=I1102,"Action",IF(F1102&gt;=H1102,"Alert","Pass"))</f>
        <v/>
      </c>
      <c r="K1102" s="4">
        <f>DATE(YEAR(B1102),MONTH(B1102),1)</f>
        <v/>
      </c>
    </row>
    <row r="1103">
      <c r="A1103" t="inlineStr">
        <is>
          <t>EM001102</t>
        </is>
      </c>
      <c r="B1103" s="7" t="n">
        <v>46106</v>
      </c>
      <c r="C1103" t="inlineStr">
        <is>
          <t>Gowning</t>
        </is>
      </c>
      <c r="D1103" t="inlineStr">
        <is>
          <t>ISO 8</t>
        </is>
      </c>
      <c r="E1103" t="inlineStr">
        <is>
          <t>Personnel glove</t>
        </is>
      </c>
      <c r="F1103" t="n">
        <v>0</v>
      </c>
      <c r="G1103" t="inlineStr">
        <is>
          <t>Tech C</t>
        </is>
      </c>
      <c r="H1103">
        <f>INDEX(Limits!$B$2:$B$5,MATCH(E1103,Limits!$A$2:$A$5,0))</f>
        <v/>
      </c>
      <c r="I1103">
        <f>INDEX(Limits!$C$2:$C$5,MATCH(E1103,Limits!$A$2:$A$5,0))</f>
        <v/>
      </c>
      <c r="J1103">
        <f>IF(F1103&gt;=I1103,"Action",IF(F1103&gt;=H1103,"Alert","Pass"))</f>
        <v/>
      </c>
      <c r="K1103" s="4">
        <f>DATE(YEAR(B1103),MONTH(B1103),1)</f>
        <v/>
      </c>
    </row>
    <row r="1104">
      <c r="A1104" t="inlineStr">
        <is>
          <t>EM001103</t>
        </is>
      </c>
      <c r="B1104" s="7" t="n">
        <v>46107</v>
      </c>
      <c r="C1104" t="inlineStr">
        <is>
          <t>CR-101</t>
        </is>
      </c>
      <c r="D1104" t="inlineStr">
        <is>
          <t>ISO 7</t>
        </is>
      </c>
      <c r="E1104" t="inlineStr">
        <is>
          <t>Active air</t>
        </is>
      </c>
      <c r="F1104" t="n">
        <v>4</v>
      </c>
      <c r="G1104" t="inlineStr">
        <is>
          <t>Tech D</t>
        </is>
      </c>
      <c r="H1104">
        <f>INDEX(Limits!$B$2:$B$5,MATCH(E1104,Limits!$A$2:$A$5,0))</f>
        <v/>
      </c>
      <c r="I1104">
        <f>INDEX(Limits!$C$2:$C$5,MATCH(E1104,Limits!$A$2:$A$5,0))</f>
        <v/>
      </c>
      <c r="J1104">
        <f>IF(F1104&gt;=I1104,"Action",IF(F1104&gt;=H1104,"Alert","Pass"))</f>
        <v/>
      </c>
      <c r="K1104" s="4">
        <f>DATE(YEAR(B1104),MONTH(B1104),1)</f>
        <v/>
      </c>
    </row>
    <row r="1105">
      <c r="A1105" t="inlineStr">
        <is>
          <t>EM001104</t>
        </is>
      </c>
      <c r="B1105" s="7" t="n">
        <v>46107</v>
      </c>
      <c r="C1105" t="inlineStr">
        <is>
          <t>CR-101</t>
        </is>
      </c>
      <c r="D1105" t="inlineStr">
        <is>
          <t>ISO 7</t>
        </is>
      </c>
      <c r="E1105" t="inlineStr">
        <is>
          <t>Surface contact</t>
        </is>
      </c>
      <c r="F1105" t="n">
        <v>0</v>
      </c>
      <c r="G1105" t="inlineStr">
        <is>
          <t>Tech D</t>
        </is>
      </c>
      <c r="H1105">
        <f>INDEX(Limits!$B$2:$B$5,MATCH(E1105,Limits!$A$2:$A$5,0))</f>
        <v/>
      </c>
      <c r="I1105">
        <f>INDEX(Limits!$C$2:$C$5,MATCH(E1105,Limits!$A$2:$A$5,0))</f>
        <v/>
      </c>
      <c r="J1105">
        <f>IF(F1105&gt;=I1105,"Action",IF(F1105&gt;=H1105,"Alert","Pass"))</f>
        <v/>
      </c>
      <c r="K1105" s="4">
        <f>DATE(YEAR(B1105),MONTH(B1105),1)</f>
        <v/>
      </c>
    </row>
    <row r="1106">
      <c r="A1106" t="inlineStr">
        <is>
          <t>EM001105</t>
        </is>
      </c>
      <c r="B1106" s="7" t="n">
        <v>46107</v>
      </c>
      <c r="C1106" t="inlineStr">
        <is>
          <t>CR-101</t>
        </is>
      </c>
      <c r="D1106" t="inlineStr">
        <is>
          <t>ISO 7</t>
        </is>
      </c>
      <c r="E1106" t="inlineStr">
        <is>
          <t>Compressed air</t>
        </is>
      </c>
      <c r="F1106" t="n">
        <v>0</v>
      </c>
      <c r="G1106" t="inlineStr">
        <is>
          <t>Tech A</t>
        </is>
      </c>
      <c r="H1106">
        <f>INDEX(Limits!$B$2:$B$5,MATCH(E1106,Limits!$A$2:$A$5,0))</f>
        <v/>
      </c>
      <c r="I1106">
        <f>INDEX(Limits!$C$2:$C$5,MATCH(E1106,Limits!$A$2:$A$5,0))</f>
        <v/>
      </c>
      <c r="J1106">
        <f>IF(F1106&gt;=I1106,"Action",IF(F1106&gt;=H1106,"Alert","Pass"))</f>
        <v/>
      </c>
      <c r="K1106" s="4">
        <f>DATE(YEAR(B1106),MONTH(B1106),1)</f>
        <v/>
      </c>
    </row>
    <row r="1107">
      <c r="A1107" t="inlineStr">
        <is>
          <t>EM001106</t>
        </is>
      </c>
      <c r="B1107" s="7" t="n">
        <v>46107</v>
      </c>
      <c r="C1107" t="inlineStr">
        <is>
          <t>CR-101</t>
        </is>
      </c>
      <c r="D1107" t="inlineStr">
        <is>
          <t>ISO 7</t>
        </is>
      </c>
      <c r="E1107" t="inlineStr">
        <is>
          <t>Personnel glove</t>
        </is>
      </c>
      <c r="F1107" t="n">
        <v>0</v>
      </c>
      <c r="G1107" t="inlineStr">
        <is>
          <t>Tech A</t>
        </is>
      </c>
      <c r="H1107">
        <f>INDEX(Limits!$B$2:$B$5,MATCH(E1107,Limits!$A$2:$A$5,0))</f>
        <v/>
      </c>
      <c r="I1107">
        <f>INDEX(Limits!$C$2:$C$5,MATCH(E1107,Limits!$A$2:$A$5,0))</f>
        <v/>
      </c>
      <c r="J1107">
        <f>IF(F1107&gt;=I1107,"Action",IF(F1107&gt;=H1107,"Alert","Pass"))</f>
        <v/>
      </c>
      <c r="K1107" s="4">
        <f>DATE(YEAR(B1107),MONTH(B1107),1)</f>
        <v/>
      </c>
    </row>
    <row r="1108">
      <c r="A1108" t="inlineStr">
        <is>
          <t>EM001107</t>
        </is>
      </c>
      <c r="B1108" s="7" t="n">
        <v>46107</v>
      </c>
      <c r="C1108" t="inlineStr">
        <is>
          <t>CR-102</t>
        </is>
      </c>
      <c r="D1108" t="inlineStr">
        <is>
          <t>ISO 7</t>
        </is>
      </c>
      <c r="E1108" t="inlineStr">
        <is>
          <t>Active air</t>
        </is>
      </c>
      <c r="F1108" t="n">
        <v>0</v>
      </c>
      <c r="G1108" t="inlineStr">
        <is>
          <t>Tech B</t>
        </is>
      </c>
      <c r="H1108">
        <f>INDEX(Limits!$B$2:$B$5,MATCH(E1108,Limits!$A$2:$A$5,0))</f>
        <v/>
      </c>
      <c r="I1108">
        <f>INDEX(Limits!$C$2:$C$5,MATCH(E1108,Limits!$A$2:$A$5,0))</f>
        <v/>
      </c>
      <c r="J1108">
        <f>IF(F1108&gt;=I1108,"Action",IF(F1108&gt;=H1108,"Alert","Pass"))</f>
        <v/>
      </c>
      <c r="K1108" s="4">
        <f>DATE(YEAR(B1108),MONTH(B1108),1)</f>
        <v/>
      </c>
    </row>
    <row r="1109">
      <c r="A1109" t="inlineStr">
        <is>
          <t>EM001108</t>
        </is>
      </c>
      <c r="B1109" s="7" t="n">
        <v>46107</v>
      </c>
      <c r="C1109" t="inlineStr">
        <is>
          <t>CR-102</t>
        </is>
      </c>
      <c r="D1109" t="inlineStr">
        <is>
          <t>ISO 7</t>
        </is>
      </c>
      <c r="E1109" t="inlineStr">
        <is>
          <t>Surface contact</t>
        </is>
      </c>
      <c r="F1109" t="n">
        <v>0</v>
      </c>
      <c r="G1109" t="inlineStr">
        <is>
          <t>Tech C</t>
        </is>
      </c>
      <c r="H1109">
        <f>INDEX(Limits!$B$2:$B$5,MATCH(E1109,Limits!$A$2:$A$5,0))</f>
        <v/>
      </c>
      <c r="I1109">
        <f>INDEX(Limits!$C$2:$C$5,MATCH(E1109,Limits!$A$2:$A$5,0))</f>
        <v/>
      </c>
      <c r="J1109">
        <f>IF(F1109&gt;=I1109,"Action",IF(F1109&gt;=H1109,"Alert","Pass"))</f>
        <v/>
      </c>
      <c r="K1109" s="4">
        <f>DATE(YEAR(B1109),MONTH(B1109),1)</f>
        <v/>
      </c>
    </row>
    <row r="1110">
      <c r="A1110" t="inlineStr">
        <is>
          <t>EM001109</t>
        </is>
      </c>
      <c r="B1110" s="7" t="n">
        <v>46107</v>
      </c>
      <c r="C1110" t="inlineStr">
        <is>
          <t>CR-102</t>
        </is>
      </c>
      <c r="D1110" t="inlineStr">
        <is>
          <t>ISO 7</t>
        </is>
      </c>
      <c r="E1110" t="inlineStr">
        <is>
          <t>Compressed air</t>
        </is>
      </c>
      <c r="F1110" t="n">
        <v>0</v>
      </c>
      <c r="G1110" t="inlineStr">
        <is>
          <t>Tech C</t>
        </is>
      </c>
      <c r="H1110">
        <f>INDEX(Limits!$B$2:$B$5,MATCH(E1110,Limits!$A$2:$A$5,0))</f>
        <v/>
      </c>
      <c r="I1110">
        <f>INDEX(Limits!$C$2:$C$5,MATCH(E1110,Limits!$A$2:$A$5,0))</f>
        <v/>
      </c>
      <c r="J1110">
        <f>IF(F1110&gt;=I1110,"Action",IF(F1110&gt;=H1110,"Alert","Pass"))</f>
        <v/>
      </c>
      <c r="K1110" s="4">
        <f>DATE(YEAR(B1110),MONTH(B1110),1)</f>
        <v/>
      </c>
    </row>
    <row r="1111">
      <c r="A1111" t="inlineStr">
        <is>
          <t>EM001110</t>
        </is>
      </c>
      <c r="B1111" s="7" t="n">
        <v>46107</v>
      </c>
      <c r="C1111" t="inlineStr">
        <is>
          <t>CR-102</t>
        </is>
      </c>
      <c r="D1111" t="inlineStr">
        <is>
          <t>ISO 7</t>
        </is>
      </c>
      <c r="E1111" t="inlineStr">
        <is>
          <t>Personnel glove</t>
        </is>
      </c>
      <c r="F1111" t="n">
        <v>0</v>
      </c>
      <c r="G1111" t="inlineStr">
        <is>
          <t>Tech C</t>
        </is>
      </c>
      <c r="H1111">
        <f>INDEX(Limits!$B$2:$B$5,MATCH(E1111,Limits!$A$2:$A$5,0))</f>
        <v/>
      </c>
      <c r="I1111">
        <f>INDEX(Limits!$C$2:$C$5,MATCH(E1111,Limits!$A$2:$A$5,0))</f>
        <v/>
      </c>
      <c r="J1111">
        <f>IF(F1111&gt;=I1111,"Action",IF(F1111&gt;=H1111,"Alert","Pass"))</f>
        <v/>
      </c>
      <c r="K1111" s="4">
        <f>DATE(YEAR(B1111),MONTH(B1111),1)</f>
        <v/>
      </c>
    </row>
    <row r="1112">
      <c r="A1112" t="inlineStr">
        <is>
          <t>EM001111</t>
        </is>
      </c>
      <c r="B1112" s="7" t="n">
        <v>46107</v>
      </c>
      <c r="C1112" t="inlineStr">
        <is>
          <t>CR-201</t>
        </is>
      </c>
      <c r="D1112" t="inlineStr">
        <is>
          <t>ISO 8</t>
        </is>
      </c>
      <c r="E1112" t="inlineStr">
        <is>
          <t>Active air</t>
        </is>
      </c>
      <c r="F1112" t="n">
        <v>0</v>
      </c>
      <c r="G1112" t="inlineStr">
        <is>
          <t>Tech A</t>
        </is>
      </c>
      <c r="H1112">
        <f>INDEX(Limits!$B$2:$B$5,MATCH(E1112,Limits!$A$2:$A$5,0))</f>
        <v/>
      </c>
      <c r="I1112">
        <f>INDEX(Limits!$C$2:$C$5,MATCH(E1112,Limits!$A$2:$A$5,0))</f>
        <v/>
      </c>
      <c r="J1112">
        <f>IF(F1112&gt;=I1112,"Action",IF(F1112&gt;=H1112,"Alert","Pass"))</f>
        <v/>
      </c>
      <c r="K1112" s="4">
        <f>DATE(YEAR(B1112),MONTH(B1112),1)</f>
        <v/>
      </c>
    </row>
    <row r="1113">
      <c r="A1113" t="inlineStr">
        <is>
          <t>EM001112</t>
        </is>
      </c>
      <c r="B1113" s="7" t="n">
        <v>46107</v>
      </c>
      <c r="C1113" t="inlineStr">
        <is>
          <t>CR-201</t>
        </is>
      </c>
      <c r="D1113" t="inlineStr">
        <is>
          <t>ISO 8</t>
        </is>
      </c>
      <c r="E1113" t="inlineStr">
        <is>
          <t>Surface contact</t>
        </is>
      </c>
      <c r="F1113" t="n">
        <v>0</v>
      </c>
      <c r="G1113" t="inlineStr">
        <is>
          <t>Tech B</t>
        </is>
      </c>
      <c r="H1113">
        <f>INDEX(Limits!$B$2:$B$5,MATCH(E1113,Limits!$A$2:$A$5,0))</f>
        <v/>
      </c>
      <c r="I1113">
        <f>INDEX(Limits!$C$2:$C$5,MATCH(E1113,Limits!$A$2:$A$5,0))</f>
        <v/>
      </c>
      <c r="J1113">
        <f>IF(F1113&gt;=I1113,"Action",IF(F1113&gt;=H1113,"Alert","Pass"))</f>
        <v/>
      </c>
      <c r="K1113" s="4">
        <f>DATE(YEAR(B1113),MONTH(B1113),1)</f>
        <v/>
      </c>
    </row>
    <row r="1114">
      <c r="A1114" t="inlineStr">
        <is>
          <t>EM001113</t>
        </is>
      </c>
      <c r="B1114" s="7" t="n">
        <v>46107</v>
      </c>
      <c r="C1114" t="inlineStr">
        <is>
          <t>CR-201</t>
        </is>
      </c>
      <c r="D1114" t="inlineStr">
        <is>
          <t>ISO 8</t>
        </is>
      </c>
      <c r="E1114" t="inlineStr">
        <is>
          <t>Compressed air</t>
        </is>
      </c>
      <c r="F1114" t="n">
        <v>0</v>
      </c>
      <c r="G1114" t="inlineStr">
        <is>
          <t>Tech A</t>
        </is>
      </c>
      <c r="H1114">
        <f>INDEX(Limits!$B$2:$B$5,MATCH(E1114,Limits!$A$2:$A$5,0))</f>
        <v/>
      </c>
      <c r="I1114">
        <f>INDEX(Limits!$C$2:$C$5,MATCH(E1114,Limits!$A$2:$A$5,0))</f>
        <v/>
      </c>
      <c r="J1114">
        <f>IF(F1114&gt;=I1114,"Action",IF(F1114&gt;=H1114,"Alert","Pass"))</f>
        <v/>
      </c>
      <c r="K1114" s="4">
        <f>DATE(YEAR(B1114),MONTH(B1114),1)</f>
        <v/>
      </c>
    </row>
    <row r="1115">
      <c r="A1115" t="inlineStr">
        <is>
          <t>EM001114</t>
        </is>
      </c>
      <c r="B1115" s="7" t="n">
        <v>46107</v>
      </c>
      <c r="C1115" t="inlineStr">
        <is>
          <t>CR-201</t>
        </is>
      </c>
      <c r="D1115" t="inlineStr">
        <is>
          <t>ISO 8</t>
        </is>
      </c>
      <c r="E1115" t="inlineStr">
        <is>
          <t>Personnel glove</t>
        </is>
      </c>
      <c r="F1115" t="n">
        <v>0</v>
      </c>
      <c r="G1115" t="inlineStr">
        <is>
          <t>Tech A</t>
        </is>
      </c>
      <c r="H1115">
        <f>INDEX(Limits!$B$2:$B$5,MATCH(E1115,Limits!$A$2:$A$5,0))</f>
        <v/>
      </c>
      <c r="I1115">
        <f>INDEX(Limits!$C$2:$C$5,MATCH(E1115,Limits!$A$2:$A$5,0))</f>
        <v/>
      </c>
      <c r="J1115">
        <f>IF(F1115&gt;=I1115,"Action",IF(F1115&gt;=H1115,"Alert","Pass"))</f>
        <v/>
      </c>
      <c r="K1115" s="4">
        <f>DATE(YEAR(B1115),MONTH(B1115),1)</f>
        <v/>
      </c>
    </row>
    <row r="1116">
      <c r="A1116" t="inlineStr">
        <is>
          <t>EM001115</t>
        </is>
      </c>
      <c r="B1116" s="7" t="n">
        <v>46107</v>
      </c>
      <c r="C1116" t="inlineStr">
        <is>
          <t>CR-202</t>
        </is>
      </c>
      <c r="D1116" t="inlineStr">
        <is>
          <t>ISO 8</t>
        </is>
      </c>
      <c r="E1116" t="inlineStr">
        <is>
          <t>Active air</t>
        </is>
      </c>
      <c r="F1116" t="n">
        <v>5</v>
      </c>
      <c r="G1116" t="inlineStr">
        <is>
          <t>Tech A</t>
        </is>
      </c>
      <c r="H1116">
        <f>INDEX(Limits!$B$2:$B$5,MATCH(E1116,Limits!$A$2:$A$5,0))</f>
        <v/>
      </c>
      <c r="I1116">
        <f>INDEX(Limits!$C$2:$C$5,MATCH(E1116,Limits!$A$2:$A$5,0))</f>
        <v/>
      </c>
      <c r="J1116">
        <f>IF(F1116&gt;=I1116,"Action",IF(F1116&gt;=H1116,"Alert","Pass"))</f>
        <v/>
      </c>
      <c r="K1116" s="4">
        <f>DATE(YEAR(B1116),MONTH(B1116),1)</f>
        <v/>
      </c>
    </row>
    <row r="1117">
      <c r="A1117" t="inlineStr">
        <is>
          <t>EM001116</t>
        </is>
      </c>
      <c r="B1117" s="7" t="n">
        <v>46107</v>
      </c>
      <c r="C1117" t="inlineStr">
        <is>
          <t>CR-202</t>
        </is>
      </c>
      <c r="D1117" t="inlineStr">
        <is>
          <t>ISO 8</t>
        </is>
      </c>
      <c r="E1117" t="inlineStr">
        <is>
          <t>Surface contact</t>
        </is>
      </c>
      <c r="F1117" t="n">
        <v>1</v>
      </c>
      <c r="G1117" t="inlineStr">
        <is>
          <t>Tech D</t>
        </is>
      </c>
      <c r="H1117">
        <f>INDEX(Limits!$B$2:$B$5,MATCH(E1117,Limits!$A$2:$A$5,0))</f>
        <v/>
      </c>
      <c r="I1117">
        <f>INDEX(Limits!$C$2:$C$5,MATCH(E1117,Limits!$A$2:$A$5,0))</f>
        <v/>
      </c>
      <c r="J1117">
        <f>IF(F1117&gt;=I1117,"Action",IF(F1117&gt;=H1117,"Alert","Pass"))</f>
        <v/>
      </c>
      <c r="K1117" s="4">
        <f>DATE(YEAR(B1117),MONTH(B1117),1)</f>
        <v/>
      </c>
    </row>
    <row r="1118">
      <c r="A1118" t="inlineStr">
        <is>
          <t>EM001117</t>
        </is>
      </c>
      <c r="B1118" s="7" t="n">
        <v>46107</v>
      </c>
      <c r="C1118" t="inlineStr">
        <is>
          <t>CR-202</t>
        </is>
      </c>
      <c r="D1118" t="inlineStr">
        <is>
          <t>ISO 8</t>
        </is>
      </c>
      <c r="E1118" t="inlineStr">
        <is>
          <t>Compressed air</t>
        </is>
      </c>
      <c r="F1118" t="n">
        <v>0</v>
      </c>
      <c r="G1118" t="inlineStr">
        <is>
          <t>Tech C</t>
        </is>
      </c>
      <c r="H1118">
        <f>INDEX(Limits!$B$2:$B$5,MATCH(E1118,Limits!$A$2:$A$5,0))</f>
        <v/>
      </c>
      <c r="I1118">
        <f>INDEX(Limits!$C$2:$C$5,MATCH(E1118,Limits!$A$2:$A$5,0))</f>
        <v/>
      </c>
      <c r="J1118">
        <f>IF(F1118&gt;=I1118,"Action",IF(F1118&gt;=H1118,"Alert","Pass"))</f>
        <v/>
      </c>
      <c r="K1118" s="4">
        <f>DATE(YEAR(B1118),MONTH(B1118),1)</f>
        <v/>
      </c>
    </row>
    <row r="1119">
      <c r="A1119" t="inlineStr">
        <is>
          <t>EM001118</t>
        </is>
      </c>
      <c r="B1119" s="7" t="n">
        <v>46107</v>
      </c>
      <c r="C1119" t="inlineStr">
        <is>
          <t>CR-202</t>
        </is>
      </c>
      <c r="D1119" t="inlineStr">
        <is>
          <t>ISO 8</t>
        </is>
      </c>
      <c r="E1119" t="inlineStr">
        <is>
          <t>Personnel glove</t>
        </is>
      </c>
      <c r="F1119" t="n">
        <v>0</v>
      </c>
      <c r="G1119" t="inlineStr">
        <is>
          <t>Tech B</t>
        </is>
      </c>
      <c r="H1119">
        <f>INDEX(Limits!$B$2:$B$5,MATCH(E1119,Limits!$A$2:$A$5,0))</f>
        <v/>
      </c>
      <c r="I1119">
        <f>INDEX(Limits!$C$2:$C$5,MATCH(E1119,Limits!$A$2:$A$5,0))</f>
        <v/>
      </c>
      <c r="J1119">
        <f>IF(F1119&gt;=I1119,"Action",IF(F1119&gt;=H1119,"Alert","Pass"))</f>
        <v/>
      </c>
      <c r="K1119" s="4">
        <f>DATE(YEAR(B1119),MONTH(B1119),1)</f>
        <v/>
      </c>
    </row>
    <row r="1120">
      <c r="A1120" t="inlineStr">
        <is>
          <t>EM001119</t>
        </is>
      </c>
      <c r="B1120" s="7" t="n">
        <v>46107</v>
      </c>
      <c r="C1120" t="inlineStr">
        <is>
          <t>Gowning</t>
        </is>
      </c>
      <c r="D1120" t="inlineStr">
        <is>
          <t>ISO 8</t>
        </is>
      </c>
      <c r="E1120" t="inlineStr">
        <is>
          <t>Active air</t>
        </is>
      </c>
      <c r="F1120" t="n">
        <v>2</v>
      </c>
      <c r="G1120" t="inlineStr">
        <is>
          <t>Tech C</t>
        </is>
      </c>
      <c r="H1120">
        <f>INDEX(Limits!$B$2:$B$5,MATCH(E1120,Limits!$A$2:$A$5,0))</f>
        <v/>
      </c>
      <c r="I1120">
        <f>INDEX(Limits!$C$2:$C$5,MATCH(E1120,Limits!$A$2:$A$5,0))</f>
        <v/>
      </c>
      <c r="J1120">
        <f>IF(F1120&gt;=I1120,"Action",IF(F1120&gt;=H1120,"Alert","Pass"))</f>
        <v/>
      </c>
      <c r="K1120" s="4">
        <f>DATE(YEAR(B1120),MONTH(B1120),1)</f>
        <v/>
      </c>
    </row>
    <row r="1121">
      <c r="A1121" t="inlineStr">
        <is>
          <t>EM001120</t>
        </is>
      </c>
      <c r="B1121" s="7" t="n">
        <v>46107</v>
      </c>
      <c r="C1121" t="inlineStr">
        <is>
          <t>Gowning</t>
        </is>
      </c>
      <c r="D1121" t="inlineStr">
        <is>
          <t>ISO 8</t>
        </is>
      </c>
      <c r="E1121" t="inlineStr">
        <is>
          <t>Surface contact</t>
        </is>
      </c>
      <c r="F1121" t="n">
        <v>1</v>
      </c>
      <c r="G1121" t="inlineStr">
        <is>
          <t>Tech D</t>
        </is>
      </c>
      <c r="H1121">
        <f>INDEX(Limits!$B$2:$B$5,MATCH(E1121,Limits!$A$2:$A$5,0))</f>
        <v/>
      </c>
      <c r="I1121">
        <f>INDEX(Limits!$C$2:$C$5,MATCH(E1121,Limits!$A$2:$A$5,0))</f>
        <v/>
      </c>
      <c r="J1121">
        <f>IF(F1121&gt;=I1121,"Action",IF(F1121&gt;=H1121,"Alert","Pass"))</f>
        <v/>
      </c>
      <c r="K1121" s="4">
        <f>DATE(YEAR(B1121),MONTH(B1121),1)</f>
        <v/>
      </c>
    </row>
    <row r="1122">
      <c r="A1122" t="inlineStr">
        <is>
          <t>EM001121</t>
        </is>
      </c>
      <c r="B1122" s="7" t="n">
        <v>46107</v>
      </c>
      <c r="C1122" t="inlineStr">
        <is>
          <t>Gowning</t>
        </is>
      </c>
      <c r="D1122" t="inlineStr">
        <is>
          <t>ISO 8</t>
        </is>
      </c>
      <c r="E1122" t="inlineStr">
        <is>
          <t>Personnel glove</t>
        </is>
      </c>
      <c r="F1122" t="n">
        <v>0</v>
      </c>
      <c r="G1122" t="inlineStr">
        <is>
          <t>Tech A</t>
        </is>
      </c>
      <c r="H1122">
        <f>INDEX(Limits!$B$2:$B$5,MATCH(E1122,Limits!$A$2:$A$5,0))</f>
        <v/>
      </c>
      <c r="I1122">
        <f>INDEX(Limits!$C$2:$C$5,MATCH(E1122,Limits!$A$2:$A$5,0))</f>
        <v/>
      </c>
      <c r="J1122">
        <f>IF(F1122&gt;=I1122,"Action",IF(F1122&gt;=H1122,"Alert","Pass"))</f>
        <v/>
      </c>
      <c r="K1122" s="4">
        <f>DATE(YEAR(B1122),MONTH(B1122),1)</f>
        <v/>
      </c>
    </row>
    <row r="1123">
      <c r="A1123" t="inlineStr">
        <is>
          <t>EM001122</t>
        </is>
      </c>
      <c r="B1123" s="7" t="n">
        <v>46108</v>
      </c>
      <c r="C1123" t="inlineStr">
        <is>
          <t>CR-101</t>
        </is>
      </c>
      <c r="D1123" t="inlineStr">
        <is>
          <t>ISO 7</t>
        </is>
      </c>
      <c r="E1123" t="inlineStr">
        <is>
          <t>Active air</t>
        </is>
      </c>
      <c r="F1123" t="n">
        <v>0</v>
      </c>
      <c r="G1123" t="inlineStr">
        <is>
          <t>Tech D</t>
        </is>
      </c>
      <c r="H1123">
        <f>INDEX(Limits!$B$2:$B$5,MATCH(E1123,Limits!$A$2:$A$5,0))</f>
        <v/>
      </c>
      <c r="I1123">
        <f>INDEX(Limits!$C$2:$C$5,MATCH(E1123,Limits!$A$2:$A$5,0))</f>
        <v/>
      </c>
      <c r="J1123">
        <f>IF(F1123&gt;=I1123,"Action",IF(F1123&gt;=H1123,"Alert","Pass"))</f>
        <v/>
      </c>
      <c r="K1123" s="4">
        <f>DATE(YEAR(B1123),MONTH(B1123),1)</f>
        <v/>
      </c>
    </row>
    <row r="1124">
      <c r="A1124" t="inlineStr">
        <is>
          <t>EM001123</t>
        </is>
      </c>
      <c r="B1124" s="7" t="n">
        <v>46108</v>
      </c>
      <c r="C1124" t="inlineStr">
        <is>
          <t>CR-101</t>
        </is>
      </c>
      <c r="D1124" t="inlineStr">
        <is>
          <t>ISO 7</t>
        </is>
      </c>
      <c r="E1124" t="inlineStr">
        <is>
          <t>Surface contact</t>
        </is>
      </c>
      <c r="F1124" t="n">
        <v>0</v>
      </c>
      <c r="G1124" t="inlineStr">
        <is>
          <t>Tech A</t>
        </is>
      </c>
      <c r="H1124">
        <f>INDEX(Limits!$B$2:$B$5,MATCH(E1124,Limits!$A$2:$A$5,0))</f>
        <v/>
      </c>
      <c r="I1124">
        <f>INDEX(Limits!$C$2:$C$5,MATCH(E1124,Limits!$A$2:$A$5,0))</f>
        <v/>
      </c>
      <c r="J1124">
        <f>IF(F1124&gt;=I1124,"Action",IF(F1124&gt;=H1124,"Alert","Pass"))</f>
        <v/>
      </c>
      <c r="K1124" s="4">
        <f>DATE(YEAR(B1124),MONTH(B1124),1)</f>
        <v/>
      </c>
    </row>
    <row r="1125">
      <c r="A1125" t="inlineStr">
        <is>
          <t>EM001124</t>
        </is>
      </c>
      <c r="B1125" s="7" t="n">
        <v>46108</v>
      </c>
      <c r="C1125" t="inlineStr">
        <is>
          <t>CR-101</t>
        </is>
      </c>
      <c r="D1125" t="inlineStr">
        <is>
          <t>ISO 7</t>
        </is>
      </c>
      <c r="E1125" t="inlineStr">
        <is>
          <t>Compressed air</t>
        </is>
      </c>
      <c r="F1125" t="n">
        <v>0</v>
      </c>
      <c r="G1125" t="inlineStr">
        <is>
          <t>Tech C</t>
        </is>
      </c>
      <c r="H1125">
        <f>INDEX(Limits!$B$2:$B$5,MATCH(E1125,Limits!$A$2:$A$5,0))</f>
        <v/>
      </c>
      <c r="I1125">
        <f>INDEX(Limits!$C$2:$C$5,MATCH(E1125,Limits!$A$2:$A$5,0))</f>
        <v/>
      </c>
      <c r="J1125">
        <f>IF(F1125&gt;=I1125,"Action",IF(F1125&gt;=H1125,"Alert","Pass"))</f>
        <v/>
      </c>
      <c r="K1125" s="4">
        <f>DATE(YEAR(B1125),MONTH(B1125),1)</f>
        <v/>
      </c>
    </row>
    <row r="1126">
      <c r="A1126" t="inlineStr">
        <is>
          <t>EM001125</t>
        </is>
      </c>
      <c r="B1126" s="7" t="n">
        <v>46108</v>
      </c>
      <c r="C1126" t="inlineStr">
        <is>
          <t>CR-101</t>
        </is>
      </c>
      <c r="D1126" t="inlineStr">
        <is>
          <t>ISO 7</t>
        </is>
      </c>
      <c r="E1126" t="inlineStr">
        <is>
          <t>Personnel glove</t>
        </is>
      </c>
      <c r="F1126" t="n">
        <v>0</v>
      </c>
      <c r="G1126" t="inlineStr">
        <is>
          <t>Tech A</t>
        </is>
      </c>
      <c r="H1126">
        <f>INDEX(Limits!$B$2:$B$5,MATCH(E1126,Limits!$A$2:$A$5,0))</f>
        <v/>
      </c>
      <c r="I1126">
        <f>INDEX(Limits!$C$2:$C$5,MATCH(E1126,Limits!$A$2:$A$5,0))</f>
        <v/>
      </c>
      <c r="J1126">
        <f>IF(F1126&gt;=I1126,"Action",IF(F1126&gt;=H1126,"Alert","Pass"))</f>
        <v/>
      </c>
      <c r="K1126" s="4">
        <f>DATE(YEAR(B1126),MONTH(B1126),1)</f>
        <v/>
      </c>
    </row>
    <row r="1127">
      <c r="A1127" t="inlineStr">
        <is>
          <t>EM001126</t>
        </is>
      </c>
      <c r="B1127" s="7" t="n">
        <v>46108</v>
      </c>
      <c r="C1127" t="inlineStr">
        <is>
          <t>CR-102</t>
        </is>
      </c>
      <c r="D1127" t="inlineStr">
        <is>
          <t>ISO 7</t>
        </is>
      </c>
      <c r="E1127" t="inlineStr">
        <is>
          <t>Active air</t>
        </is>
      </c>
      <c r="F1127" t="n">
        <v>2</v>
      </c>
      <c r="G1127" t="inlineStr">
        <is>
          <t>Tech D</t>
        </is>
      </c>
      <c r="H1127">
        <f>INDEX(Limits!$B$2:$B$5,MATCH(E1127,Limits!$A$2:$A$5,0))</f>
        <v/>
      </c>
      <c r="I1127">
        <f>INDEX(Limits!$C$2:$C$5,MATCH(E1127,Limits!$A$2:$A$5,0))</f>
        <v/>
      </c>
      <c r="J1127">
        <f>IF(F1127&gt;=I1127,"Action",IF(F1127&gt;=H1127,"Alert","Pass"))</f>
        <v/>
      </c>
      <c r="K1127" s="4">
        <f>DATE(YEAR(B1127),MONTH(B1127),1)</f>
        <v/>
      </c>
    </row>
    <row r="1128">
      <c r="A1128" t="inlineStr">
        <is>
          <t>EM001127</t>
        </is>
      </c>
      <c r="B1128" s="7" t="n">
        <v>46108</v>
      </c>
      <c r="C1128" t="inlineStr">
        <is>
          <t>CR-102</t>
        </is>
      </c>
      <c r="D1128" t="inlineStr">
        <is>
          <t>ISO 7</t>
        </is>
      </c>
      <c r="E1128" t="inlineStr">
        <is>
          <t>Surface contact</t>
        </is>
      </c>
      <c r="F1128" t="n">
        <v>1</v>
      </c>
      <c r="G1128" t="inlineStr">
        <is>
          <t>Tech A</t>
        </is>
      </c>
      <c r="H1128">
        <f>INDEX(Limits!$B$2:$B$5,MATCH(E1128,Limits!$A$2:$A$5,0))</f>
        <v/>
      </c>
      <c r="I1128">
        <f>INDEX(Limits!$C$2:$C$5,MATCH(E1128,Limits!$A$2:$A$5,0))</f>
        <v/>
      </c>
      <c r="J1128">
        <f>IF(F1128&gt;=I1128,"Action",IF(F1128&gt;=H1128,"Alert","Pass"))</f>
        <v/>
      </c>
      <c r="K1128" s="4">
        <f>DATE(YEAR(B1128),MONTH(B1128),1)</f>
        <v/>
      </c>
    </row>
    <row r="1129">
      <c r="A1129" t="inlineStr">
        <is>
          <t>EM001128</t>
        </is>
      </c>
      <c r="B1129" s="7" t="n">
        <v>46108</v>
      </c>
      <c r="C1129" t="inlineStr">
        <is>
          <t>CR-102</t>
        </is>
      </c>
      <c r="D1129" t="inlineStr">
        <is>
          <t>ISO 7</t>
        </is>
      </c>
      <c r="E1129" t="inlineStr">
        <is>
          <t>Compressed air</t>
        </is>
      </c>
      <c r="F1129" t="n">
        <v>1</v>
      </c>
      <c r="G1129" t="inlineStr">
        <is>
          <t>Tech C</t>
        </is>
      </c>
      <c r="H1129">
        <f>INDEX(Limits!$B$2:$B$5,MATCH(E1129,Limits!$A$2:$A$5,0))</f>
        <v/>
      </c>
      <c r="I1129">
        <f>INDEX(Limits!$C$2:$C$5,MATCH(E1129,Limits!$A$2:$A$5,0))</f>
        <v/>
      </c>
      <c r="J1129">
        <f>IF(F1129&gt;=I1129,"Action",IF(F1129&gt;=H1129,"Alert","Pass"))</f>
        <v/>
      </c>
      <c r="K1129" s="4">
        <f>DATE(YEAR(B1129),MONTH(B1129),1)</f>
        <v/>
      </c>
    </row>
    <row r="1130">
      <c r="A1130" t="inlineStr">
        <is>
          <t>EM001129</t>
        </is>
      </c>
      <c r="B1130" s="7" t="n">
        <v>46108</v>
      </c>
      <c r="C1130" t="inlineStr">
        <is>
          <t>CR-102</t>
        </is>
      </c>
      <c r="D1130" t="inlineStr">
        <is>
          <t>ISO 7</t>
        </is>
      </c>
      <c r="E1130" t="inlineStr">
        <is>
          <t>Personnel glove</t>
        </is>
      </c>
      <c r="F1130" t="n">
        <v>0</v>
      </c>
      <c r="G1130" t="inlineStr">
        <is>
          <t>Tech D</t>
        </is>
      </c>
      <c r="H1130">
        <f>INDEX(Limits!$B$2:$B$5,MATCH(E1130,Limits!$A$2:$A$5,0))</f>
        <v/>
      </c>
      <c r="I1130">
        <f>INDEX(Limits!$C$2:$C$5,MATCH(E1130,Limits!$A$2:$A$5,0))</f>
        <v/>
      </c>
      <c r="J1130">
        <f>IF(F1130&gt;=I1130,"Action",IF(F1130&gt;=H1130,"Alert","Pass"))</f>
        <v/>
      </c>
      <c r="K1130" s="4">
        <f>DATE(YEAR(B1130),MONTH(B1130),1)</f>
        <v/>
      </c>
    </row>
    <row r="1131">
      <c r="A1131" t="inlineStr">
        <is>
          <t>EM001130</t>
        </is>
      </c>
      <c r="B1131" s="7" t="n">
        <v>46108</v>
      </c>
      <c r="C1131" t="inlineStr">
        <is>
          <t>CR-201</t>
        </is>
      </c>
      <c r="D1131" t="inlineStr">
        <is>
          <t>ISO 8</t>
        </is>
      </c>
      <c r="E1131" t="inlineStr">
        <is>
          <t>Active air</t>
        </is>
      </c>
      <c r="F1131" t="n">
        <v>2</v>
      </c>
      <c r="G1131" t="inlineStr">
        <is>
          <t>Tech C</t>
        </is>
      </c>
      <c r="H1131">
        <f>INDEX(Limits!$B$2:$B$5,MATCH(E1131,Limits!$A$2:$A$5,0))</f>
        <v/>
      </c>
      <c r="I1131">
        <f>INDEX(Limits!$C$2:$C$5,MATCH(E1131,Limits!$A$2:$A$5,0))</f>
        <v/>
      </c>
      <c r="J1131">
        <f>IF(F1131&gt;=I1131,"Action",IF(F1131&gt;=H1131,"Alert","Pass"))</f>
        <v/>
      </c>
      <c r="K1131" s="4">
        <f>DATE(YEAR(B1131),MONTH(B1131),1)</f>
        <v/>
      </c>
    </row>
    <row r="1132">
      <c r="A1132" t="inlineStr">
        <is>
          <t>EM001131</t>
        </is>
      </c>
      <c r="B1132" s="7" t="n">
        <v>46108</v>
      </c>
      <c r="C1132" t="inlineStr">
        <is>
          <t>CR-201</t>
        </is>
      </c>
      <c r="D1132" t="inlineStr">
        <is>
          <t>ISO 8</t>
        </is>
      </c>
      <c r="E1132" t="inlineStr">
        <is>
          <t>Surface contact</t>
        </is>
      </c>
      <c r="F1132" t="n">
        <v>0</v>
      </c>
      <c r="G1132" t="inlineStr">
        <is>
          <t>Tech C</t>
        </is>
      </c>
      <c r="H1132">
        <f>INDEX(Limits!$B$2:$B$5,MATCH(E1132,Limits!$A$2:$A$5,0))</f>
        <v/>
      </c>
      <c r="I1132">
        <f>INDEX(Limits!$C$2:$C$5,MATCH(E1132,Limits!$A$2:$A$5,0))</f>
        <v/>
      </c>
      <c r="J1132">
        <f>IF(F1132&gt;=I1132,"Action",IF(F1132&gt;=H1132,"Alert","Pass"))</f>
        <v/>
      </c>
      <c r="K1132" s="4">
        <f>DATE(YEAR(B1132),MONTH(B1132),1)</f>
        <v/>
      </c>
    </row>
    <row r="1133">
      <c r="A1133" t="inlineStr">
        <is>
          <t>EM001132</t>
        </is>
      </c>
      <c r="B1133" s="7" t="n">
        <v>46108</v>
      </c>
      <c r="C1133" t="inlineStr">
        <is>
          <t>CR-201</t>
        </is>
      </c>
      <c r="D1133" t="inlineStr">
        <is>
          <t>ISO 8</t>
        </is>
      </c>
      <c r="E1133" t="inlineStr">
        <is>
          <t>Compressed air</t>
        </is>
      </c>
      <c r="F1133" t="n">
        <v>0</v>
      </c>
      <c r="G1133" t="inlineStr">
        <is>
          <t>Tech C</t>
        </is>
      </c>
      <c r="H1133">
        <f>INDEX(Limits!$B$2:$B$5,MATCH(E1133,Limits!$A$2:$A$5,0))</f>
        <v/>
      </c>
      <c r="I1133">
        <f>INDEX(Limits!$C$2:$C$5,MATCH(E1133,Limits!$A$2:$A$5,0))</f>
        <v/>
      </c>
      <c r="J1133">
        <f>IF(F1133&gt;=I1133,"Action",IF(F1133&gt;=H1133,"Alert","Pass"))</f>
        <v/>
      </c>
      <c r="K1133" s="4">
        <f>DATE(YEAR(B1133),MONTH(B1133),1)</f>
        <v/>
      </c>
    </row>
    <row r="1134">
      <c r="A1134" t="inlineStr">
        <is>
          <t>EM001133</t>
        </is>
      </c>
      <c r="B1134" s="7" t="n">
        <v>46108</v>
      </c>
      <c r="C1134" t="inlineStr">
        <is>
          <t>CR-201</t>
        </is>
      </c>
      <c r="D1134" t="inlineStr">
        <is>
          <t>ISO 8</t>
        </is>
      </c>
      <c r="E1134" t="inlineStr">
        <is>
          <t>Personnel glove</t>
        </is>
      </c>
      <c r="F1134" t="n">
        <v>0</v>
      </c>
      <c r="G1134" t="inlineStr">
        <is>
          <t>Tech D</t>
        </is>
      </c>
      <c r="H1134">
        <f>INDEX(Limits!$B$2:$B$5,MATCH(E1134,Limits!$A$2:$A$5,0))</f>
        <v/>
      </c>
      <c r="I1134">
        <f>INDEX(Limits!$C$2:$C$5,MATCH(E1134,Limits!$A$2:$A$5,0))</f>
        <v/>
      </c>
      <c r="J1134">
        <f>IF(F1134&gt;=I1134,"Action",IF(F1134&gt;=H1134,"Alert","Pass"))</f>
        <v/>
      </c>
      <c r="K1134" s="4">
        <f>DATE(YEAR(B1134),MONTH(B1134),1)</f>
        <v/>
      </c>
    </row>
    <row r="1135">
      <c r="A1135" t="inlineStr">
        <is>
          <t>EM001134</t>
        </is>
      </c>
      <c r="B1135" s="7" t="n">
        <v>46108</v>
      </c>
      <c r="C1135" t="inlineStr">
        <is>
          <t>CR-202</t>
        </is>
      </c>
      <c r="D1135" t="inlineStr">
        <is>
          <t>ISO 8</t>
        </is>
      </c>
      <c r="E1135" t="inlineStr">
        <is>
          <t>Active air</t>
        </is>
      </c>
      <c r="F1135" t="n">
        <v>2</v>
      </c>
      <c r="G1135" t="inlineStr">
        <is>
          <t>Tech C</t>
        </is>
      </c>
      <c r="H1135">
        <f>INDEX(Limits!$B$2:$B$5,MATCH(E1135,Limits!$A$2:$A$5,0))</f>
        <v/>
      </c>
      <c r="I1135">
        <f>INDEX(Limits!$C$2:$C$5,MATCH(E1135,Limits!$A$2:$A$5,0))</f>
        <v/>
      </c>
      <c r="J1135">
        <f>IF(F1135&gt;=I1135,"Action",IF(F1135&gt;=H1135,"Alert","Pass"))</f>
        <v/>
      </c>
      <c r="K1135" s="4">
        <f>DATE(YEAR(B1135),MONTH(B1135),1)</f>
        <v/>
      </c>
    </row>
    <row r="1136">
      <c r="A1136" t="inlineStr">
        <is>
          <t>EM001135</t>
        </is>
      </c>
      <c r="B1136" s="7" t="n">
        <v>46108</v>
      </c>
      <c r="C1136" t="inlineStr">
        <is>
          <t>CR-202</t>
        </is>
      </c>
      <c r="D1136" t="inlineStr">
        <is>
          <t>ISO 8</t>
        </is>
      </c>
      <c r="E1136" t="inlineStr">
        <is>
          <t>Surface contact</t>
        </is>
      </c>
      <c r="F1136" t="n">
        <v>0</v>
      </c>
      <c r="G1136" t="inlineStr">
        <is>
          <t>Tech B</t>
        </is>
      </c>
      <c r="H1136">
        <f>INDEX(Limits!$B$2:$B$5,MATCH(E1136,Limits!$A$2:$A$5,0))</f>
        <v/>
      </c>
      <c r="I1136">
        <f>INDEX(Limits!$C$2:$C$5,MATCH(E1136,Limits!$A$2:$A$5,0))</f>
        <v/>
      </c>
      <c r="J1136">
        <f>IF(F1136&gt;=I1136,"Action",IF(F1136&gt;=H1136,"Alert","Pass"))</f>
        <v/>
      </c>
      <c r="K1136" s="4">
        <f>DATE(YEAR(B1136),MONTH(B1136),1)</f>
        <v/>
      </c>
    </row>
    <row r="1137">
      <c r="A1137" t="inlineStr">
        <is>
          <t>EM001136</t>
        </is>
      </c>
      <c r="B1137" s="7" t="n">
        <v>46108</v>
      </c>
      <c r="C1137" t="inlineStr">
        <is>
          <t>CR-202</t>
        </is>
      </c>
      <c r="D1137" t="inlineStr">
        <is>
          <t>ISO 8</t>
        </is>
      </c>
      <c r="E1137" t="inlineStr">
        <is>
          <t>Compressed air</t>
        </is>
      </c>
      <c r="F1137" t="n">
        <v>0</v>
      </c>
      <c r="G1137" t="inlineStr">
        <is>
          <t>Tech B</t>
        </is>
      </c>
      <c r="H1137">
        <f>INDEX(Limits!$B$2:$B$5,MATCH(E1137,Limits!$A$2:$A$5,0))</f>
        <v/>
      </c>
      <c r="I1137">
        <f>INDEX(Limits!$C$2:$C$5,MATCH(E1137,Limits!$A$2:$A$5,0))</f>
        <v/>
      </c>
      <c r="J1137">
        <f>IF(F1137&gt;=I1137,"Action",IF(F1137&gt;=H1137,"Alert","Pass"))</f>
        <v/>
      </c>
      <c r="K1137" s="4">
        <f>DATE(YEAR(B1137),MONTH(B1137),1)</f>
        <v/>
      </c>
    </row>
    <row r="1138">
      <c r="A1138" t="inlineStr">
        <is>
          <t>EM001137</t>
        </is>
      </c>
      <c r="B1138" s="7" t="n">
        <v>46108</v>
      </c>
      <c r="C1138" t="inlineStr">
        <is>
          <t>CR-202</t>
        </is>
      </c>
      <c r="D1138" t="inlineStr">
        <is>
          <t>ISO 8</t>
        </is>
      </c>
      <c r="E1138" t="inlineStr">
        <is>
          <t>Personnel glove</t>
        </is>
      </c>
      <c r="F1138" t="n">
        <v>0</v>
      </c>
      <c r="G1138" t="inlineStr">
        <is>
          <t>Tech A</t>
        </is>
      </c>
      <c r="H1138">
        <f>INDEX(Limits!$B$2:$B$5,MATCH(E1138,Limits!$A$2:$A$5,0))</f>
        <v/>
      </c>
      <c r="I1138">
        <f>INDEX(Limits!$C$2:$C$5,MATCH(E1138,Limits!$A$2:$A$5,0))</f>
        <v/>
      </c>
      <c r="J1138">
        <f>IF(F1138&gt;=I1138,"Action",IF(F1138&gt;=H1138,"Alert","Pass"))</f>
        <v/>
      </c>
      <c r="K1138" s="4">
        <f>DATE(YEAR(B1138),MONTH(B1138),1)</f>
        <v/>
      </c>
    </row>
    <row r="1139">
      <c r="A1139" t="inlineStr">
        <is>
          <t>EM001138</t>
        </is>
      </c>
      <c r="B1139" s="7" t="n">
        <v>46108</v>
      </c>
      <c r="C1139" t="inlineStr">
        <is>
          <t>Gowning</t>
        </is>
      </c>
      <c r="D1139" t="inlineStr">
        <is>
          <t>ISO 8</t>
        </is>
      </c>
      <c r="E1139" t="inlineStr">
        <is>
          <t>Active air</t>
        </is>
      </c>
      <c r="F1139" t="n">
        <v>2</v>
      </c>
      <c r="G1139" t="inlineStr">
        <is>
          <t>Tech D</t>
        </is>
      </c>
      <c r="H1139">
        <f>INDEX(Limits!$B$2:$B$5,MATCH(E1139,Limits!$A$2:$A$5,0))</f>
        <v/>
      </c>
      <c r="I1139">
        <f>INDEX(Limits!$C$2:$C$5,MATCH(E1139,Limits!$A$2:$A$5,0))</f>
        <v/>
      </c>
      <c r="J1139">
        <f>IF(F1139&gt;=I1139,"Action",IF(F1139&gt;=H1139,"Alert","Pass"))</f>
        <v/>
      </c>
      <c r="K1139" s="4">
        <f>DATE(YEAR(B1139),MONTH(B1139),1)</f>
        <v/>
      </c>
    </row>
    <row r="1140">
      <c r="A1140" t="inlineStr">
        <is>
          <t>EM001139</t>
        </is>
      </c>
      <c r="B1140" s="7" t="n">
        <v>46108</v>
      </c>
      <c r="C1140" t="inlineStr">
        <is>
          <t>Gowning</t>
        </is>
      </c>
      <c r="D1140" t="inlineStr">
        <is>
          <t>ISO 8</t>
        </is>
      </c>
      <c r="E1140" t="inlineStr">
        <is>
          <t>Surface contact</t>
        </is>
      </c>
      <c r="F1140" t="n">
        <v>0</v>
      </c>
      <c r="G1140" t="inlineStr">
        <is>
          <t>Tech D</t>
        </is>
      </c>
      <c r="H1140">
        <f>INDEX(Limits!$B$2:$B$5,MATCH(E1140,Limits!$A$2:$A$5,0))</f>
        <v/>
      </c>
      <c r="I1140">
        <f>INDEX(Limits!$C$2:$C$5,MATCH(E1140,Limits!$A$2:$A$5,0))</f>
        <v/>
      </c>
      <c r="J1140">
        <f>IF(F1140&gt;=I1140,"Action",IF(F1140&gt;=H1140,"Alert","Pass"))</f>
        <v/>
      </c>
      <c r="K1140" s="4">
        <f>DATE(YEAR(B1140),MONTH(B1140),1)</f>
        <v/>
      </c>
    </row>
    <row r="1141">
      <c r="A1141" t="inlineStr">
        <is>
          <t>EM001140</t>
        </is>
      </c>
      <c r="B1141" s="7" t="n">
        <v>46108</v>
      </c>
      <c r="C1141" t="inlineStr">
        <is>
          <t>Gowning</t>
        </is>
      </c>
      <c r="D1141" t="inlineStr">
        <is>
          <t>ISO 8</t>
        </is>
      </c>
      <c r="E1141" t="inlineStr">
        <is>
          <t>Personnel glove</t>
        </is>
      </c>
      <c r="F1141" t="n">
        <v>0</v>
      </c>
      <c r="G1141" t="inlineStr">
        <is>
          <t>Tech D</t>
        </is>
      </c>
      <c r="H1141">
        <f>INDEX(Limits!$B$2:$B$5,MATCH(E1141,Limits!$A$2:$A$5,0))</f>
        <v/>
      </c>
      <c r="I1141">
        <f>INDEX(Limits!$C$2:$C$5,MATCH(E1141,Limits!$A$2:$A$5,0))</f>
        <v/>
      </c>
      <c r="J1141">
        <f>IF(F1141&gt;=I1141,"Action",IF(F1141&gt;=H1141,"Alert","Pass"))</f>
        <v/>
      </c>
      <c r="K1141" s="4">
        <f>DATE(YEAR(B1141),MONTH(B1141),1)</f>
        <v/>
      </c>
    </row>
    <row r="1142">
      <c r="A1142" t="inlineStr">
        <is>
          <t>EM001141</t>
        </is>
      </c>
      <c r="B1142" s="7" t="n">
        <v>46111</v>
      </c>
      <c r="C1142" t="inlineStr">
        <is>
          <t>CR-101</t>
        </is>
      </c>
      <c r="D1142" t="inlineStr">
        <is>
          <t>ISO 7</t>
        </is>
      </c>
      <c r="E1142" t="inlineStr">
        <is>
          <t>Active air</t>
        </is>
      </c>
      <c r="F1142" t="n">
        <v>3</v>
      </c>
      <c r="G1142" t="inlineStr">
        <is>
          <t>Tech C</t>
        </is>
      </c>
      <c r="H1142">
        <f>INDEX(Limits!$B$2:$B$5,MATCH(E1142,Limits!$A$2:$A$5,0))</f>
        <v/>
      </c>
      <c r="I1142">
        <f>INDEX(Limits!$C$2:$C$5,MATCH(E1142,Limits!$A$2:$A$5,0))</f>
        <v/>
      </c>
      <c r="J1142">
        <f>IF(F1142&gt;=I1142,"Action",IF(F1142&gt;=H1142,"Alert","Pass"))</f>
        <v/>
      </c>
      <c r="K1142" s="4">
        <f>DATE(YEAR(B1142),MONTH(B1142),1)</f>
        <v/>
      </c>
    </row>
    <row r="1143">
      <c r="A1143" t="inlineStr">
        <is>
          <t>EM001142</t>
        </is>
      </c>
      <c r="B1143" s="7" t="n">
        <v>46111</v>
      </c>
      <c r="C1143" t="inlineStr">
        <is>
          <t>CR-101</t>
        </is>
      </c>
      <c r="D1143" t="inlineStr">
        <is>
          <t>ISO 7</t>
        </is>
      </c>
      <c r="E1143" t="inlineStr">
        <is>
          <t>Surface contact</t>
        </is>
      </c>
      <c r="F1143" t="n">
        <v>0</v>
      </c>
      <c r="G1143" t="inlineStr">
        <is>
          <t>Tech C</t>
        </is>
      </c>
      <c r="H1143">
        <f>INDEX(Limits!$B$2:$B$5,MATCH(E1143,Limits!$A$2:$A$5,0))</f>
        <v/>
      </c>
      <c r="I1143">
        <f>INDEX(Limits!$C$2:$C$5,MATCH(E1143,Limits!$A$2:$A$5,0))</f>
        <v/>
      </c>
      <c r="J1143">
        <f>IF(F1143&gt;=I1143,"Action",IF(F1143&gt;=H1143,"Alert","Pass"))</f>
        <v/>
      </c>
      <c r="K1143" s="4">
        <f>DATE(YEAR(B1143),MONTH(B1143),1)</f>
        <v/>
      </c>
    </row>
    <row r="1144">
      <c r="A1144" t="inlineStr">
        <is>
          <t>EM001143</t>
        </is>
      </c>
      <c r="B1144" s="7" t="n">
        <v>46111</v>
      </c>
      <c r="C1144" t="inlineStr">
        <is>
          <t>CR-101</t>
        </is>
      </c>
      <c r="D1144" t="inlineStr">
        <is>
          <t>ISO 7</t>
        </is>
      </c>
      <c r="E1144" t="inlineStr">
        <is>
          <t>Compressed air</t>
        </is>
      </c>
      <c r="F1144" t="n">
        <v>0</v>
      </c>
      <c r="G1144" t="inlineStr">
        <is>
          <t>Tech D</t>
        </is>
      </c>
      <c r="H1144">
        <f>INDEX(Limits!$B$2:$B$5,MATCH(E1144,Limits!$A$2:$A$5,0))</f>
        <v/>
      </c>
      <c r="I1144">
        <f>INDEX(Limits!$C$2:$C$5,MATCH(E1144,Limits!$A$2:$A$5,0))</f>
        <v/>
      </c>
      <c r="J1144">
        <f>IF(F1144&gt;=I1144,"Action",IF(F1144&gt;=H1144,"Alert","Pass"))</f>
        <v/>
      </c>
      <c r="K1144" s="4">
        <f>DATE(YEAR(B1144),MONTH(B1144),1)</f>
        <v/>
      </c>
    </row>
    <row r="1145">
      <c r="A1145" t="inlineStr">
        <is>
          <t>EM001144</t>
        </is>
      </c>
      <c r="B1145" s="7" t="n">
        <v>46111</v>
      </c>
      <c r="C1145" t="inlineStr">
        <is>
          <t>CR-101</t>
        </is>
      </c>
      <c r="D1145" t="inlineStr">
        <is>
          <t>ISO 7</t>
        </is>
      </c>
      <c r="E1145" t="inlineStr">
        <is>
          <t>Personnel glove</t>
        </is>
      </c>
      <c r="F1145" t="n">
        <v>1</v>
      </c>
      <c r="G1145" t="inlineStr">
        <is>
          <t>Tech C</t>
        </is>
      </c>
      <c r="H1145">
        <f>INDEX(Limits!$B$2:$B$5,MATCH(E1145,Limits!$A$2:$A$5,0))</f>
        <v/>
      </c>
      <c r="I1145">
        <f>INDEX(Limits!$C$2:$C$5,MATCH(E1145,Limits!$A$2:$A$5,0))</f>
        <v/>
      </c>
      <c r="J1145">
        <f>IF(F1145&gt;=I1145,"Action",IF(F1145&gt;=H1145,"Alert","Pass"))</f>
        <v/>
      </c>
      <c r="K1145" s="4">
        <f>DATE(YEAR(B1145),MONTH(B1145),1)</f>
        <v/>
      </c>
    </row>
    <row r="1146">
      <c r="A1146" t="inlineStr">
        <is>
          <t>EM001145</t>
        </is>
      </c>
      <c r="B1146" s="7" t="n">
        <v>46111</v>
      </c>
      <c r="C1146" t="inlineStr">
        <is>
          <t>CR-102</t>
        </is>
      </c>
      <c r="D1146" t="inlineStr">
        <is>
          <t>ISO 7</t>
        </is>
      </c>
      <c r="E1146" t="inlineStr">
        <is>
          <t>Active air</t>
        </is>
      </c>
      <c r="F1146" t="n">
        <v>1</v>
      </c>
      <c r="G1146" t="inlineStr">
        <is>
          <t>Tech C</t>
        </is>
      </c>
      <c r="H1146">
        <f>INDEX(Limits!$B$2:$B$5,MATCH(E1146,Limits!$A$2:$A$5,0))</f>
        <v/>
      </c>
      <c r="I1146">
        <f>INDEX(Limits!$C$2:$C$5,MATCH(E1146,Limits!$A$2:$A$5,0))</f>
        <v/>
      </c>
      <c r="J1146">
        <f>IF(F1146&gt;=I1146,"Action",IF(F1146&gt;=H1146,"Alert","Pass"))</f>
        <v/>
      </c>
      <c r="K1146" s="4">
        <f>DATE(YEAR(B1146),MONTH(B1146),1)</f>
        <v/>
      </c>
    </row>
    <row r="1147">
      <c r="A1147" t="inlineStr">
        <is>
          <t>EM001146</t>
        </is>
      </c>
      <c r="B1147" s="7" t="n">
        <v>46111</v>
      </c>
      <c r="C1147" t="inlineStr">
        <is>
          <t>CR-102</t>
        </is>
      </c>
      <c r="D1147" t="inlineStr">
        <is>
          <t>ISO 7</t>
        </is>
      </c>
      <c r="E1147" t="inlineStr">
        <is>
          <t>Surface contact</t>
        </is>
      </c>
      <c r="F1147" t="n">
        <v>1</v>
      </c>
      <c r="G1147" t="inlineStr">
        <is>
          <t>Tech D</t>
        </is>
      </c>
      <c r="H1147">
        <f>INDEX(Limits!$B$2:$B$5,MATCH(E1147,Limits!$A$2:$A$5,0))</f>
        <v/>
      </c>
      <c r="I1147">
        <f>INDEX(Limits!$C$2:$C$5,MATCH(E1147,Limits!$A$2:$A$5,0))</f>
        <v/>
      </c>
      <c r="J1147">
        <f>IF(F1147&gt;=I1147,"Action",IF(F1147&gt;=H1147,"Alert","Pass"))</f>
        <v/>
      </c>
      <c r="K1147" s="4">
        <f>DATE(YEAR(B1147),MONTH(B1147),1)</f>
        <v/>
      </c>
    </row>
    <row r="1148">
      <c r="A1148" t="inlineStr">
        <is>
          <t>EM001147</t>
        </is>
      </c>
      <c r="B1148" s="7" t="n">
        <v>46111</v>
      </c>
      <c r="C1148" t="inlineStr">
        <is>
          <t>CR-102</t>
        </is>
      </c>
      <c r="D1148" t="inlineStr">
        <is>
          <t>ISO 7</t>
        </is>
      </c>
      <c r="E1148" t="inlineStr">
        <is>
          <t>Compressed air</t>
        </is>
      </c>
      <c r="F1148" t="n">
        <v>0</v>
      </c>
      <c r="G1148" t="inlineStr">
        <is>
          <t>Tech B</t>
        </is>
      </c>
      <c r="H1148">
        <f>INDEX(Limits!$B$2:$B$5,MATCH(E1148,Limits!$A$2:$A$5,0))</f>
        <v/>
      </c>
      <c r="I1148">
        <f>INDEX(Limits!$C$2:$C$5,MATCH(E1148,Limits!$A$2:$A$5,0))</f>
        <v/>
      </c>
      <c r="J1148">
        <f>IF(F1148&gt;=I1148,"Action",IF(F1148&gt;=H1148,"Alert","Pass"))</f>
        <v/>
      </c>
      <c r="K1148" s="4">
        <f>DATE(YEAR(B1148),MONTH(B1148),1)</f>
        <v/>
      </c>
    </row>
    <row r="1149">
      <c r="A1149" t="inlineStr">
        <is>
          <t>EM001148</t>
        </is>
      </c>
      <c r="B1149" s="7" t="n">
        <v>46111</v>
      </c>
      <c r="C1149" t="inlineStr">
        <is>
          <t>CR-102</t>
        </is>
      </c>
      <c r="D1149" t="inlineStr">
        <is>
          <t>ISO 7</t>
        </is>
      </c>
      <c r="E1149" t="inlineStr">
        <is>
          <t>Personnel glove</t>
        </is>
      </c>
      <c r="F1149" t="n">
        <v>0</v>
      </c>
      <c r="G1149" t="inlineStr">
        <is>
          <t>Tech C</t>
        </is>
      </c>
      <c r="H1149">
        <f>INDEX(Limits!$B$2:$B$5,MATCH(E1149,Limits!$A$2:$A$5,0))</f>
        <v/>
      </c>
      <c r="I1149">
        <f>INDEX(Limits!$C$2:$C$5,MATCH(E1149,Limits!$A$2:$A$5,0))</f>
        <v/>
      </c>
      <c r="J1149">
        <f>IF(F1149&gt;=I1149,"Action",IF(F1149&gt;=H1149,"Alert","Pass"))</f>
        <v/>
      </c>
      <c r="K1149" s="4">
        <f>DATE(YEAR(B1149),MONTH(B1149),1)</f>
        <v/>
      </c>
    </row>
    <row r="1150">
      <c r="A1150" t="inlineStr">
        <is>
          <t>EM001149</t>
        </is>
      </c>
      <c r="B1150" s="7" t="n">
        <v>46111</v>
      </c>
      <c r="C1150" t="inlineStr">
        <is>
          <t>CR-201</t>
        </is>
      </c>
      <c r="D1150" t="inlineStr">
        <is>
          <t>ISO 8</t>
        </is>
      </c>
      <c r="E1150" t="inlineStr">
        <is>
          <t>Active air</t>
        </is>
      </c>
      <c r="F1150" t="n">
        <v>2</v>
      </c>
      <c r="G1150" t="inlineStr">
        <is>
          <t>Tech B</t>
        </is>
      </c>
      <c r="H1150">
        <f>INDEX(Limits!$B$2:$B$5,MATCH(E1150,Limits!$A$2:$A$5,0))</f>
        <v/>
      </c>
      <c r="I1150">
        <f>INDEX(Limits!$C$2:$C$5,MATCH(E1150,Limits!$A$2:$A$5,0))</f>
        <v/>
      </c>
      <c r="J1150">
        <f>IF(F1150&gt;=I1150,"Action",IF(F1150&gt;=H1150,"Alert","Pass"))</f>
        <v/>
      </c>
      <c r="K1150" s="4">
        <f>DATE(YEAR(B1150),MONTH(B1150),1)</f>
        <v/>
      </c>
    </row>
    <row r="1151">
      <c r="A1151" t="inlineStr">
        <is>
          <t>EM001150</t>
        </is>
      </c>
      <c r="B1151" s="7" t="n">
        <v>46111</v>
      </c>
      <c r="C1151" t="inlineStr">
        <is>
          <t>CR-201</t>
        </is>
      </c>
      <c r="D1151" t="inlineStr">
        <is>
          <t>ISO 8</t>
        </is>
      </c>
      <c r="E1151" t="inlineStr">
        <is>
          <t>Surface contact</t>
        </is>
      </c>
      <c r="F1151" t="n">
        <v>0</v>
      </c>
      <c r="G1151" t="inlineStr">
        <is>
          <t>Tech A</t>
        </is>
      </c>
      <c r="H1151">
        <f>INDEX(Limits!$B$2:$B$5,MATCH(E1151,Limits!$A$2:$A$5,0))</f>
        <v/>
      </c>
      <c r="I1151">
        <f>INDEX(Limits!$C$2:$C$5,MATCH(E1151,Limits!$A$2:$A$5,0))</f>
        <v/>
      </c>
      <c r="J1151">
        <f>IF(F1151&gt;=I1151,"Action",IF(F1151&gt;=H1151,"Alert","Pass"))</f>
        <v/>
      </c>
      <c r="K1151" s="4">
        <f>DATE(YEAR(B1151),MONTH(B1151),1)</f>
        <v/>
      </c>
    </row>
    <row r="1152">
      <c r="A1152" t="inlineStr">
        <is>
          <t>EM001151</t>
        </is>
      </c>
      <c r="B1152" s="7" t="n">
        <v>46111</v>
      </c>
      <c r="C1152" t="inlineStr">
        <is>
          <t>CR-201</t>
        </is>
      </c>
      <c r="D1152" t="inlineStr">
        <is>
          <t>ISO 8</t>
        </is>
      </c>
      <c r="E1152" t="inlineStr">
        <is>
          <t>Compressed air</t>
        </is>
      </c>
      <c r="F1152" t="n">
        <v>0</v>
      </c>
      <c r="G1152" t="inlineStr">
        <is>
          <t>Tech B</t>
        </is>
      </c>
      <c r="H1152">
        <f>INDEX(Limits!$B$2:$B$5,MATCH(E1152,Limits!$A$2:$A$5,0))</f>
        <v/>
      </c>
      <c r="I1152">
        <f>INDEX(Limits!$C$2:$C$5,MATCH(E1152,Limits!$A$2:$A$5,0))</f>
        <v/>
      </c>
      <c r="J1152">
        <f>IF(F1152&gt;=I1152,"Action",IF(F1152&gt;=H1152,"Alert","Pass"))</f>
        <v/>
      </c>
      <c r="K1152" s="4">
        <f>DATE(YEAR(B1152),MONTH(B1152),1)</f>
        <v/>
      </c>
    </row>
    <row r="1153">
      <c r="A1153" t="inlineStr">
        <is>
          <t>EM001152</t>
        </is>
      </c>
      <c r="B1153" s="7" t="n">
        <v>46111</v>
      </c>
      <c r="C1153" t="inlineStr">
        <is>
          <t>CR-201</t>
        </is>
      </c>
      <c r="D1153" t="inlineStr">
        <is>
          <t>ISO 8</t>
        </is>
      </c>
      <c r="E1153" t="inlineStr">
        <is>
          <t>Personnel glove</t>
        </is>
      </c>
      <c r="F1153" t="n">
        <v>0</v>
      </c>
      <c r="G1153" t="inlineStr">
        <is>
          <t>Tech C</t>
        </is>
      </c>
      <c r="H1153">
        <f>INDEX(Limits!$B$2:$B$5,MATCH(E1153,Limits!$A$2:$A$5,0))</f>
        <v/>
      </c>
      <c r="I1153">
        <f>INDEX(Limits!$C$2:$C$5,MATCH(E1153,Limits!$A$2:$A$5,0))</f>
        <v/>
      </c>
      <c r="J1153">
        <f>IF(F1153&gt;=I1153,"Action",IF(F1153&gt;=H1153,"Alert","Pass"))</f>
        <v/>
      </c>
      <c r="K1153" s="4">
        <f>DATE(YEAR(B1153),MONTH(B1153),1)</f>
        <v/>
      </c>
    </row>
    <row r="1154">
      <c r="A1154" t="inlineStr">
        <is>
          <t>EM001153</t>
        </is>
      </c>
      <c r="B1154" s="7" t="n">
        <v>46111</v>
      </c>
      <c r="C1154" t="inlineStr">
        <is>
          <t>CR-202</t>
        </is>
      </c>
      <c r="D1154" t="inlineStr">
        <is>
          <t>ISO 8</t>
        </is>
      </c>
      <c r="E1154" t="inlineStr">
        <is>
          <t>Active air</t>
        </is>
      </c>
      <c r="F1154" t="n">
        <v>3</v>
      </c>
      <c r="G1154" t="inlineStr">
        <is>
          <t>Tech C</t>
        </is>
      </c>
      <c r="H1154">
        <f>INDEX(Limits!$B$2:$B$5,MATCH(E1154,Limits!$A$2:$A$5,0))</f>
        <v/>
      </c>
      <c r="I1154">
        <f>INDEX(Limits!$C$2:$C$5,MATCH(E1154,Limits!$A$2:$A$5,0))</f>
        <v/>
      </c>
      <c r="J1154">
        <f>IF(F1154&gt;=I1154,"Action",IF(F1154&gt;=H1154,"Alert","Pass"))</f>
        <v/>
      </c>
      <c r="K1154" s="4">
        <f>DATE(YEAR(B1154),MONTH(B1154),1)</f>
        <v/>
      </c>
    </row>
    <row r="1155">
      <c r="A1155" t="inlineStr">
        <is>
          <t>EM001154</t>
        </is>
      </c>
      <c r="B1155" s="7" t="n">
        <v>46111</v>
      </c>
      <c r="C1155" t="inlineStr">
        <is>
          <t>CR-202</t>
        </is>
      </c>
      <c r="D1155" t="inlineStr">
        <is>
          <t>ISO 8</t>
        </is>
      </c>
      <c r="E1155" t="inlineStr">
        <is>
          <t>Surface contact</t>
        </is>
      </c>
      <c r="F1155" t="n">
        <v>0</v>
      </c>
      <c r="G1155" t="inlineStr">
        <is>
          <t>Tech B</t>
        </is>
      </c>
      <c r="H1155">
        <f>INDEX(Limits!$B$2:$B$5,MATCH(E1155,Limits!$A$2:$A$5,0))</f>
        <v/>
      </c>
      <c r="I1155">
        <f>INDEX(Limits!$C$2:$C$5,MATCH(E1155,Limits!$A$2:$A$5,0))</f>
        <v/>
      </c>
      <c r="J1155">
        <f>IF(F1155&gt;=I1155,"Action",IF(F1155&gt;=H1155,"Alert","Pass"))</f>
        <v/>
      </c>
      <c r="K1155" s="4">
        <f>DATE(YEAR(B1155),MONTH(B1155),1)</f>
        <v/>
      </c>
    </row>
    <row r="1156">
      <c r="A1156" t="inlineStr">
        <is>
          <t>EM001155</t>
        </is>
      </c>
      <c r="B1156" s="7" t="n">
        <v>46111</v>
      </c>
      <c r="C1156" t="inlineStr">
        <is>
          <t>CR-202</t>
        </is>
      </c>
      <c r="D1156" t="inlineStr">
        <is>
          <t>ISO 8</t>
        </is>
      </c>
      <c r="E1156" t="inlineStr">
        <is>
          <t>Compressed air</t>
        </is>
      </c>
      <c r="F1156" t="n">
        <v>0</v>
      </c>
      <c r="G1156" t="inlineStr">
        <is>
          <t>Tech C</t>
        </is>
      </c>
      <c r="H1156">
        <f>INDEX(Limits!$B$2:$B$5,MATCH(E1156,Limits!$A$2:$A$5,0))</f>
        <v/>
      </c>
      <c r="I1156">
        <f>INDEX(Limits!$C$2:$C$5,MATCH(E1156,Limits!$A$2:$A$5,0))</f>
        <v/>
      </c>
      <c r="J1156">
        <f>IF(F1156&gt;=I1156,"Action",IF(F1156&gt;=H1156,"Alert","Pass"))</f>
        <v/>
      </c>
      <c r="K1156" s="4">
        <f>DATE(YEAR(B1156),MONTH(B1156),1)</f>
        <v/>
      </c>
    </row>
    <row r="1157">
      <c r="A1157" t="inlineStr">
        <is>
          <t>EM001156</t>
        </is>
      </c>
      <c r="B1157" s="7" t="n">
        <v>46111</v>
      </c>
      <c r="C1157" t="inlineStr">
        <is>
          <t>CR-202</t>
        </is>
      </c>
      <c r="D1157" t="inlineStr">
        <is>
          <t>ISO 8</t>
        </is>
      </c>
      <c r="E1157" t="inlineStr">
        <is>
          <t>Personnel glove</t>
        </is>
      </c>
      <c r="F1157" t="n">
        <v>0</v>
      </c>
      <c r="G1157" t="inlineStr">
        <is>
          <t>Tech A</t>
        </is>
      </c>
      <c r="H1157">
        <f>INDEX(Limits!$B$2:$B$5,MATCH(E1157,Limits!$A$2:$A$5,0))</f>
        <v/>
      </c>
      <c r="I1157">
        <f>INDEX(Limits!$C$2:$C$5,MATCH(E1157,Limits!$A$2:$A$5,0))</f>
        <v/>
      </c>
      <c r="J1157">
        <f>IF(F1157&gt;=I1157,"Action",IF(F1157&gt;=H1157,"Alert","Pass"))</f>
        <v/>
      </c>
      <c r="K1157" s="4">
        <f>DATE(YEAR(B1157),MONTH(B1157),1)</f>
        <v/>
      </c>
    </row>
    <row r="1158">
      <c r="A1158" t="inlineStr">
        <is>
          <t>EM001157</t>
        </is>
      </c>
      <c r="B1158" s="7" t="n">
        <v>46111</v>
      </c>
      <c r="C1158" t="inlineStr">
        <is>
          <t>Gowning</t>
        </is>
      </c>
      <c r="D1158" t="inlineStr">
        <is>
          <t>ISO 8</t>
        </is>
      </c>
      <c r="E1158" t="inlineStr">
        <is>
          <t>Active air</t>
        </is>
      </c>
      <c r="F1158" t="n">
        <v>2</v>
      </c>
      <c r="G1158" t="inlineStr">
        <is>
          <t>Tech B</t>
        </is>
      </c>
      <c r="H1158">
        <f>INDEX(Limits!$B$2:$B$5,MATCH(E1158,Limits!$A$2:$A$5,0))</f>
        <v/>
      </c>
      <c r="I1158">
        <f>INDEX(Limits!$C$2:$C$5,MATCH(E1158,Limits!$A$2:$A$5,0))</f>
        <v/>
      </c>
      <c r="J1158">
        <f>IF(F1158&gt;=I1158,"Action",IF(F1158&gt;=H1158,"Alert","Pass"))</f>
        <v/>
      </c>
      <c r="K1158" s="4">
        <f>DATE(YEAR(B1158),MONTH(B1158),1)</f>
        <v/>
      </c>
    </row>
    <row r="1159">
      <c r="A1159" t="inlineStr">
        <is>
          <t>EM001158</t>
        </is>
      </c>
      <c r="B1159" s="7" t="n">
        <v>46111</v>
      </c>
      <c r="C1159" t="inlineStr">
        <is>
          <t>Gowning</t>
        </is>
      </c>
      <c r="D1159" t="inlineStr">
        <is>
          <t>ISO 8</t>
        </is>
      </c>
      <c r="E1159" t="inlineStr">
        <is>
          <t>Surface contact</t>
        </is>
      </c>
      <c r="F1159" t="n">
        <v>0</v>
      </c>
      <c r="G1159" t="inlineStr">
        <is>
          <t>Tech B</t>
        </is>
      </c>
      <c r="H1159">
        <f>INDEX(Limits!$B$2:$B$5,MATCH(E1159,Limits!$A$2:$A$5,0))</f>
        <v/>
      </c>
      <c r="I1159">
        <f>INDEX(Limits!$C$2:$C$5,MATCH(E1159,Limits!$A$2:$A$5,0))</f>
        <v/>
      </c>
      <c r="J1159">
        <f>IF(F1159&gt;=I1159,"Action",IF(F1159&gt;=H1159,"Alert","Pass"))</f>
        <v/>
      </c>
      <c r="K1159" s="4">
        <f>DATE(YEAR(B1159),MONTH(B1159),1)</f>
        <v/>
      </c>
    </row>
    <row r="1160">
      <c r="A1160" t="inlineStr">
        <is>
          <t>EM001159</t>
        </is>
      </c>
      <c r="B1160" s="7" t="n">
        <v>46111</v>
      </c>
      <c r="C1160" t="inlineStr">
        <is>
          <t>Gowning</t>
        </is>
      </c>
      <c r="D1160" t="inlineStr">
        <is>
          <t>ISO 8</t>
        </is>
      </c>
      <c r="E1160" t="inlineStr">
        <is>
          <t>Personnel glove</t>
        </is>
      </c>
      <c r="F1160" t="n">
        <v>0</v>
      </c>
      <c r="G1160" t="inlineStr">
        <is>
          <t>Tech D</t>
        </is>
      </c>
      <c r="H1160">
        <f>INDEX(Limits!$B$2:$B$5,MATCH(E1160,Limits!$A$2:$A$5,0))</f>
        <v/>
      </c>
      <c r="I1160">
        <f>INDEX(Limits!$C$2:$C$5,MATCH(E1160,Limits!$A$2:$A$5,0))</f>
        <v/>
      </c>
      <c r="J1160">
        <f>IF(F1160&gt;=I1160,"Action",IF(F1160&gt;=H1160,"Alert","Pass"))</f>
        <v/>
      </c>
      <c r="K1160" s="4">
        <f>DATE(YEAR(B1160),MONTH(B1160),1)</f>
        <v/>
      </c>
    </row>
    <row r="1161">
      <c r="A1161" t="inlineStr">
        <is>
          <t>EM001160</t>
        </is>
      </c>
      <c r="B1161" s="7" t="n">
        <v>46112</v>
      </c>
      <c r="C1161" t="inlineStr">
        <is>
          <t>CR-101</t>
        </is>
      </c>
      <c r="D1161" t="inlineStr">
        <is>
          <t>ISO 7</t>
        </is>
      </c>
      <c r="E1161" t="inlineStr">
        <is>
          <t>Active air</t>
        </is>
      </c>
      <c r="F1161" t="n">
        <v>0</v>
      </c>
      <c r="G1161" t="inlineStr">
        <is>
          <t>Tech C</t>
        </is>
      </c>
      <c r="H1161">
        <f>INDEX(Limits!$B$2:$B$5,MATCH(E1161,Limits!$A$2:$A$5,0))</f>
        <v/>
      </c>
      <c r="I1161">
        <f>INDEX(Limits!$C$2:$C$5,MATCH(E1161,Limits!$A$2:$A$5,0))</f>
        <v/>
      </c>
      <c r="J1161">
        <f>IF(F1161&gt;=I1161,"Action",IF(F1161&gt;=H1161,"Alert","Pass"))</f>
        <v/>
      </c>
      <c r="K1161" s="4">
        <f>DATE(YEAR(B1161),MONTH(B1161),1)</f>
        <v/>
      </c>
    </row>
    <row r="1162">
      <c r="A1162" t="inlineStr">
        <is>
          <t>EM001161</t>
        </is>
      </c>
      <c r="B1162" s="7" t="n">
        <v>46112</v>
      </c>
      <c r="C1162" t="inlineStr">
        <is>
          <t>CR-101</t>
        </is>
      </c>
      <c r="D1162" t="inlineStr">
        <is>
          <t>ISO 7</t>
        </is>
      </c>
      <c r="E1162" t="inlineStr">
        <is>
          <t>Surface contact</t>
        </is>
      </c>
      <c r="F1162" t="n">
        <v>1</v>
      </c>
      <c r="G1162" t="inlineStr">
        <is>
          <t>Tech B</t>
        </is>
      </c>
      <c r="H1162">
        <f>INDEX(Limits!$B$2:$B$5,MATCH(E1162,Limits!$A$2:$A$5,0))</f>
        <v/>
      </c>
      <c r="I1162">
        <f>INDEX(Limits!$C$2:$C$5,MATCH(E1162,Limits!$A$2:$A$5,0))</f>
        <v/>
      </c>
      <c r="J1162">
        <f>IF(F1162&gt;=I1162,"Action",IF(F1162&gt;=H1162,"Alert","Pass"))</f>
        <v/>
      </c>
      <c r="K1162" s="4">
        <f>DATE(YEAR(B1162),MONTH(B1162),1)</f>
        <v/>
      </c>
    </row>
    <row r="1163">
      <c r="A1163" t="inlineStr">
        <is>
          <t>EM001162</t>
        </is>
      </c>
      <c r="B1163" s="7" t="n">
        <v>46112</v>
      </c>
      <c r="C1163" t="inlineStr">
        <is>
          <t>CR-101</t>
        </is>
      </c>
      <c r="D1163" t="inlineStr">
        <is>
          <t>ISO 7</t>
        </is>
      </c>
      <c r="E1163" t="inlineStr">
        <is>
          <t>Compressed air</t>
        </is>
      </c>
      <c r="F1163" t="n">
        <v>0</v>
      </c>
      <c r="G1163" t="inlineStr">
        <is>
          <t>Tech D</t>
        </is>
      </c>
      <c r="H1163">
        <f>INDEX(Limits!$B$2:$B$5,MATCH(E1163,Limits!$A$2:$A$5,0))</f>
        <v/>
      </c>
      <c r="I1163">
        <f>INDEX(Limits!$C$2:$C$5,MATCH(E1163,Limits!$A$2:$A$5,0))</f>
        <v/>
      </c>
      <c r="J1163">
        <f>IF(F1163&gt;=I1163,"Action",IF(F1163&gt;=H1163,"Alert","Pass"))</f>
        <v/>
      </c>
      <c r="K1163" s="4">
        <f>DATE(YEAR(B1163),MONTH(B1163),1)</f>
        <v/>
      </c>
    </row>
    <row r="1164">
      <c r="A1164" t="inlineStr">
        <is>
          <t>EM001163</t>
        </is>
      </c>
      <c r="B1164" s="7" t="n">
        <v>46112</v>
      </c>
      <c r="C1164" t="inlineStr">
        <is>
          <t>CR-101</t>
        </is>
      </c>
      <c r="D1164" t="inlineStr">
        <is>
          <t>ISO 7</t>
        </is>
      </c>
      <c r="E1164" t="inlineStr">
        <is>
          <t>Personnel glove</t>
        </is>
      </c>
      <c r="F1164" t="n">
        <v>0</v>
      </c>
      <c r="G1164" t="inlineStr">
        <is>
          <t>Tech B</t>
        </is>
      </c>
      <c r="H1164">
        <f>INDEX(Limits!$B$2:$B$5,MATCH(E1164,Limits!$A$2:$A$5,0))</f>
        <v/>
      </c>
      <c r="I1164">
        <f>INDEX(Limits!$C$2:$C$5,MATCH(E1164,Limits!$A$2:$A$5,0))</f>
        <v/>
      </c>
      <c r="J1164">
        <f>IF(F1164&gt;=I1164,"Action",IF(F1164&gt;=H1164,"Alert","Pass"))</f>
        <v/>
      </c>
      <c r="K1164" s="4">
        <f>DATE(YEAR(B1164),MONTH(B1164),1)</f>
        <v/>
      </c>
    </row>
    <row r="1165">
      <c r="A1165" t="inlineStr">
        <is>
          <t>EM001164</t>
        </is>
      </c>
      <c r="B1165" s="7" t="n">
        <v>46112</v>
      </c>
      <c r="C1165" t="inlineStr">
        <is>
          <t>CR-102</t>
        </is>
      </c>
      <c r="D1165" t="inlineStr">
        <is>
          <t>ISO 7</t>
        </is>
      </c>
      <c r="E1165" t="inlineStr">
        <is>
          <t>Active air</t>
        </is>
      </c>
      <c r="F1165" t="n">
        <v>0</v>
      </c>
      <c r="G1165" t="inlineStr">
        <is>
          <t>Tech D</t>
        </is>
      </c>
      <c r="H1165">
        <f>INDEX(Limits!$B$2:$B$5,MATCH(E1165,Limits!$A$2:$A$5,0))</f>
        <v/>
      </c>
      <c r="I1165">
        <f>INDEX(Limits!$C$2:$C$5,MATCH(E1165,Limits!$A$2:$A$5,0))</f>
        <v/>
      </c>
      <c r="J1165">
        <f>IF(F1165&gt;=I1165,"Action",IF(F1165&gt;=H1165,"Alert","Pass"))</f>
        <v/>
      </c>
      <c r="K1165" s="4">
        <f>DATE(YEAR(B1165),MONTH(B1165),1)</f>
        <v/>
      </c>
    </row>
    <row r="1166">
      <c r="A1166" t="inlineStr">
        <is>
          <t>EM001165</t>
        </is>
      </c>
      <c r="B1166" s="7" t="n">
        <v>46112</v>
      </c>
      <c r="C1166" t="inlineStr">
        <is>
          <t>CR-102</t>
        </is>
      </c>
      <c r="D1166" t="inlineStr">
        <is>
          <t>ISO 7</t>
        </is>
      </c>
      <c r="E1166" t="inlineStr">
        <is>
          <t>Surface contact</t>
        </is>
      </c>
      <c r="F1166" t="n">
        <v>1</v>
      </c>
      <c r="G1166" t="inlineStr">
        <is>
          <t>Tech A</t>
        </is>
      </c>
      <c r="H1166">
        <f>INDEX(Limits!$B$2:$B$5,MATCH(E1166,Limits!$A$2:$A$5,0))</f>
        <v/>
      </c>
      <c r="I1166">
        <f>INDEX(Limits!$C$2:$C$5,MATCH(E1166,Limits!$A$2:$A$5,0))</f>
        <v/>
      </c>
      <c r="J1166">
        <f>IF(F1166&gt;=I1166,"Action",IF(F1166&gt;=H1166,"Alert","Pass"))</f>
        <v/>
      </c>
      <c r="K1166" s="4">
        <f>DATE(YEAR(B1166),MONTH(B1166),1)</f>
        <v/>
      </c>
    </row>
    <row r="1167">
      <c r="A1167" t="inlineStr">
        <is>
          <t>EM001166</t>
        </is>
      </c>
      <c r="B1167" s="7" t="n">
        <v>46112</v>
      </c>
      <c r="C1167" t="inlineStr">
        <is>
          <t>CR-102</t>
        </is>
      </c>
      <c r="D1167" t="inlineStr">
        <is>
          <t>ISO 7</t>
        </is>
      </c>
      <c r="E1167" t="inlineStr">
        <is>
          <t>Compressed air</t>
        </is>
      </c>
      <c r="F1167" t="n">
        <v>0</v>
      </c>
      <c r="G1167" t="inlineStr">
        <is>
          <t>Tech C</t>
        </is>
      </c>
      <c r="H1167">
        <f>INDEX(Limits!$B$2:$B$5,MATCH(E1167,Limits!$A$2:$A$5,0))</f>
        <v/>
      </c>
      <c r="I1167">
        <f>INDEX(Limits!$C$2:$C$5,MATCH(E1167,Limits!$A$2:$A$5,0))</f>
        <v/>
      </c>
      <c r="J1167">
        <f>IF(F1167&gt;=I1167,"Action",IF(F1167&gt;=H1167,"Alert","Pass"))</f>
        <v/>
      </c>
      <c r="K1167" s="4">
        <f>DATE(YEAR(B1167),MONTH(B1167),1)</f>
        <v/>
      </c>
    </row>
    <row r="1168">
      <c r="A1168" t="inlineStr">
        <is>
          <t>EM001167</t>
        </is>
      </c>
      <c r="B1168" s="7" t="n">
        <v>46112</v>
      </c>
      <c r="C1168" t="inlineStr">
        <is>
          <t>CR-102</t>
        </is>
      </c>
      <c r="D1168" t="inlineStr">
        <is>
          <t>ISO 7</t>
        </is>
      </c>
      <c r="E1168" t="inlineStr">
        <is>
          <t>Personnel glove</t>
        </is>
      </c>
      <c r="F1168" t="n">
        <v>0</v>
      </c>
      <c r="G1168" t="inlineStr">
        <is>
          <t>Tech D</t>
        </is>
      </c>
      <c r="H1168">
        <f>INDEX(Limits!$B$2:$B$5,MATCH(E1168,Limits!$A$2:$A$5,0))</f>
        <v/>
      </c>
      <c r="I1168">
        <f>INDEX(Limits!$C$2:$C$5,MATCH(E1168,Limits!$A$2:$A$5,0))</f>
        <v/>
      </c>
      <c r="J1168">
        <f>IF(F1168&gt;=I1168,"Action",IF(F1168&gt;=H1168,"Alert","Pass"))</f>
        <v/>
      </c>
      <c r="K1168" s="4">
        <f>DATE(YEAR(B1168),MONTH(B1168),1)</f>
        <v/>
      </c>
    </row>
    <row r="1169">
      <c r="A1169" t="inlineStr">
        <is>
          <t>EM001168</t>
        </is>
      </c>
      <c r="B1169" s="7" t="n">
        <v>46112</v>
      </c>
      <c r="C1169" t="inlineStr">
        <is>
          <t>CR-201</t>
        </is>
      </c>
      <c r="D1169" t="inlineStr">
        <is>
          <t>ISO 8</t>
        </is>
      </c>
      <c r="E1169" t="inlineStr">
        <is>
          <t>Active air</t>
        </is>
      </c>
      <c r="F1169" t="n">
        <v>1</v>
      </c>
      <c r="G1169" t="inlineStr">
        <is>
          <t>Tech A</t>
        </is>
      </c>
      <c r="H1169">
        <f>INDEX(Limits!$B$2:$B$5,MATCH(E1169,Limits!$A$2:$A$5,0))</f>
        <v/>
      </c>
      <c r="I1169">
        <f>INDEX(Limits!$C$2:$C$5,MATCH(E1169,Limits!$A$2:$A$5,0))</f>
        <v/>
      </c>
      <c r="J1169">
        <f>IF(F1169&gt;=I1169,"Action",IF(F1169&gt;=H1169,"Alert","Pass"))</f>
        <v/>
      </c>
      <c r="K1169" s="4">
        <f>DATE(YEAR(B1169),MONTH(B1169),1)</f>
        <v/>
      </c>
    </row>
    <row r="1170">
      <c r="A1170" t="inlineStr">
        <is>
          <t>EM001169</t>
        </is>
      </c>
      <c r="B1170" s="7" t="n">
        <v>46112</v>
      </c>
      <c r="C1170" t="inlineStr">
        <is>
          <t>CR-201</t>
        </is>
      </c>
      <c r="D1170" t="inlineStr">
        <is>
          <t>ISO 8</t>
        </is>
      </c>
      <c r="E1170" t="inlineStr">
        <is>
          <t>Surface contact</t>
        </is>
      </c>
      <c r="F1170" t="n">
        <v>1</v>
      </c>
      <c r="G1170" t="inlineStr">
        <is>
          <t>Tech D</t>
        </is>
      </c>
      <c r="H1170">
        <f>INDEX(Limits!$B$2:$B$5,MATCH(E1170,Limits!$A$2:$A$5,0))</f>
        <v/>
      </c>
      <c r="I1170">
        <f>INDEX(Limits!$C$2:$C$5,MATCH(E1170,Limits!$A$2:$A$5,0))</f>
        <v/>
      </c>
      <c r="J1170">
        <f>IF(F1170&gt;=I1170,"Action",IF(F1170&gt;=H1170,"Alert","Pass"))</f>
        <v/>
      </c>
      <c r="K1170" s="4">
        <f>DATE(YEAR(B1170),MONTH(B1170),1)</f>
        <v/>
      </c>
    </row>
    <row r="1171">
      <c r="A1171" t="inlineStr">
        <is>
          <t>EM001170</t>
        </is>
      </c>
      <c r="B1171" s="7" t="n">
        <v>46112</v>
      </c>
      <c r="C1171" t="inlineStr">
        <is>
          <t>CR-201</t>
        </is>
      </c>
      <c r="D1171" t="inlineStr">
        <is>
          <t>ISO 8</t>
        </is>
      </c>
      <c r="E1171" t="inlineStr">
        <is>
          <t>Compressed air</t>
        </is>
      </c>
      <c r="F1171" t="n">
        <v>0</v>
      </c>
      <c r="G1171" t="inlineStr">
        <is>
          <t>Tech B</t>
        </is>
      </c>
      <c r="H1171">
        <f>INDEX(Limits!$B$2:$B$5,MATCH(E1171,Limits!$A$2:$A$5,0))</f>
        <v/>
      </c>
      <c r="I1171">
        <f>INDEX(Limits!$C$2:$C$5,MATCH(E1171,Limits!$A$2:$A$5,0))</f>
        <v/>
      </c>
      <c r="J1171">
        <f>IF(F1171&gt;=I1171,"Action",IF(F1171&gt;=H1171,"Alert","Pass"))</f>
        <v/>
      </c>
      <c r="K1171" s="4">
        <f>DATE(YEAR(B1171),MONTH(B1171),1)</f>
        <v/>
      </c>
    </row>
    <row r="1172">
      <c r="A1172" t="inlineStr">
        <is>
          <t>EM001171</t>
        </is>
      </c>
      <c r="B1172" s="7" t="n">
        <v>46112</v>
      </c>
      <c r="C1172" t="inlineStr">
        <is>
          <t>CR-201</t>
        </is>
      </c>
      <c r="D1172" t="inlineStr">
        <is>
          <t>ISO 8</t>
        </is>
      </c>
      <c r="E1172" t="inlineStr">
        <is>
          <t>Personnel glove</t>
        </is>
      </c>
      <c r="F1172" t="n">
        <v>0</v>
      </c>
      <c r="G1172" t="inlineStr">
        <is>
          <t>Tech B</t>
        </is>
      </c>
      <c r="H1172">
        <f>INDEX(Limits!$B$2:$B$5,MATCH(E1172,Limits!$A$2:$A$5,0))</f>
        <v/>
      </c>
      <c r="I1172">
        <f>INDEX(Limits!$C$2:$C$5,MATCH(E1172,Limits!$A$2:$A$5,0))</f>
        <v/>
      </c>
      <c r="J1172">
        <f>IF(F1172&gt;=I1172,"Action",IF(F1172&gt;=H1172,"Alert","Pass"))</f>
        <v/>
      </c>
      <c r="K1172" s="4">
        <f>DATE(YEAR(B1172),MONTH(B1172),1)</f>
        <v/>
      </c>
    </row>
    <row r="1173">
      <c r="A1173" t="inlineStr">
        <is>
          <t>EM001172</t>
        </is>
      </c>
      <c r="B1173" s="7" t="n">
        <v>46112</v>
      </c>
      <c r="C1173" t="inlineStr">
        <is>
          <t>CR-202</t>
        </is>
      </c>
      <c r="D1173" t="inlineStr">
        <is>
          <t>ISO 8</t>
        </is>
      </c>
      <c r="E1173" t="inlineStr">
        <is>
          <t>Active air</t>
        </is>
      </c>
      <c r="F1173" t="n">
        <v>3</v>
      </c>
      <c r="G1173" t="inlineStr">
        <is>
          <t>Tech B</t>
        </is>
      </c>
      <c r="H1173">
        <f>INDEX(Limits!$B$2:$B$5,MATCH(E1173,Limits!$A$2:$A$5,0))</f>
        <v/>
      </c>
      <c r="I1173">
        <f>INDEX(Limits!$C$2:$C$5,MATCH(E1173,Limits!$A$2:$A$5,0))</f>
        <v/>
      </c>
      <c r="J1173">
        <f>IF(F1173&gt;=I1173,"Action",IF(F1173&gt;=H1173,"Alert","Pass"))</f>
        <v/>
      </c>
      <c r="K1173" s="4">
        <f>DATE(YEAR(B1173),MONTH(B1173),1)</f>
        <v/>
      </c>
    </row>
    <row r="1174">
      <c r="A1174" t="inlineStr">
        <is>
          <t>EM001173</t>
        </is>
      </c>
      <c r="B1174" s="7" t="n">
        <v>46112</v>
      </c>
      <c r="C1174" t="inlineStr">
        <is>
          <t>CR-202</t>
        </is>
      </c>
      <c r="D1174" t="inlineStr">
        <is>
          <t>ISO 8</t>
        </is>
      </c>
      <c r="E1174" t="inlineStr">
        <is>
          <t>Surface contact</t>
        </is>
      </c>
      <c r="F1174" t="n">
        <v>1</v>
      </c>
      <c r="G1174" t="inlineStr">
        <is>
          <t>Tech D</t>
        </is>
      </c>
      <c r="H1174">
        <f>INDEX(Limits!$B$2:$B$5,MATCH(E1174,Limits!$A$2:$A$5,0))</f>
        <v/>
      </c>
      <c r="I1174">
        <f>INDEX(Limits!$C$2:$C$5,MATCH(E1174,Limits!$A$2:$A$5,0))</f>
        <v/>
      </c>
      <c r="J1174">
        <f>IF(F1174&gt;=I1174,"Action",IF(F1174&gt;=H1174,"Alert","Pass"))</f>
        <v/>
      </c>
      <c r="K1174" s="4">
        <f>DATE(YEAR(B1174),MONTH(B1174),1)</f>
        <v/>
      </c>
    </row>
    <row r="1175">
      <c r="A1175" t="inlineStr">
        <is>
          <t>EM001174</t>
        </is>
      </c>
      <c r="B1175" s="7" t="n">
        <v>46112</v>
      </c>
      <c r="C1175" t="inlineStr">
        <is>
          <t>CR-202</t>
        </is>
      </c>
      <c r="D1175" t="inlineStr">
        <is>
          <t>ISO 8</t>
        </is>
      </c>
      <c r="E1175" t="inlineStr">
        <is>
          <t>Compressed air</t>
        </is>
      </c>
      <c r="F1175" t="n">
        <v>0</v>
      </c>
      <c r="G1175" t="inlineStr">
        <is>
          <t>Tech B</t>
        </is>
      </c>
      <c r="H1175">
        <f>INDEX(Limits!$B$2:$B$5,MATCH(E1175,Limits!$A$2:$A$5,0))</f>
        <v/>
      </c>
      <c r="I1175">
        <f>INDEX(Limits!$C$2:$C$5,MATCH(E1175,Limits!$A$2:$A$5,0))</f>
        <v/>
      </c>
      <c r="J1175">
        <f>IF(F1175&gt;=I1175,"Action",IF(F1175&gt;=H1175,"Alert","Pass"))</f>
        <v/>
      </c>
      <c r="K1175" s="4">
        <f>DATE(YEAR(B1175),MONTH(B1175),1)</f>
        <v/>
      </c>
    </row>
    <row r="1176">
      <c r="A1176" t="inlineStr">
        <is>
          <t>EM001175</t>
        </is>
      </c>
      <c r="B1176" s="7" t="n">
        <v>46112</v>
      </c>
      <c r="C1176" t="inlineStr">
        <is>
          <t>CR-202</t>
        </is>
      </c>
      <c r="D1176" t="inlineStr">
        <is>
          <t>ISO 8</t>
        </is>
      </c>
      <c r="E1176" t="inlineStr">
        <is>
          <t>Personnel glove</t>
        </is>
      </c>
      <c r="F1176" t="n">
        <v>0</v>
      </c>
      <c r="G1176" t="inlineStr">
        <is>
          <t>Tech C</t>
        </is>
      </c>
      <c r="H1176">
        <f>INDEX(Limits!$B$2:$B$5,MATCH(E1176,Limits!$A$2:$A$5,0))</f>
        <v/>
      </c>
      <c r="I1176">
        <f>INDEX(Limits!$C$2:$C$5,MATCH(E1176,Limits!$A$2:$A$5,0))</f>
        <v/>
      </c>
      <c r="J1176">
        <f>IF(F1176&gt;=I1176,"Action",IF(F1176&gt;=H1176,"Alert","Pass"))</f>
        <v/>
      </c>
      <c r="K1176" s="4">
        <f>DATE(YEAR(B1176),MONTH(B1176),1)</f>
        <v/>
      </c>
    </row>
    <row r="1177">
      <c r="A1177" t="inlineStr">
        <is>
          <t>EM001176</t>
        </is>
      </c>
      <c r="B1177" s="7" t="n">
        <v>46112</v>
      </c>
      <c r="C1177" t="inlineStr">
        <is>
          <t>Gowning</t>
        </is>
      </c>
      <c r="D1177" t="inlineStr">
        <is>
          <t>ISO 8</t>
        </is>
      </c>
      <c r="E1177" t="inlineStr">
        <is>
          <t>Active air</t>
        </is>
      </c>
      <c r="F1177" t="n">
        <v>3</v>
      </c>
      <c r="G1177" t="inlineStr">
        <is>
          <t>Tech B</t>
        </is>
      </c>
      <c r="H1177">
        <f>INDEX(Limits!$B$2:$B$5,MATCH(E1177,Limits!$A$2:$A$5,0))</f>
        <v/>
      </c>
      <c r="I1177">
        <f>INDEX(Limits!$C$2:$C$5,MATCH(E1177,Limits!$A$2:$A$5,0))</f>
        <v/>
      </c>
      <c r="J1177">
        <f>IF(F1177&gt;=I1177,"Action",IF(F1177&gt;=H1177,"Alert","Pass"))</f>
        <v/>
      </c>
      <c r="K1177" s="4">
        <f>DATE(YEAR(B1177),MONTH(B1177),1)</f>
        <v/>
      </c>
    </row>
    <row r="1178">
      <c r="A1178" t="inlineStr">
        <is>
          <t>EM001177</t>
        </is>
      </c>
      <c r="B1178" s="7" t="n">
        <v>46112</v>
      </c>
      <c r="C1178" t="inlineStr">
        <is>
          <t>Gowning</t>
        </is>
      </c>
      <c r="D1178" t="inlineStr">
        <is>
          <t>ISO 8</t>
        </is>
      </c>
      <c r="E1178" t="inlineStr">
        <is>
          <t>Surface contact</t>
        </is>
      </c>
      <c r="F1178" t="n">
        <v>0</v>
      </c>
      <c r="G1178" t="inlineStr">
        <is>
          <t>Tech A</t>
        </is>
      </c>
      <c r="H1178">
        <f>INDEX(Limits!$B$2:$B$5,MATCH(E1178,Limits!$A$2:$A$5,0))</f>
        <v/>
      </c>
      <c r="I1178">
        <f>INDEX(Limits!$C$2:$C$5,MATCH(E1178,Limits!$A$2:$A$5,0))</f>
        <v/>
      </c>
      <c r="J1178">
        <f>IF(F1178&gt;=I1178,"Action",IF(F1178&gt;=H1178,"Alert","Pass"))</f>
        <v/>
      </c>
      <c r="K1178" s="4">
        <f>DATE(YEAR(B1178),MONTH(B1178),1)</f>
        <v/>
      </c>
    </row>
    <row r="1179">
      <c r="A1179" t="inlineStr">
        <is>
          <t>EM001178</t>
        </is>
      </c>
      <c r="B1179" s="7" t="n">
        <v>46112</v>
      </c>
      <c r="C1179" t="inlineStr">
        <is>
          <t>Gowning</t>
        </is>
      </c>
      <c r="D1179" t="inlineStr">
        <is>
          <t>ISO 8</t>
        </is>
      </c>
      <c r="E1179" t="inlineStr">
        <is>
          <t>Personnel glove</t>
        </is>
      </c>
      <c r="F1179" t="n">
        <v>0</v>
      </c>
      <c r="G1179" t="inlineStr">
        <is>
          <t>Tech D</t>
        </is>
      </c>
      <c r="H1179">
        <f>INDEX(Limits!$B$2:$B$5,MATCH(E1179,Limits!$A$2:$A$5,0))</f>
        <v/>
      </c>
      <c r="I1179">
        <f>INDEX(Limits!$C$2:$C$5,MATCH(E1179,Limits!$A$2:$A$5,0))</f>
        <v/>
      </c>
      <c r="J1179">
        <f>IF(F1179&gt;=I1179,"Action",IF(F1179&gt;=H1179,"Alert","Pass"))</f>
        <v/>
      </c>
      <c r="K1179" s="4">
        <f>DATE(YEAR(B1179),MONTH(B1179),1)</f>
        <v/>
      </c>
    </row>
    <row r="1180">
      <c r="A1180" t="inlineStr">
        <is>
          <t>EM001179</t>
        </is>
      </c>
      <c r="B1180" s="7" t="n">
        <v>46113</v>
      </c>
      <c r="C1180" t="inlineStr">
        <is>
          <t>CR-101</t>
        </is>
      </c>
      <c r="D1180" t="inlineStr">
        <is>
          <t>ISO 7</t>
        </is>
      </c>
      <c r="E1180" t="inlineStr">
        <is>
          <t>Active air</t>
        </is>
      </c>
      <c r="F1180" t="n">
        <v>0</v>
      </c>
      <c r="G1180" t="inlineStr">
        <is>
          <t>Tech B</t>
        </is>
      </c>
      <c r="H1180">
        <f>INDEX(Limits!$B$2:$B$5,MATCH(E1180,Limits!$A$2:$A$5,0))</f>
        <v/>
      </c>
      <c r="I1180">
        <f>INDEX(Limits!$C$2:$C$5,MATCH(E1180,Limits!$A$2:$A$5,0))</f>
        <v/>
      </c>
      <c r="J1180">
        <f>IF(F1180&gt;=I1180,"Action",IF(F1180&gt;=H1180,"Alert","Pass"))</f>
        <v/>
      </c>
      <c r="K1180" s="4">
        <f>DATE(YEAR(B1180),MONTH(B1180),1)</f>
        <v/>
      </c>
    </row>
    <row r="1181">
      <c r="A1181" t="inlineStr">
        <is>
          <t>EM001180</t>
        </is>
      </c>
      <c r="B1181" s="7" t="n">
        <v>46113</v>
      </c>
      <c r="C1181" t="inlineStr">
        <is>
          <t>CR-101</t>
        </is>
      </c>
      <c r="D1181" t="inlineStr">
        <is>
          <t>ISO 7</t>
        </is>
      </c>
      <c r="E1181" t="inlineStr">
        <is>
          <t>Surface contact</t>
        </is>
      </c>
      <c r="F1181" t="n">
        <v>0</v>
      </c>
      <c r="G1181" t="inlineStr">
        <is>
          <t>Tech D</t>
        </is>
      </c>
      <c r="H1181">
        <f>INDEX(Limits!$B$2:$B$5,MATCH(E1181,Limits!$A$2:$A$5,0))</f>
        <v/>
      </c>
      <c r="I1181">
        <f>INDEX(Limits!$C$2:$C$5,MATCH(E1181,Limits!$A$2:$A$5,0))</f>
        <v/>
      </c>
      <c r="J1181">
        <f>IF(F1181&gt;=I1181,"Action",IF(F1181&gt;=H1181,"Alert","Pass"))</f>
        <v/>
      </c>
      <c r="K1181" s="4">
        <f>DATE(YEAR(B1181),MONTH(B1181),1)</f>
        <v/>
      </c>
    </row>
    <row r="1182">
      <c r="A1182" t="inlineStr">
        <is>
          <t>EM001181</t>
        </is>
      </c>
      <c r="B1182" s="7" t="n">
        <v>46113</v>
      </c>
      <c r="C1182" t="inlineStr">
        <is>
          <t>CR-101</t>
        </is>
      </c>
      <c r="D1182" t="inlineStr">
        <is>
          <t>ISO 7</t>
        </is>
      </c>
      <c r="E1182" t="inlineStr">
        <is>
          <t>Compressed air</t>
        </is>
      </c>
      <c r="F1182" t="n">
        <v>0</v>
      </c>
      <c r="G1182" t="inlineStr">
        <is>
          <t>Tech A</t>
        </is>
      </c>
      <c r="H1182">
        <f>INDEX(Limits!$B$2:$B$5,MATCH(E1182,Limits!$A$2:$A$5,0))</f>
        <v/>
      </c>
      <c r="I1182">
        <f>INDEX(Limits!$C$2:$C$5,MATCH(E1182,Limits!$A$2:$A$5,0))</f>
        <v/>
      </c>
      <c r="J1182">
        <f>IF(F1182&gt;=I1182,"Action",IF(F1182&gt;=H1182,"Alert","Pass"))</f>
        <v/>
      </c>
      <c r="K1182" s="4">
        <f>DATE(YEAR(B1182),MONTH(B1182),1)</f>
        <v/>
      </c>
    </row>
    <row r="1183">
      <c r="A1183" t="inlineStr">
        <is>
          <t>EM001182</t>
        </is>
      </c>
      <c r="B1183" s="7" t="n">
        <v>46113</v>
      </c>
      <c r="C1183" t="inlineStr">
        <is>
          <t>CR-101</t>
        </is>
      </c>
      <c r="D1183" t="inlineStr">
        <is>
          <t>ISO 7</t>
        </is>
      </c>
      <c r="E1183" t="inlineStr">
        <is>
          <t>Personnel glove</t>
        </is>
      </c>
      <c r="F1183" t="n">
        <v>0</v>
      </c>
      <c r="G1183" t="inlineStr">
        <is>
          <t>Tech A</t>
        </is>
      </c>
      <c r="H1183">
        <f>INDEX(Limits!$B$2:$B$5,MATCH(E1183,Limits!$A$2:$A$5,0))</f>
        <v/>
      </c>
      <c r="I1183">
        <f>INDEX(Limits!$C$2:$C$5,MATCH(E1183,Limits!$A$2:$A$5,0))</f>
        <v/>
      </c>
      <c r="J1183">
        <f>IF(F1183&gt;=I1183,"Action",IF(F1183&gt;=H1183,"Alert","Pass"))</f>
        <v/>
      </c>
      <c r="K1183" s="4">
        <f>DATE(YEAR(B1183),MONTH(B1183),1)</f>
        <v/>
      </c>
    </row>
    <row r="1184">
      <c r="A1184" t="inlineStr">
        <is>
          <t>EM001183</t>
        </is>
      </c>
      <c r="B1184" s="7" t="n">
        <v>46113</v>
      </c>
      <c r="C1184" t="inlineStr">
        <is>
          <t>CR-102</t>
        </is>
      </c>
      <c r="D1184" t="inlineStr">
        <is>
          <t>ISO 7</t>
        </is>
      </c>
      <c r="E1184" t="inlineStr">
        <is>
          <t>Active air</t>
        </is>
      </c>
      <c r="F1184" t="n">
        <v>2</v>
      </c>
      <c r="G1184" t="inlineStr">
        <is>
          <t>Tech D</t>
        </is>
      </c>
      <c r="H1184">
        <f>INDEX(Limits!$B$2:$B$5,MATCH(E1184,Limits!$A$2:$A$5,0))</f>
        <v/>
      </c>
      <c r="I1184">
        <f>INDEX(Limits!$C$2:$C$5,MATCH(E1184,Limits!$A$2:$A$5,0))</f>
        <v/>
      </c>
      <c r="J1184">
        <f>IF(F1184&gt;=I1184,"Action",IF(F1184&gt;=H1184,"Alert","Pass"))</f>
        <v/>
      </c>
      <c r="K1184" s="4">
        <f>DATE(YEAR(B1184),MONTH(B1184),1)</f>
        <v/>
      </c>
    </row>
    <row r="1185">
      <c r="A1185" t="inlineStr">
        <is>
          <t>EM001184</t>
        </is>
      </c>
      <c r="B1185" s="7" t="n">
        <v>46113</v>
      </c>
      <c r="C1185" t="inlineStr">
        <is>
          <t>CR-102</t>
        </is>
      </c>
      <c r="D1185" t="inlineStr">
        <is>
          <t>ISO 7</t>
        </is>
      </c>
      <c r="E1185" t="inlineStr">
        <is>
          <t>Surface contact</t>
        </is>
      </c>
      <c r="F1185" t="n">
        <v>0</v>
      </c>
      <c r="G1185" t="inlineStr">
        <is>
          <t>Tech D</t>
        </is>
      </c>
      <c r="H1185">
        <f>INDEX(Limits!$B$2:$B$5,MATCH(E1185,Limits!$A$2:$A$5,0))</f>
        <v/>
      </c>
      <c r="I1185">
        <f>INDEX(Limits!$C$2:$C$5,MATCH(E1185,Limits!$A$2:$A$5,0))</f>
        <v/>
      </c>
      <c r="J1185">
        <f>IF(F1185&gt;=I1185,"Action",IF(F1185&gt;=H1185,"Alert","Pass"))</f>
        <v/>
      </c>
      <c r="K1185" s="4">
        <f>DATE(YEAR(B1185),MONTH(B1185),1)</f>
        <v/>
      </c>
    </row>
    <row r="1186">
      <c r="A1186" t="inlineStr">
        <is>
          <t>EM001185</t>
        </is>
      </c>
      <c r="B1186" s="7" t="n">
        <v>46113</v>
      </c>
      <c r="C1186" t="inlineStr">
        <is>
          <t>CR-102</t>
        </is>
      </c>
      <c r="D1186" t="inlineStr">
        <is>
          <t>ISO 7</t>
        </is>
      </c>
      <c r="E1186" t="inlineStr">
        <is>
          <t>Compressed air</t>
        </is>
      </c>
      <c r="F1186" t="n">
        <v>0</v>
      </c>
      <c r="G1186" t="inlineStr">
        <is>
          <t>Tech C</t>
        </is>
      </c>
      <c r="H1186">
        <f>INDEX(Limits!$B$2:$B$5,MATCH(E1186,Limits!$A$2:$A$5,0))</f>
        <v/>
      </c>
      <c r="I1186">
        <f>INDEX(Limits!$C$2:$C$5,MATCH(E1186,Limits!$A$2:$A$5,0))</f>
        <v/>
      </c>
      <c r="J1186">
        <f>IF(F1186&gt;=I1186,"Action",IF(F1186&gt;=H1186,"Alert","Pass"))</f>
        <v/>
      </c>
      <c r="K1186" s="4">
        <f>DATE(YEAR(B1186),MONTH(B1186),1)</f>
        <v/>
      </c>
    </row>
    <row r="1187">
      <c r="A1187" t="inlineStr">
        <is>
          <t>EM001186</t>
        </is>
      </c>
      <c r="B1187" s="7" t="n">
        <v>46113</v>
      </c>
      <c r="C1187" t="inlineStr">
        <is>
          <t>CR-102</t>
        </is>
      </c>
      <c r="D1187" t="inlineStr">
        <is>
          <t>ISO 7</t>
        </is>
      </c>
      <c r="E1187" t="inlineStr">
        <is>
          <t>Personnel glove</t>
        </is>
      </c>
      <c r="F1187" t="n">
        <v>0</v>
      </c>
      <c r="G1187" t="inlineStr">
        <is>
          <t>Tech A</t>
        </is>
      </c>
      <c r="H1187">
        <f>INDEX(Limits!$B$2:$B$5,MATCH(E1187,Limits!$A$2:$A$5,0))</f>
        <v/>
      </c>
      <c r="I1187">
        <f>INDEX(Limits!$C$2:$C$5,MATCH(E1187,Limits!$A$2:$A$5,0))</f>
        <v/>
      </c>
      <c r="J1187">
        <f>IF(F1187&gt;=I1187,"Action",IF(F1187&gt;=H1187,"Alert","Pass"))</f>
        <v/>
      </c>
      <c r="K1187" s="4">
        <f>DATE(YEAR(B1187),MONTH(B1187),1)</f>
        <v/>
      </c>
    </row>
    <row r="1188">
      <c r="A1188" t="inlineStr">
        <is>
          <t>EM001187</t>
        </is>
      </c>
      <c r="B1188" s="7" t="n">
        <v>46113</v>
      </c>
      <c r="C1188" t="inlineStr">
        <is>
          <t>CR-201</t>
        </is>
      </c>
      <c r="D1188" t="inlineStr">
        <is>
          <t>ISO 8</t>
        </is>
      </c>
      <c r="E1188" t="inlineStr">
        <is>
          <t>Active air</t>
        </is>
      </c>
      <c r="F1188" t="n">
        <v>0</v>
      </c>
      <c r="G1188" t="inlineStr">
        <is>
          <t>Tech D</t>
        </is>
      </c>
      <c r="H1188">
        <f>INDEX(Limits!$B$2:$B$5,MATCH(E1188,Limits!$A$2:$A$5,0))</f>
        <v/>
      </c>
      <c r="I1188">
        <f>INDEX(Limits!$C$2:$C$5,MATCH(E1188,Limits!$A$2:$A$5,0))</f>
        <v/>
      </c>
      <c r="J1188">
        <f>IF(F1188&gt;=I1188,"Action",IF(F1188&gt;=H1188,"Alert","Pass"))</f>
        <v/>
      </c>
      <c r="K1188" s="4">
        <f>DATE(YEAR(B1188),MONTH(B1188),1)</f>
        <v/>
      </c>
    </row>
    <row r="1189">
      <c r="A1189" t="inlineStr">
        <is>
          <t>EM001188</t>
        </is>
      </c>
      <c r="B1189" s="7" t="n">
        <v>46113</v>
      </c>
      <c r="C1189" t="inlineStr">
        <is>
          <t>CR-201</t>
        </is>
      </c>
      <c r="D1189" t="inlineStr">
        <is>
          <t>ISO 8</t>
        </is>
      </c>
      <c r="E1189" t="inlineStr">
        <is>
          <t>Surface contact</t>
        </is>
      </c>
      <c r="F1189" t="n">
        <v>1</v>
      </c>
      <c r="G1189" t="inlineStr">
        <is>
          <t>Tech B</t>
        </is>
      </c>
      <c r="H1189">
        <f>INDEX(Limits!$B$2:$B$5,MATCH(E1189,Limits!$A$2:$A$5,0))</f>
        <v/>
      </c>
      <c r="I1189">
        <f>INDEX(Limits!$C$2:$C$5,MATCH(E1189,Limits!$A$2:$A$5,0))</f>
        <v/>
      </c>
      <c r="J1189">
        <f>IF(F1189&gt;=I1189,"Action",IF(F1189&gt;=H1189,"Alert","Pass"))</f>
        <v/>
      </c>
      <c r="K1189" s="4">
        <f>DATE(YEAR(B1189),MONTH(B1189),1)</f>
        <v/>
      </c>
    </row>
    <row r="1190">
      <c r="A1190" t="inlineStr">
        <is>
          <t>EM001189</t>
        </is>
      </c>
      <c r="B1190" s="7" t="n">
        <v>46113</v>
      </c>
      <c r="C1190" t="inlineStr">
        <is>
          <t>CR-201</t>
        </is>
      </c>
      <c r="D1190" t="inlineStr">
        <is>
          <t>ISO 8</t>
        </is>
      </c>
      <c r="E1190" t="inlineStr">
        <is>
          <t>Compressed air</t>
        </is>
      </c>
      <c r="F1190" t="n">
        <v>0</v>
      </c>
      <c r="G1190" t="inlineStr">
        <is>
          <t>Tech B</t>
        </is>
      </c>
      <c r="H1190">
        <f>INDEX(Limits!$B$2:$B$5,MATCH(E1190,Limits!$A$2:$A$5,0))</f>
        <v/>
      </c>
      <c r="I1190">
        <f>INDEX(Limits!$C$2:$C$5,MATCH(E1190,Limits!$A$2:$A$5,0))</f>
        <v/>
      </c>
      <c r="J1190">
        <f>IF(F1190&gt;=I1190,"Action",IF(F1190&gt;=H1190,"Alert","Pass"))</f>
        <v/>
      </c>
      <c r="K1190" s="4">
        <f>DATE(YEAR(B1190),MONTH(B1190),1)</f>
        <v/>
      </c>
    </row>
    <row r="1191">
      <c r="A1191" t="inlineStr">
        <is>
          <t>EM001190</t>
        </is>
      </c>
      <c r="B1191" s="7" t="n">
        <v>46113</v>
      </c>
      <c r="C1191" t="inlineStr">
        <is>
          <t>CR-201</t>
        </is>
      </c>
      <c r="D1191" t="inlineStr">
        <is>
          <t>ISO 8</t>
        </is>
      </c>
      <c r="E1191" t="inlineStr">
        <is>
          <t>Personnel glove</t>
        </is>
      </c>
      <c r="F1191" t="n">
        <v>1</v>
      </c>
      <c r="G1191" t="inlineStr">
        <is>
          <t>Tech D</t>
        </is>
      </c>
      <c r="H1191">
        <f>INDEX(Limits!$B$2:$B$5,MATCH(E1191,Limits!$A$2:$A$5,0))</f>
        <v/>
      </c>
      <c r="I1191">
        <f>INDEX(Limits!$C$2:$C$5,MATCH(E1191,Limits!$A$2:$A$5,0))</f>
        <v/>
      </c>
      <c r="J1191">
        <f>IF(F1191&gt;=I1191,"Action",IF(F1191&gt;=H1191,"Alert","Pass"))</f>
        <v/>
      </c>
      <c r="K1191" s="4">
        <f>DATE(YEAR(B1191),MONTH(B1191),1)</f>
        <v/>
      </c>
    </row>
    <row r="1192">
      <c r="A1192" t="inlineStr">
        <is>
          <t>EM001191</t>
        </is>
      </c>
      <c r="B1192" s="7" t="n">
        <v>46113</v>
      </c>
      <c r="C1192" t="inlineStr">
        <is>
          <t>CR-202</t>
        </is>
      </c>
      <c r="D1192" t="inlineStr">
        <is>
          <t>ISO 8</t>
        </is>
      </c>
      <c r="E1192" t="inlineStr">
        <is>
          <t>Active air</t>
        </is>
      </c>
      <c r="F1192" t="n">
        <v>1</v>
      </c>
      <c r="G1192" t="inlineStr">
        <is>
          <t>Tech A</t>
        </is>
      </c>
      <c r="H1192">
        <f>INDEX(Limits!$B$2:$B$5,MATCH(E1192,Limits!$A$2:$A$5,0))</f>
        <v/>
      </c>
      <c r="I1192">
        <f>INDEX(Limits!$C$2:$C$5,MATCH(E1192,Limits!$A$2:$A$5,0))</f>
        <v/>
      </c>
      <c r="J1192">
        <f>IF(F1192&gt;=I1192,"Action",IF(F1192&gt;=H1192,"Alert","Pass"))</f>
        <v/>
      </c>
      <c r="K1192" s="4">
        <f>DATE(YEAR(B1192),MONTH(B1192),1)</f>
        <v/>
      </c>
    </row>
    <row r="1193">
      <c r="A1193" t="inlineStr">
        <is>
          <t>EM001192</t>
        </is>
      </c>
      <c r="B1193" s="7" t="n">
        <v>46113</v>
      </c>
      <c r="C1193" t="inlineStr">
        <is>
          <t>CR-202</t>
        </is>
      </c>
      <c r="D1193" t="inlineStr">
        <is>
          <t>ISO 8</t>
        </is>
      </c>
      <c r="E1193" t="inlineStr">
        <is>
          <t>Surface contact</t>
        </is>
      </c>
      <c r="F1193" t="n">
        <v>0</v>
      </c>
      <c r="G1193" t="inlineStr">
        <is>
          <t>Tech B</t>
        </is>
      </c>
      <c r="H1193">
        <f>INDEX(Limits!$B$2:$B$5,MATCH(E1193,Limits!$A$2:$A$5,0))</f>
        <v/>
      </c>
      <c r="I1193">
        <f>INDEX(Limits!$C$2:$C$5,MATCH(E1193,Limits!$A$2:$A$5,0))</f>
        <v/>
      </c>
      <c r="J1193">
        <f>IF(F1193&gt;=I1193,"Action",IF(F1193&gt;=H1193,"Alert","Pass"))</f>
        <v/>
      </c>
      <c r="K1193" s="4">
        <f>DATE(YEAR(B1193),MONTH(B1193),1)</f>
        <v/>
      </c>
    </row>
    <row r="1194">
      <c r="A1194" t="inlineStr">
        <is>
          <t>EM001193</t>
        </is>
      </c>
      <c r="B1194" s="7" t="n">
        <v>46113</v>
      </c>
      <c r="C1194" t="inlineStr">
        <is>
          <t>CR-202</t>
        </is>
      </c>
      <c r="D1194" t="inlineStr">
        <is>
          <t>ISO 8</t>
        </is>
      </c>
      <c r="E1194" t="inlineStr">
        <is>
          <t>Compressed air</t>
        </is>
      </c>
      <c r="F1194" t="n">
        <v>0</v>
      </c>
      <c r="G1194" t="inlineStr">
        <is>
          <t>Tech A</t>
        </is>
      </c>
      <c r="H1194">
        <f>INDEX(Limits!$B$2:$B$5,MATCH(E1194,Limits!$A$2:$A$5,0))</f>
        <v/>
      </c>
      <c r="I1194">
        <f>INDEX(Limits!$C$2:$C$5,MATCH(E1194,Limits!$A$2:$A$5,0))</f>
        <v/>
      </c>
      <c r="J1194">
        <f>IF(F1194&gt;=I1194,"Action",IF(F1194&gt;=H1194,"Alert","Pass"))</f>
        <v/>
      </c>
      <c r="K1194" s="4">
        <f>DATE(YEAR(B1194),MONTH(B1194),1)</f>
        <v/>
      </c>
    </row>
    <row r="1195">
      <c r="A1195" t="inlineStr">
        <is>
          <t>EM001194</t>
        </is>
      </c>
      <c r="B1195" s="7" t="n">
        <v>46113</v>
      </c>
      <c r="C1195" t="inlineStr">
        <is>
          <t>CR-202</t>
        </is>
      </c>
      <c r="D1195" t="inlineStr">
        <is>
          <t>ISO 8</t>
        </is>
      </c>
      <c r="E1195" t="inlineStr">
        <is>
          <t>Personnel glove</t>
        </is>
      </c>
      <c r="F1195" t="n">
        <v>0</v>
      </c>
      <c r="G1195" t="inlineStr">
        <is>
          <t>Tech B</t>
        </is>
      </c>
      <c r="H1195">
        <f>INDEX(Limits!$B$2:$B$5,MATCH(E1195,Limits!$A$2:$A$5,0))</f>
        <v/>
      </c>
      <c r="I1195">
        <f>INDEX(Limits!$C$2:$C$5,MATCH(E1195,Limits!$A$2:$A$5,0))</f>
        <v/>
      </c>
      <c r="J1195">
        <f>IF(F1195&gt;=I1195,"Action",IF(F1195&gt;=H1195,"Alert","Pass"))</f>
        <v/>
      </c>
      <c r="K1195" s="4">
        <f>DATE(YEAR(B1195),MONTH(B1195),1)</f>
        <v/>
      </c>
    </row>
    <row r="1196">
      <c r="A1196" t="inlineStr">
        <is>
          <t>EM001195</t>
        </is>
      </c>
      <c r="B1196" s="7" t="n">
        <v>46113</v>
      </c>
      <c r="C1196" t="inlineStr">
        <is>
          <t>Gowning</t>
        </is>
      </c>
      <c r="D1196" t="inlineStr">
        <is>
          <t>ISO 8</t>
        </is>
      </c>
      <c r="E1196" t="inlineStr">
        <is>
          <t>Active air</t>
        </is>
      </c>
      <c r="F1196" t="n">
        <v>2</v>
      </c>
      <c r="G1196" t="inlineStr">
        <is>
          <t>Tech B</t>
        </is>
      </c>
      <c r="H1196">
        <f>INDEX(Limits!$B$2:$B$5,MATCH(E1196,Limits!$A$2:$A$5,0))</f>
        <v/>
      </c>
      <c r="I1196">
        <f>INDEX(Limits!$C$2:$C$5,MATCH(E1196,Limits!$A$2:$A$5,0))</f>
        <v/>
      </c>
      <c r="J1196">
        <f>IF(F1196&gt;=I1196,"Action",IF(F1196&gt;=H1196,"Alert","Pass"))</f>
        <v/>
      </c>
      <c r="K1196" s="4">
        <f>DATE(YEAR(B1196),MONTH(B1196),1)</f>
        <v/>
      </c>
    </row>
    <row r="1197">
      <c r="A1197" t="inlineStr">
        <is>
          <t>EM001196</t>
        </is>
      </c>
      <c r="B1197" s="7" t="n">
        <v>46113</v>
      </c>
      <c r="C1197" t="inlineStr">
        <is>
          <t>Gowning</t>
        </is>
      </c>
      <c r="D1197" t="inlineStr">
        <is>
          <t>ISO 8</t>
        </is>
      </c>
      <c r="E1197" t="inlineStr">
        <is>
          <t>Surface contact</t>
        </is>
      </c>
      <c r="F1197" t="n">
        <v>1</v>
      </c>
      <c r="G1197" t="inlineStr">
        <is>
          <t>Tech C</t>
        </is>
      </c>
      <c r="H1197">
        <f>INDEX(Limits!$B$2:$B$5,MATCH(E1197,Limits!$A$2:$A$5,0))</f>
        <v/>
      </c>
      <c r="I1197">
        <f>INDEX(Limits!$C$2:$C$5,MATCH(E1197,Limits!$A$2:$A$5,0))</f>
        <v/>
      </c>
      <c r="J1197">
        <f>IF(F1197&gt;=I1197,"Action",IF(F1197&gt;=H1197,"Alert","Pass"))</f>
        <v/>
      </c>
      <c r="K1197" s="4">
        <f>DATE(YEAR(B1197),MONTH(B1197),1)</f>
        <v/>
      </c>
    </row>
    <row r="1198">
      <c r="A1198" t="inlineStr">
        <is>
          <t>EM001197</t>
        </is>
      </c>
      <c r="B1198" s="7" t="n">
        <v>46113</v>
      </c>
      <c r="C1198" t="inlineStr">
        <is>
          <t>Gowning</t>
        </is>
      </c>
      <c r="D1198" t="inlineStr">
        <is>
          <t>ISO 8</t>
        </is>
      </c>
      <c r="E1198" t="inlineStr">
        <is>
          <t>Personnel glove</t>
        </is>
      </c>
      <c r="F1198" t="n">
        <v>0</v>
      </c>
      <c r="G1198" t="inlineStr">
        <is>
          <t>Tech B</t>
        </is>
      </c>
      <c r="H1198">
        <f>INDEX(Limits!$B$2:$B$5,MATCH(E1198,Limits!$A$2:$A$5,0))</f>
        <v/>
      </c>
      <c r="I1198">
        <f>INDEX(Limits!$C$2:$C$5,MATCH(E1198,Limits!$A$2:$A$5,0))</f>
        <v/>
      </c>
      <c r="J1198">
        <f>IF(F1198&gt;=I1198,"Action",IF(F1198&gt;=H1198,"Alert","Pass"))</f>
        <v/>
      </c>
      <c r="K1198" s="4">
        <f>DATE(YEAR(B1198),MONTH(B1198),1)</f>
        <v/>
      </c>
    </row>
    <row r="1199">
      <c r="A1199" t="inlineStr">
        <is>
          <t>EM001198</t>
        </is>
      </c>
      <c r="B1199" s="7" t="n">
        <v>46114</v>
      </c>
      <c r="C1199" t="inlineStr">
        <is>
          <t>CR-101</t>
        </is>
      </c>
      <c r="D1199" t="inlineStr">
        <is>
          <t>ISO 7</t>
        </is>
      </c>
      <c r="E1199" t="inlineStr">
        <is>
          <t>Active air</t>
        </is>
      </c>
      <c r="F1199" t="n">
        <v>1</v>
      </c>
      <c r="G1199" t="inlineStr">
        <is>
          <t>Tech A</t>
        </is>
      </c>
      <c r="H1199">
        <f>INDEX(Limits!$B$2:$B$5,MATCH(E1199,Limits!$A$2:$A$5,0))</f>
        <v/>
      </c>
      <c r="I1199">
        <f>INDEX(Limits!$C$2:$C$5,MATCH(E1199,Limits!$A$2:$A$5,0))</f>
        <v/>
      </c>
      <c r="J1199">
        <f>IF(F1199&gt;=I1199,"Action",IF(F1199&gt;=H1199,"Alert","Pass"))</f>
        <v/>
      </c>
      <c r="K1199" s="4">
        <f>DATE(YEAR(B1199),MONTH(B1199),1)</f>
        <v/>
      </c>
    </row>
    <row r="1200">
      <c r="A1200" t="inlineStr">
        <is>
          <t>EM001199</t>
        </is>
      </c>
      <c r="B1200" s="7" t="n">
        <v>46114</v>
      </c>
      <c r="C1200" t="inlineStr">
        <is>
          <t>CR-101</t>
        </is>
      </c>
      <c r="D1200" t="inlineStr">
        <is>
          <t>ISO 7</t>
        </is>
      </c>
      <c r="E1200" t="inlineStr">
        <is>
          <t>Surface contact</t>
        </is>
      </c>
      <c r="F1200" t="n">
        <v>1</v>
      </c>
      <c r="G1200" t="inlineStr">
        <is>
          <t>Tech B</t>
        </is>
      </c>
      <c r="H1200">
        <f>INDEX(Limits!$B$2:$B$5,MATCH(E1200,Limits!$A$2:$A$5,0))</f>
        <v/>
      </c>
      <c r="I1200">
        <f>INDEX(Limits!$C$2:$C$5,MATCH(E1200,Limits!$A$2:$A$5,0))</f>
        <v/>
      </c>
      <c r="J1200">
        <f>IF(F1200&gt;=I1200,"Action",IF(F1200&gt;=H1200,"Alert","Pass"))</f>
        <v/>
      </c>
      <c r="K1200" s="4">
        <f>DATE(YEAR(B1200),MONTH(B1200),1)</f>
        <v/>
      </c>
    </row>
    <row r="1201">
      <c r="A1201" t="inlineStr">
        <is>
          <t>EM001200</t>
        </is>
      </c>
      <c r="B1201" s="7" t="n">
        <v>46114</v>
      </c>
      <c r="C1201" t="inlineStr">
        <is>
          <t>CR-101</t>
        </is>
      </c>
      <c r="D1201" t="inlineStr">
        <is>
          <t>ISO 7</t>
        </is>
      </c>
      <c r="E1201" t="inlineStr">
        <is>
          <t>Compressed air</t>
        </is>
      </c>
      <c r="F1201" t="n">
        <v>0</v>
      </c>
      <c r="G1201" t="inlineStr">
        <is>
          <t>Tech D</t>
        </is>
      </c>
      <c r="H1201">
        <f>INDEX(Limits!$B$2:$B$5,MATCH(E1201,Limits!$A$2:$A$5,0))</f>
        <v/>
      </c>
      <c r="I1201">
        <f>INDEX(Limits!$C$2:$C$5,MATCH(E1201,Limits!$A$2:$A$5,0))</f>
        <v/>
      </c>
      <c r="J1201">
        <f>IF(F1201&gt;=I1201,"Action",IF(F1201&gt;=H1201,"Alert","Pass"))</f>
        <v/>
      </c>
      <c r="K1201" s="4">
        <f>DATE(YEAR(B1201),MONTH(B1201),1)</f>
        <v/>
      </c>
    </row>
    <row r="1202">
      <c r="A1202" t="inlineStr">
        <is>
          <t>EM001201</t>
        </is>
      </c>
      <c r="B1202" s="7" t="n">
        <v>46114</v>
      </c>
      <c r="C1202" t="inlineStr">
        <is>
          <t>CR-101</t>
        </is>
      </c>
      <c r="D1202" t="inlineStr">
        <is>
          <t>ISO 7</t>
        </is>
      </c>
      <c r="E1202" t="inlineStr">
        <is>
          <t>Personnel glove</t>
        </is>
      </c>
      <c r="F1202" t="n">
        <v>0</v>
      </c>
      <c r="G1202" t="inlineStr">
        <is>
          <t>Tech D</t>
        </is>
      </c>
      <c r="H1202">
        <f>INDEX(Limits!$B$2:$B$5,MATCH(E1202,Limits!$A$2:$A$5,0))</f>
        <v/>
      </c>
      <c r="I1202">
        <f>INDEX(Limits!$C$2:$C$5,MATCH(E1202,Limits!$A$2:$A$5,0))</f>
        <v/>
      </c>
      <c r="J1202">
        <f>IF(F1202&gt;=I1202,"Action",IF(F1202&gt;=H1202,"Alert","Pass"))</f>
        <v/>
      </c>
      <c r="K1202" s="4">
        <f>DATE(YEAR(B1202),MONTH(B1202),1)</f>
        <v/>
      </c>
    </row>
    <row r="1203">
      <c r="A1203" t="inlineStr">
        <is>
          <t>EM001202</t>
        </is>
      </c>
      <c r="B1203" s="7" t="n">
        <v>46114</v>
      </c>
      <c r="C1203" t="inlineStr">
        <is>
          <t>CR-102</t>
        </is>
      </c>
      <c r="D1203" t="inlineStr">
        <is>
          <t>ISO 7</t>
        </is>
      </c>
      <c r="E1203" t="inlineStr">
        <is>
          <t>Active air</t>
        </is>
      </c>
      <c r="F1203" t="n">
        <v>1</v>
      </c>
      <c r="G1203" t="inlineStr">
        <is>
          <t>Tech D</t>
        </is>
      </c>
      <c r="H1203">
        <f>INDEX(Limits!$B$2:$B$5,MATCH(E1203,Limits!$A$2:$A$5,0))</f>
        <v/>
      </c>
      <c r="I1203">
        <f>INDEX(Limits!$C$2:$C$5,MATCH(E1203,Limits!$A$2:$A$5,0))</f>
        <v/>
      </c>
      <c r="J1203">
        <f>IF(F1203&gt;=I1203,"Action",IF(F1203&gt;=H1203,"Alert","Pass"))</f>
        <v/>
      </c>
      <c r="K1203" s="4">
        <f>DATE(YEAR(B1203),MONTH(B1203),1)</f>
        <v/>
      </c>
    </row>
    <row r="1204">
      <c r="A1204" t="inlineStr">
        <is>
          <t>EM001203</t>
        </is>
      </c>
      <c r="B1204" s="7" t="n">
        <v>46114</v>
      </c>
      <c r="C1204" t="inlineStr">
        <is>
          <t>CR-102</t>
        </is>
      </c>
      <c r="D1204" t="inlineStr">
        <is>
          <t>ISO 7</t>
        </is>
      </c>
      <c r="E1204" t="inlineStr">
        <is>
          <t>Surface contact</t>
        </is>
      </c>
      <c r="F1204" t="n">
        <v>0</v>
      </c>
      <c r="G1204" t="inlineStr">
        <is>
          <t>Tech A</t>
        </is>
      </c>
      <c r="H1204">
        <f>INDEX(Limits!$B$2:$B$5,MATCH(E1204,Limits!$A$2:$A$5,0))</f>
        <v/>
      </c>
      <c r="I1204">
        <f>INDEX(Limits!$C$2:$C$5,MATCH(E1204,Limits!$A$2:$A$5,0))</f>
        <v/>
      </c>
      <c r="J1204">
        <f>IF(F1204&gt;=I1204,"Action",IF(F1204&gt;=H1204,"Alert","Pass"))</f>
        <v/>
      </c>
      <c r="K1204" s="4">
        <f>DATE(YEAR(B1204),MONTH(B1204),1)</f>
        <v/>
      </c>
    </row>
    <row r="1205">
      <c r="A1205" t="inlineStr">
        <is>
          <t>EM001204</t>
        </is>
      </c>
      <c r="B1205" s="7" t="n">
        <v>46114</v>
      </c>
      <c r="C1205" t="inlineStr">
        <is>
          <t>CR-102</t>
        </is>
      </c>
      <c r="D1205" t="inlineStr">
        <is>
          <t>ISO 7</t>
        </is>
      </c>
      <c r="E1205" t="inlineStr">
        <is>
          <t>Compressed air</t>
        </is>
      </c>
      <c r="F1205" t="n">
        <v>0</v>
      </c>
      <c r="G1205" t="inlineStr">
        <is>
          <t>Tech D</t>
        </is>
      </c>
      <c r="H1205">
        <f>INDEX(Limits!$B$2:$B$5,MATCH(E1205,Limits!$A$2:$A$5,0))</f>
        <v/>
      </c>
      <c r="I1205">
        <f>INDEX(Limits!$C$2:$C$5,MATCH(E1205,Limits!$A$2:$A$5,0))</f>
        <v/>
      </c>
      <c r="J1205">
        <f>IF(F1205&gt;=I1205,"Action",IF(F1205&gt;=H1205,"Alert","Pass"))</f>
        <v/>
      </c>
      <c r="K1205" s="4">
        <f>DATE(YEAR(B1205),MONTH(B1205),1)</f>
        <v/>
      </c>
    </row>
    <row r="1206">
      <c r="A1206" t="inlineStr">
        <is>
          <t>EM001205</t>
        </is>
      </c>
      <c r="B1206" s="7" t="n">
        <v>46114</v>
      </c>
      <c r="C1206" t="inlineStr">
        <is>
          <t>CR-102</t>
        </is>
      </c>
      <c r="D1206" t="inlineStr">
        <is>
          <t>ISO 7</t>
        </is>
      </c>
      <c r="E1206" t="inlineStr">
        <is>
          <t>Personnel glove</t>
        </is>
      </c>
      <c r="F1206" t="n">
        <v>1</v>
      </c>
      <c r="G1206" t="inlineStr">
        <is>
          <t>Tech C</t>
        </is>
      </c>
      <c r="H1206">
        <f>INDEX(Limits!$B$2:$B$5,MATCH(E1206,Limits!$A$2:$A$5,0))</f>
        <v/>
      </c>
      <c r="I1206">
        <f>INDEX(Limits!$C$2:$C$5,MATCH(E1206,Limits!$A$2:$A$5,0))</f>
        <v/>
      </c>
      <c r="J1206">
        <f>IF(F1206&gt;=I1206,"Action",IF(F1206&gt;=H1206,"Alert","Pass"))</f>
        <v/>
      </c>
      <c r="K1206" s="4">
        <f>DATE(YEAR(B1206),MONTH(B1206),1)</f>
        <v/>
      </c>
    </row>
    <row r="1207">
      <c r="A1207" t="inlineStr">
        <is>
          <t>EM001206</t>
        </is>
      </c>
      <c r="B1207" s="7" t="n">
        <v>46114</v>
      </c>
      <c r="C1207" t="inlineStr">
        <is>
          <t>CR-201</t>
        </is>
      </c>
      <c r="D1207" t="inlineStr">
        <is>
          <t>ISO 8</t>
        </is>
      </c>
      <c r="E1207" t="inlineStr">
        <is>
          <t>Active air</t>
        </is>
      </c>
      <c r="F1207" t="n">
        <v>2</v>
      </c>
      <c r="G1207" t="inlineStr">
        <is>
          <t>Tech D</t>
        </is>
      </c>
      <c r="H1207">
        <f>INDEX(Limits!$B$2:$B$5,MATCH(E1207,Limits!$A$2:$A$5,0))</f>
        <v/>
      </c>
      <c r="I1207">
        <f>INDEX(Limits!$C$2:$C$5,MATCH(E1207,Limits!$A$2:$A$5,0))</f>
        <v/>
      </c>
      <c r="J1207">
        <f>IF(F1207&gt;=I1207,"Action",IF(F1207&gt;=H1207,"Alert","Pass"))</f>
        <v/>
      </c>
      <c r="K1207" s="4">
        <f>DATE(YEAR(B1207),MONTH(B1207),1)</f>
        <v/>
      </c>
    </row>
    <row r="1208">
      <c r="A1208" t="inlineStr">
        <is>
          <t>EM001207</t>
        </is>
      </c>
      <c r="B1208" s="7" t="n">
        <v>46114</v>
      </c>
      <c r="C1208" t="inlineStr">
        <is>
          <t>CR-201</t>
        </is>
      </c>
      <c r="D1208" t="inlineStr">
        <is>
          <t>ISO 8</t>
        </is>
      </c>
      <c r="E1208" t="inlineStr">
        <is>
          <t>Surface contact</t>
        </is>
      </c>
      <c r="F1208" t="n">
        <v>1</v>
      </c>
      <c r="G1208" t="inlineStr">
        <is>
          <t>Tech A</t>
        </is>
      </c>
      <c r="H1208">
        <f>INDEX(Limits!$B$2:$B$5,MATCH(E1208,Limits!$A$2:$A$5,0))</f>
        <v/>
      </c>
      <c r="I1208">
        <f>INDEX(Limits!$C$2:$C$5,MATCH(E1208,Limits!$A$2:$A$5,0))</f>
        <v/>
      </c>
      <c r="J1208">
        <f>IF(F1208&gt;=I1208,"Action",IF(F1208&gt;=H1208,"Alert","Pass"))</f>
        <v/>
      </c>
      <c r="K1208" s="4">
        <f>DATE(YEAR(B1208),MONTH(B1208),1)</f>
        <v/>
      </c>
    </row>
    <row r="1209">
      <c r="A1209" t="inlineStr">
        <is>
          <t>EM001208</t>
        </is>
      </c>
      <c r="B1209" s="7" t="n">
        <v>46114</v>
      </c>
      <c r="C1209" t="inlineStr">
        <is>
          <t>CR-201</t>
        </is>
      </c>
      <c r="D1209" t="inlineStr">
        <is>
          <t>ISO 8</t>
        </is>
      </c>
      <c r="E1209" t="inlineStr">
        <is>
          <t>Compressed air</t>
        </is>
      </c>
      <c r="F1209" t="n">
        <v>0</v>
      </c>
      <c r="G1209" t="inlineStr">
        <is>
          <t>Tech C</t>
        </is>
      </c>
      <c r="H1209">
        <f>INDEX(Limits!$B$2:$B$5,MATCH(E1209,Limits!$A$2:$A$5,0))</f>
        <v/>
      </c>
      <c r="I1209">
        <f>INDEX(Limits!$C$2:$C$5,MATCH(E1209,Limits!$A$2:$A$5,0))</f>
        <v/>
      </c>
      <c r="J1209">
        <f>IF(F1209&gt;=I1209,"Action",IF(F1209&gt;=H1209,"Alert","Pass"))</f>
        <v/>
      </c>
      <c r="K1209" s="4">
        <f>DATE(YEAR(B1209),MONTH(B1209),1)</f>
        <v/>
      </c>
    </row>
    <row r="1210">
      <c r="A1210" t="inlineStr">
        <is>
          <t>EM001209</t>
        </is>
      </c>
      <c r="B1210" s="7" t="n">
        <v>46114</v>
      </c>
      <c r="C1210" t="inlineStr">
        <is>
          <t>CR-201</t>
        </is>
      </c>
      <c r="D1210" t="inlineStr">
        <is>
          <t>ISO 8</t>
        </is>
      </c>
      <c r="E1210" t="inlineStr">
        <is>
          <t>Personnel glove</t>
        </is>
      </c>
      <c r="F1210" t="n">
        <v>0</v>
      </c>
      <c r="G1210" t="inlineStr">
        <is>
          <t>Tech D</t>
        </is>
      </c>
      <c r="H1210">
        <f>INDEX(Limits!$B$2:$B$5,MATCH(E1210,Limits!$A$2:$A$5,0))</f>
        <v/>
      </c>
      <c r="I1210">
        <f>INDEX(Limits!$C$2:$C$5,MATCH(E1210,Limits!$A$2:$A$5,0))</f>
        <v/>
      </c>
      <c r="J1210">
        <f>IF(F1210&gt;=I1210,"Action",IF(F1210&gt;=H1210,"Alert","Pass"))</f>
        <v/>
      </c>
      <c r="K1210" s="4">
        <f>DATE(YEAR(B1210),MONTH(B1210),1)</f>
        <v/>
      </c>
    </row>
    <row r="1211">
      <c r="A1211" t="inlineStr">
        <is>
          <t>EM001210</t>
        </is>
      </c>
      <c r="B1211" s="7" t="n">
        <v>46114</v>
      </c>
      <c r="C1211" t="inlineStr">
        <is>
          <t>CR-202</t>
        </is>
      </c>
      <c r="D1211" t="inlineStr">
        <is>
          <t>ISO 8</t>
        </is>
      </c>
      <c r="E1211" t="inlineStr">
        <is>
          <t>Active air</t>
        </is>
      </c>
      <c r="F1211" t="n">
        <v>3</v>
      </c>
      <c r="G1211" t="inlineStr">
        <is>
          <t>Tech D</t>
        </is>
      </c>
      <c r="H1211">
        <f>INDEX(Limits!$B$2:$B$5,MATCH(E1211,Limits!$A$2:$A$5,0))</f>
        <v/>
      </c>
      <c r="I1211">
        <f>INDEX(Limits!$C$2:$C$5,MATCH(E1211,Limits!$A$2:$A$5,0))</f>
        <v/>
      </c>
      <c r="J1211">
        <f>IF(F1211&gt;=I1211,"Action",IF(F1211&gt;=H1211,"Alert","Pass"))</f>
        <v/>
      </c>
      <c r="K1211" s="4">
        <f>DATE(YEAR(B1211),MONTH(B1211),1)</f>
        <v/>
      </c>
    </row>
    <row r="1212">
      <c r="A1212" t="inlineStr">
        <is>
          <t>EM001211</t>
        </is>
      </c>
      <c r="B1212" s="7" t="n">
        <v>46114</v>
      </c>
      <c r="C1212" t="inlineStr">
        <is>
          <t>CR-202</t>
        </is>
      </c>
      <c r="D1212" t="inlineStr">
        <is>
          <t>ISO 8</t>
        </is>
      </c>
      <c r="E1212" t="inlineStr">
        <is>
          <t>Surface contact</t>
        </is>
      </c>
      <c r="F1212" t="n">
        <v>1</v>
      </c>
      <c r="G1212" t="inlineStr">
        <is>
          <t>Tech A</t>
        </is>
      </c>
      <c r="H1212">
        <f>INDEX(Limits!$B$2:$B$5,MATCH(E1212,Limits!$A$2:$A$5,0))</f>
        <v/>
      </c>
      <c r="I1212">
        <f>INDEX(Limits!$C$2:$C$5,MATCH(E1212,Limits!$A$2:$A$5,0))</f>
        <v/>
      </c>
      <c r="J1212">
        <f>IF(F1212&gt;=I1212,"Action",IF(F1212&gt;=H1212,"Alert","Pass"))</f>
        <v/>
      </c>
      <c r="K1212" s="4">
        <f>DATE(YEAR(B1212),MONTH(B1212),1)</f>
        <v/>
      </c>
    </row>
    <row r="1213">
      <c r="A1213" t="inlineStr">
        <is>
          <t>EM001212</t>
        </is>
      </c>
      <c r="B1213" s="7" t="n">
        <v>46114</v>
      </c>
      <c r="C1213" t="inlineStr">
        <is>
          <t>CR-202</t>
        </is>
      </c>
      <c r="D1213" t="inlineStr">
        <is>
          <t>ISO 8</t>
        </is>
      </c>
      <c r="E1213" t="inlineStr">
        <is>
          <t>Compressed air</t>
        </is>
      </c>
      <c r="F1213" t="n">
        <v>0</v>
      </c>
      <c r="G1213" t="inlineStr">
        <is>
          <t>Tech B</t>
        </is>
      </c>
      <c r="H1213">
        <f>INDEX(Limits!$B$2:$B$5,MATCH(E1213,Limits!$A$2:$A$5,0))</f>
        <v/>
      </c>
      <c r="I1213">
        <f>INDEX(Limits!$C$2:$C$5,MATCH(E1213,Limits!$A$2:$A$5,0))</f>
        <v/>
      </c>
      <c r="J1213">
        <f>IF(F1213&gt;=I1213,"Action",IF(F1213&gt;=H1213,"Alert","Pass"))</f>
        <v/>
      </c>
      <c r="K1213" s="4">
        <f>DATE(YEAR(B1213),MONTH(B1213),1)</f>
        <v/>
      </c>
    </row>
    <row r="1214">
      <c r="A1214" t="inlineStr">
        <is>
          <t>EM001213</t>
        </is>
      </c>
      <c r="B1214" s="7" t="n">
        <v>46114</v>
      </c>
      <c r="C1214" t="inlineStr">
        <is>
          <t>CR-202</t>
        </is>
      </c>
      <c r="D1214" t="inlineStr">
        <is>
          <t>ISO 8</t>
        </is>
      </c>
      <c r="E1214" t="inlineStr">
        <is>
          <t>Personnel glove</t>
        </is>
      </c>
      <c r="F1214" t="n">
        <v>0</v>
      </c>
      <c r="G1214" t="inlineStr">
        <is>
          <t>Tech A</t>
        </is>
      </c>
      <c r="H1214">
        <f>INDEX(Limits!$B$2:$B$5,MATCH(E1214,Limits!$A$2:$A$5,0))</f>
        <v/>
      </c>
      <c r="I1214">
        <f>INDEX(Limits!$C$2:$C$5,MATCH(E1214,Limits!$A$2:$A$5,0))</f>
        <v/>
      </c>
      <c r="J1214">
        <f>IF(F1214&gt;=I1214,"Action",IF(F1214&gt;=H1214,"Alert","Pass"))</f>
        <v/>
      </c>
      <c r="K1214" s="4">
        <f>DATE(YEAR(B1214),MONTH(B1214),1)</f>
        <v/>
      </c>
    </row>
    <row r="1215">
      <c r="A1215" t="inlineStr">
        <is>
          <t>EM001214</t>
        </is>
      </c>
      <c r="B1215" s="7" t="n">
        <v>46114</v>
      </c>
      <c r="C1215" t="inlineStr">
        <is>
          <t>Gowning</t>
        </is>
      </c>
      <c r="D1215" t="inlineStr">
        <is>
          <t>ISO 8</t>
        </is>
      </c>
      <c r="E1215" t="inlineStr">
        <is>
          <t>Active air</t>
        </is>
      </c>
      <c r="F1215" t="n">
        <v>0</v>
      </c>
      <c r="G1215" t="inlineStr">
        <is>
          <t>Tech B</t>
        </is>
      </c>
      <c r="H1215">
        <f>INDEX(Limits!$B$2:$B$5,MATCH(E1215,Limits!$A$2:$A$5,0))</f>
        <v/>
      </c>
      <c r="I1215">
        <f>INDEX(Limits!$C$2:$C$5,MATCH(E1215,Limits!$A$2:$A$5,0))</f>
        <v/>
      </c>
      <c r="J1215">
        <f>IF(F1215&gt;=I1215,"Action",IF(F1215&gt;=H1215,"Alert","Pass"))</f>
        <v/>
      </c>
      <c r="K1215" s="4">
        <f>DATE(YEAR(B1215),MONTH(B1215),1)</f>
        <v/>
      </c>
    </row>
    <row r="1216">
      <c r="A1216" t="inlineStr">
        <is>
          <t>EM001215</t>
        </is>
      </c>
      <c r="B1216" s="7" t="n">
        <v>46114</v>
      </c>
      <c r="C1216" t="inlineStr">
        <is>
          <t>Gowning</t>
        </is>
      </c>
      <c r="D1216" t="inlineStr">
        <is>
          <t>ISO 8</t>
        </is>
      </c>
      <c r="E1216" t="inlineStr">
        <is>
          <t>Surface contact</t>
        </is>
      </c>
      <c r="F1216" t="n">
        <v>0</v>
      </c>
      <c r="G1216" t="inlineStr">
        <is>
          <t>Tech C</t>
        </is>
      </c>
      <c r="H1216">
        <f>INDEX(Limits!$B$2:$B$5,MATCH(E1216,Limits!$A$2:$A$5,0))</f>
        <v/>
      </c>
      <c r="I1216">
        <f>INDEX(Limits!$C$2:$C$5,MATCH(E1216,Limits!$A$2:$A$5,0))</f>
        <v/>
      </c>
      <c r="J1216">
        <f>IF(F1216&gt;=I1216,"Action",IF(F1216&gt;=H1216,"Alert","Pass"))</f>
        <v/>
      </c>
      <c r="K1216" s="4">
        <f>DATE(YEAR(B1216),MONTH(B1216),1)</f>
        <v/>
      </c>
    </row>
    <row r="1217">
      <c r="A1217" t="inlineStr">
        <is>
          <t>EM001216</t>
        </is>
      </c>
      <c r="B1217" s="7" t="n">
        <v>46114</v>
      </c>
      <c r="C1217" t="inlineStr">
        <is>
          <t>Gowning</t>
        </is>
      </c>
      <c r="D1217" t="inlineStr">
        <is>
          <t>ISO 8</t>
        </is>
      </c>
      <c r="E1217" t="inlineStr">
        <is>
          <t>Personnel glove</t>
        </is>
      </c>
      <c r="F1217" t="n">
        <v>0</v>
      </c>
      <c r="G1217" t="inlineStr">
        <is>
          <t>Tech A</t>
        </is>
      </c>
      <c r="H1217">
        <f>INDEX(Limits!$B$2:$B$5,MATCH(E1217,Limits!$A$2:$A$5,0))</f>
        <v/>
      </c>
      <c r="I1217">
        <f>INDEX(Limits!$C$2:$C$5,MATCH(E1217,Limits!$A$2:$A$5,0))</f>
        <v/>
      </c>
      <c r="J1217">
        <f>IF(F1217&gt;=I1217,"Action",IF(F1217&gt;=H1217,"Alert","Pass"))</f>
        <v/>
      </c>
      <c r="K1217" s="4">
        <f>DATE(YEAR(B1217),MONTH(B1217),1)</f>
        <v/>
      </c>
    </row>
    <row r="1218">
      <c r="A1218" t="inlineStr">
        <is>
          <t>EM001217</t>
        </is>
      </c>
      <c r="B1218" s="7" t="n">
        <v>46115</v>
      </c>
      <c r="C1218" t="inlineStr">
        <is>
          <t>CR-101</t>
        </is>
      </c>
      <c r="D1218" t="inlineStr">
        <is>
          <t>ISO 7</t>
        </is>
      </c>
      <c r="E1218" t="inlineStr">
        <is>
          <t>Active air</t>
        </is>
      </c>
      <c r="F1218" t="n">
        <v>0</v>
      </c>
      <c r="G1218" t="inlineStr">
        <is>
          <t>Tech D</t>
        </is>
      </c>
      <c r="H1218">
        <f>INDEX(Limits!$B$2:$B$5,MATCH(E1218,Limits!$A$2:$A$5,0))</f>
        <v/>
      </c>
      <c r="I1218">
        <f>INDEX(Limits!$C$2:$C$5,MATCH(E1218,Limits!$A$2:$A$5,0))</f>
        <v/>
      </c>
      <c r="J1218">
        <f>IF(F1218&gt;=I1218,"Action",IF(F1218&gt;=H1218,"Alert","Pass"))</f>
        <v/>
      </c>
      <c r="K1218" s="4">
        <f>DATE(YEAR(B1218),MONTH(B1218),1)</f>
        <v/>
      </c>
    </row>
    <row r="1219">
      <c r="A1219" t="inlineStr">
        <is>
          <t>EM001218</t>
        </is>
      </c>
      <c r="B1219" s="7" t="n">
        <v>46115</v>
      </c>
      <c r="C1219" t="inlineStr">
        <is>
          <t>CR-101</t>
        </is>
      </c>
      <c r="D1219" t="inlineStr">
        <is>
          <t>ISO 7</t>
        </is>
      </c>
      <c r="E1219" t="inlineStr">
        <is>
          <t>Surface contact</t>
        </is>
      </c>
      <c r="F1219" t="n">
        <v>0</v>
      </c>
      <c r="G1219" t="inlineStr">
        <is>
          <t>Tech D</t>
        </is>
      </c>
      <c r="H1219">
        <f>INDEX(Limits!$B$2:$B$5,MATCH(E1219,Limits!$A$2:$A$5,0))</f>
        <v/>
      </c>
      <c r="I1219">
        <f>INDEX(Limits!$C$2:$C$5,MATCH(E1219,Limits!$A$2:$A$5,0))</f>
        <v/>
      </c>
      <c r="J1219">
        <f>IF(F1219&gt;=I1219,"Action",IF(F1219&gt;=H1219,"Alert","Pass"))</f>
        <v/>
      </c>
      <c r="K1219" s="4">
        <f>DATE(YEAR(B1219),MONTH(B1219),1)</f>
        <v/>
      </c>
    </row>
    <row r="1220">
      <c r="A1220" t="inlineStr">
        <is>
          <t>EM001219</t>
        </is>
      </c>
      <c r="B1220" s="7" t="n">
        <v>46115</v>
      </c>
      <c r="C1220" t="inlineStr">
        <is>
          <t>CR-101</t>
        </is>
      </c>
      <c r="D1220" t="inlineStr">
        <is>
          <t>ISO 7</t>
        </is>
      </c>
      <c r="E1220" t="inlineStr">
        <is>
          <t>Compressed air</t>
        </is>
      </c>
      <c r="F1220" t="n">
        <v>0</v>
      </c>
      <c r="G1220" t="inlineStr">
        <is>
          <t>Tech C</t>
        </is>
      </c>
      <c r="H1220">
        <f>INDEX(Limits!$B$2:$B$5,MATCH(E1220,Limits!$A$2:$A$5,0))</f>
        <v/>
      </c>
      <c r="I1220">
        <f>INDEX(Limits!$C$2:$C$5,MATCH(E1220,Limits!$A$2:$A$5,0))</f>
        <v/>
      </c>
      <c r="J1220">
        <f>IF(F1220&gt;=I1220,"Action",IF(F1220&gt;=H1220,"Alert","Pass"))</f>
        <v/>
      </c>
      <c r="K1220" s="4">
        <f>DATE(YEAR(B1220),MONTH(B1220),1)</f>
        <v/>
      </c>
    </row>
    <row r="1221">
      <c r="A1221" t="inlineStr">
        <is>
          <t>EM001220</t>
        </is>
      </c>
      <c r="B1221" s="7" t="n">
        <v>46115</v>
      </c>
      <c r="C1221" t="inlineStr">
        <is>
          <t>CR-101</t>
        </is>
      </c>
      <c r="D1221" t="inlineStr">
        <is>
          <t>ISO 7</t>
        </is>
      </c>
      <c r="E1221" t="inlineStr">
        <is>
          <t>Personnel glove</t>
        </is>
      </c>
      <c r="F1221" t="n">
        <v>0</v>
      </c>
      <c r="G1221" t="inlineStr">
        <is>
          <t>Tech B</t>
        </is>
      </c>
      <c r="H1221">
        <f>INDEX(Limits!$B$2:$B$5,MATCH(E1221,Limits!$A$2:$A$5,0))</f>
        <v/>
      </c>
      <c r="I1221">
        <f>INDEX(Limits!$C$2:$C$5,MATCH(E1221,Limits!$A$2:$A$5,0))</f>
        <v/>
      </c>
      <c r="J1221">
        <f>IF(F1221&gt;=I1221,"Action",IF(F1221&gt;=H1221,"Alert","Pass"))</f>
        <v/>
      </c>
      <c r="K1221" s="4">
        <f>DATE(YEAR(B1221),MONTH(B1221),1)</f>
        <v/>
      </c>
    </row>
    <row r="1222">
      <c r="A1222" t="inlineStr">
        <is>
          <t>EM001221</t>
        </is>
      </c>
      <c r="B1222" s="7" t="n">
        <v>46115</v>
      </c>
      <c r="C1222" t="inlineStr">
        <is>
          <t>CR-102</t>
        </is>
      </c>
      <c r="D1222" t="inlineStr">
        <is>
          <t>ISO 7</t>
        </is>
      </c>
      <c r="E1222" t="inlineStr">
        <is>
          <t>Active air</t>
        </is>
      </c>
      <c r="F1222" t="n">
        <v>1</v>
      </c>
      <c r="G1222" t="inlineStr">
        <is>
          <t>Tech B</t>
        </is>
      </c>
      <c r="H1222">
        <f>INDEX(Limits!$B$2:$B$5,MATCH(E1222,Limits!$A$2:$A$5,0))</f>
        <v/>
      </c>
      <c r="I1222">
        <f>INDEX(Limits!$C$2:$C$5,MATCH(E1222,Limits!$A$2:$A$5,0))</f>
        <v/>
      </c>
      <c r="J1222">
        <f>IF(F1222&gt;=I1222,"Action",IF(F1222&gt;=H1222,"Alert","Pass"))</f>
        <v/>
      </c>
      <c r="K1222" s="4">
        <f>DATE(YEAR(B1222),MONTH(B1222),1)</f>
        <v/>
      </c>
    </row>
    <row r="1223">
      <c r="A1223" t="inlineStr">
        <is>
          <t>EM001222</t>
        </is>
      </c>
      <c r="B1223" s="7" t="n">
        <v>46115</v>
      </c>
      <c r="C1223" t="inlineStr">
        <is>
          <t>CR-102</t>
        </is>
      </c>
      <c r="D1223" t="inlineStr">
        <is>
          <t>ISO 7</t>
        </is>
      </c>
      <c r="E1223" t="inlineStr">
        <is>
          <t>Surface contact</t>
        </is>
      </c>
      <c r="F1223" t="n">
        <v>0</v>
      </c>
      <c r="G1223" t="inlineStr">
        <is>
          <t>Tech B</t>
        </is>
      </c>
      <c r="H1223">
        <f>INDEX(Limits!$B$2:$B$5,MATCH(E1223,Limits!$A$2:$A$5,0))</f>
        <v/>
      </c>
      <c r="I1223">
        <f>INDEX(Limits!$C$2:$C$5,MATCH(E1223,Limits!$A$2:$A$5,0))</f>
        <v/>
      </c>
      <c r="J1223">
        <f>IF(F1223&gt;=I1223,"Action",IF(F1223&gt;=H1223,"Alert","Pass"))</f>
        <v/>
      </c>
      <c r="K1223" s="4">
        <f>DATE(YEAR(B1223),MONTH(B1223),1)</f>
        <v/>
      </c>
    </row>
    <row r="1224">
      <c r="A1224" t="inlineStr">
        <is>
          <t>EM001223</t>
        </is>
      </c>
      <c r="B1224" s="7" t="n">
        <v>46115</v>
      </c>
      <c r="C1224" t="inlineStr">
        <is>
          <t>CR-102</t>
        </is>
      </c>
      <c r="D1224" t="inlineStr">
        <is>
          <t>ISO 7</t>
        </is>
      </c>
      <c r="E1224" t="inlineStr">
        <is>
          <t>Compressed air</t>
        </is>
      </c>
      <c r="F1224" t="n">
        <v>0</v>
      </c>
      <c r="G1224" t="inlineStr">
        <is>
          <t>Tech C</t>
        </is>
      </c>
      <c r="H1224">
        <f>INDEX(Limits!$B$2:$B$5,MATCH(E1224,Limits!$A$2:$A$5,0))</f>
        <v/>
      </c>
      <c r="I1224">
        <f>INDEX(Limits!$C$2:$C$5,MATCH(E1224,Limits!$A$2:$A$5,0))</f>
        <v/>
      </c>
      <c r="J1224">
        <f>IF(F1224&gt;=I1224,"Action",IF(F1224&gt;=H1224,"Alert","Pass"))</f>
        <v/>
      </c>
      <c r="K1224" s="4">
        <f>DATE(YEAR(B1224),MONTH(B1224),1)</f>
        <v/>
      </c>
    </row>
    <row r="1225">
      <c r="A1225" t="inlineStr">
        <is>
          <t>EM001224</t>
        </is>
      </c>
      <c r="B1225" s="7" t="n">
        <v>46115</v>
      </c>
      <c r="C1225" t="inlineStr">
        <is>
          <t>CR-102</t>
        </is>
      </c>
      <c r="D1225" t="inlineStr">
        <is>
          <t>ISO 7</t>
        </is>
      </c>
      <c r="E1225" t="inlineStr">
        <is>
          <t>Personnel glove</t>
        </is>
      </c>
      <c r="F1225" t="n">
        <v>0</v>
      </c>
      <c r="G1225" t="inlineStr">
        <is>
          <t>Tech D</t>
        </is>
      </c>
      <c r="H1225">
        <f>INDEX(Limits!$B$2:$B$5,MATCH(E1225,Limits!$A$2:$A$5,0))</f>
        <v/>
      </c>
      <c r="I1225">
        <f>INDEX(Limits!$C$2:$C$5,MATCH(E1225,Limits!$A$2:$A$5,0))</f>
        <v/>
      </c>
      <c r="J1225">
        <f>IF(F1225&gt;=I1225,"Action",IF(F1225&gt;=H1225,"Alert","Pass"))</f>
        <v/>
      </c>
      <c r="K1225" s="4">
        <f>DATE(YEAR(B1225),MONTH(B1225),1)</f>
        <v/>
      </c>
    </row>
    <row r="1226">
      <c r="A1226" t="inlineStr">
        <is>
          <t>EM001225</t>
        </is>
      </c>
      <c r="B1226" s="7" t="n">
        <v>46115</v>
      </c>
      <c r="C1226" t="inlineStr">
        <is>
          <t>CR-201</t>
        </is>
      </c>
      <c r="D1226" t="inlineStr">
        <is>
          <t>ISO 8</t>
        </is>
      </c>
      <c r="E1226" t="inlineStr">
        <is>
          <t>Active air</t>
        </is>
      </c>
      <c r="F1226" t="n">
        <v>2</v>
      </c>
      <c r="G1226" t="inlineStr">
        <is>
          <t>Tech B</t>
        </is>
      </c>
      <c r="H1226">
        <f>INDEX(Limits!$B$2:$B$5,MATCH(E1226,Limits!$A$2:$A$5,0))</f>
        <v/>
      </c>
      <c r="I1226">
        <f>INDEX(Limits!$C$2:$C$5,MATCH(E1226,Limits!$A$2:$A$5,0))</f>
        <v/>
      </c>
      <c r="J1226">
        <f>IF(F1226&gt;=I1226,"Action",IF(F1226&gt;=H1226,"Alert","Pass"))</f>
        <v/>
      </c>
      <c r="K1226" s="4">
        <f>DATE(YEAR(B1226),MONTH(B1226),1)</f>
        <v/>
      </c>
    </row>
    <row r="1227">
      <c r="A1227" t="inlineStr">
        <is>
          <t>EM001226</t>
        </is>
      </c>
      <c r="B1227" s="7" t="n">
        <v>46115</v>
      </c>
      <c r="C1227" t="inlineStr">
        <is>
          <t>CR-201</t>
        </is>
      </c>
      <c r="D1227" t="inlineStr">
        <is>
          <t>ISO 8</t>
        </is>
      </c>
      <c r="E1227" t="inlineStr">
        <is>
          <t>Surface contact</t>
        </is>
      </c>
      <c r="F1227" t="n">
        <v>1</v>
      </c>
      <c r="G1227" t="inlineStr">
        <is>
          <t>Tech B</t>
        </is>
      </c>
      <c r="H1227">
        <f>INDEX(Limits!$B$2:$B$5,MATCH(E1227,Limits!$A$2:$A$5,0))</f>
        <v/>
      </c>
      <c r="I1227">
        <f>INDEX(Limits!$C$2:$C$5,MATCH(E1227,Limits!$A$2:$A$5,0))</f>
        <v/>
      </c>
      <c r="J1227">
        <f>IF(F1227&gt;=I1227,"Action",IF(F1227&gt;=H1227,"Alert","Pass"))</f>
        <v/>
      </c>
      <c r="K1227" s="4">
        <f>DATE(YEAR(B1227),MONTH(B1227),1)</f>
        <v/>
      </c>
    </row>
    <row r="1228">
      <c r="A1228" t="inlineStr">
        <is>
          <t>EM001227</t>
        </is>
      </c>
      <c r="B1228" s="7" t="n">
        <v>46115</v>
      </c>
      <c r="C1228" t="inlineStr">
        <is>
          <t>CR-201</t>
        </is>
      </c>
      <c r="D1228" t="inlineStr">
        <is>
          <t>ISO 8</t>
        </is>
      </c>
      <c r="E1228" t="inlineStr">
        <is>
          <t>Compressed air</t>
        </is>
      </c>
      <c r="F1228" t="n">
        <v>0</v>
      </c>
      <c r="G1228" t="inlineStr">
        <is>
          <t>Tech D</t>
        </is>
      </c>
      <c r="H1228">
        <f>INDEX(Limits!$B$2:$B$5,MATCH(E1228,Limits!$A$2:$A$5,0))</f>
        <v/>
      </c>
      <c r="I1228">
        <f>INDEX(Limits!$C$2:$C$5,MATCH(E1228,Limits!$A$2:$A$5,0))</f>
        <v/>
      </c>
      <c r="J1228">
        <f>IF(F1228&gt;=I1228,"Action",IF(F1228&gt;=H1228,"Alert","Pass"))</f>
        <v/>
      </c>
      <c r="K1228" s="4">
        <f>DATE(YEAR(B1228),MONTH(B1228),1)</f>
        <v/>
      </c>
    </row>
    <row r="1229">
      <c r="A1229" t="inlineStr">
        <is>
          <t>EM001228</t>
        </is>
      </c>
      <c r="B1229" s="7" t="n">
        <v>46115</v>
      </c>
      <c r="C1229" t="inlineStr">
        <is>
          <t>CR-201</t>
        </is>
      </c>
      <c r="D1229" t="inlineStr">
        <is>
          <t>ISO 8</t>
        </is>
      </c>
      <c r="E1229" t="inlineStr">
        <is>
          <t>Personnel glove</t>
        </is>
      </c>
      <c r="F1229" t="n">
        <v>0</v>
      </c>
      <c r="G1229" t="inlineStr">
        <is>
          <t>Tech B</t>
        </is>
      </c>
      <c r="H1229">
        <f>INDEX(Limits!$B$2:$B$5,MATCH(E1229,Limits!$A$2:$A$5,0))</f>
        <v/>
      </c>
      <c r="I1229">
        <f>INDEX(Limits!$C$2:$C$5,MATCH(E1229,Limits!$A$2:$A$5,0))</f>
        <v/>
      </c>
      <c r="J1229">
        <f>IF(F1229&gt;=I1229,"Action",IF(F1229&gt;=H1229,"Alert","Pass"))</f>
        <v/>
      </c>
      <c r="K1229" s="4">
        <f>DATE(YEAR(B1229),MONTH(B1229),1)</f>
        <v/>
      </c>
    </row>
    <row r="1230">
      <c r="A1230" t="inlineStr">
        <is>
          <t>EM001229</t>
        </is>
      </c>
      <c r="B1230" s="7" t="n">
        <v>46115</v>
      </c>
      <c r="C1230" t="inlineStr">
        <is>
          <t>CR-202</t>
        </is>
      </c>
      <c r="D1230" t="inlineStr">
        <is>
          <t>ISO 8</t>
        </is>
      </c>
      <c r="E1230" t="inlineStr">
        <is>
          <t>Active air</t>
        </is>
      </c>
      <c r="F1230" t="n">
        <v>0</v>
      </c>
      <c r="G1230" t="inlineStr">
        <is>
          <t>Tech C</t>
        </is>
      </c>
      <c r="H1230">
        <f>INDEX(Limits!$B$2:$B$5,MATCH(E1230,Limits!$A$2:$A$5,0))</f>
        <v/>
      </c>
      <c r="I1230">
        <f>INDEX(Limits!$C$2:$C$5,MATCH(E1230,Limits!$A$2:$A$5,0))</f>
        <v/>
      </c>
      <c r="J1230">
        <f>IF(F1230&gt;=I1230,"Action",IF(F1230&gt;=H1230,"Alert","Pass"))</f>
        <v/>
      </c>
      <c r="K1230" s="4">
        <f>DATE(YEAR(B1230),MONTH(B1230),1)</f>
        <v/>
      </c>
    </row>
    <row r="1231">
      <c r="A1231" t="inlineStr">
        <is>
          <t>EM001230</t>
        </is>
      </c>
      <c r="B1231" s="7" t="n">
        <v>46115</v>
      </c>
      <c r="C1231" t="inlineStr">
        <is>
          <t>CR-202</t>
        </is>
      </c>
      <c r="D1231" t="inlineStr">
        <is>
          <t>ISO 8</t>
        </is>
      </c>
      <c r="E1231" t="inlineStr">
        <is>
          <t>Surface contact</t>
        </is>
      </c>
      <c r="F1231" t="n">
        <v>2</v>
      </c>
      <c r="G1231" t="inlineStr">
        <is>
          <t>Tech D</t>
        </is>
      </c>
      <c r="H1231">
        <f>INDEX(Limits!$B$2:$B$5,MATCH(E1231,Limits!$A$2:$A$5,0))</f>
        <v/>
      </c>
      <c r="I1231">
        <f>INDEX(Limits!$C$2:$C$5,MATCH(E1231,Limits!$A$2:$A$5,0))</f>
        <v/>
      </c>
      <c r="J1231">
        <f>IF(F1231&gt;=I1231,"Action",IF(F1231&gt;=H1231,"Alert","Pass"))</f>
        <v/>
      </c>
      <c r="K1231" s="4">
        <f>DATE(YEAR(B1231),MONTH(B1231),1)</f>
        <v/>
      </c>
    </row>
    <row r="1232">
      <c r="A1232" t="inlineStr">
        <is>
          <t>EM001231</t>
        </is>
      </c>
      <c r="B1232" s="7" t="n">
        <v>46115</v>
      </c>
      <c r="C1232" t="inlineStr">
        <is>
          <t>CR-202</t>
        </is>
      </c>
      <c r="D1232" t="inlineStr">
        <is>
          <t>ISO 8</t>
        </is>
      </c>
      <c r="E1232" t="inlineStr">
        <is>
          <t>Compressed air</t>
        </is>
      </c>
      <c r="F1232" t="n">
        <v>0</v>
      </c>
      <c r="G1232" t="inlineStr">
        <is>
          <t>Tech C</t>
        </is>
      </c>
      <c r="H1232">
        <f>INDEX(Limits!$B$2:$B$5,MATCH(E1232,Limits!$A$2:$A$5,0))</f>
        <v/>
      </c>
      <c r="I1232">
        <f>INDEX(Limits!$C$2:$C$5,MATCH(E1232,Limits!$A$2:$A$5,0))</f>
        <v/>
      </c>
      <c r="J1232">
        <f>IF(F1232&gt;=I1232,"Action",IF(F1232&gt;=H1232,"Alert","Pass"))</f>
        <v/>
      </c>
      <c r="K1232" s="4">
        <f>DATE(YEAR(B1232),MONTH(B1232),1)</f>
        <v/>
      </c>
    </row>
    <row r="1233">
      <c r="A1233" t="inlineStr">
        <is>
          <t>EM001232</t>
        </is>
      </c>
      <c r="B1233" s="7" t="n">
        <v>46115</v>
      </c>
      <c r="C1233" t="inlineStr">
        <is>
          <t>CR-202</t>
        </is>
      </c>
      <c r="D1233" t="inlineStr">
        <is>
          <t>ISO 8</t>
        </is>
      </c>
      <c r="E1233" t="inlineStr">
        <is>
          <t>Personnel glove</t>
        </is>
      </c>
      <c r="F1233" t="n">
        <v>0</v>
      </c>
      <c r="G1233" t="inlineStr">
        <is>
          <t>Tech D</t>
        </is>
      </c>
      <c r="H1233">
        <f>INDEX(Limits!$B$2:$B$5,MATCH(E1233,Limits!$A$2:$A$5,0))</f>
        <v/>
      </c>
      <c r="I1233">
        <f>INDEX(Limits!$C$2:$C$5,MATCH(E1233,Limits!$A$2:$A$5,0))</f>
        <v/>
      </c>
      <c r="J1233">
        <f>IF(F1233&gt;=I1233,"Action",IF(F1233&gt;=H1233,"Alert","Pass"))</f>
        <v/>
      </c>
      <c r="K1233" s="4">
        <f>DATE(YEAR(B1233),MONTH(B1233),1)</f>
        <v/>
      </c>
    </row>
    <row r="1234">
      <c r="A1234" t="inlineStr">
        <is>
          <t>EM001233</t>
        </is>
      </c>
      <c r="B1234" s="7" t="n">
        <v>46115</v>
      </c>
      <c r="C1234" t="inlineStr">
        <is>
          <t>Gowning</t>
        </is>
      </c>
      <c r="D1234" t="inlineStr">
        <is>
          <t>ISO 8</t>
        </is>
      </c>
      <c r="E1234" t="inlineStr">
        <is>
          <t>Active air</t>
        </is>
      </c>
      <c r="F1234" t="n">
        <v>1</v>
      </c>
      <c r="G1234" t="inlineStr">
        <is>
          <t>Tech C</t>
        </is>
      </c>
      <c r="H1234">
        <f>INDEX(Limits!$B$2:$B$5,MATCH(E1234,Limits!$A$2:$A$5,0))</f>
        <v/>
      </c>
      <c r="I1234">
        <f>INDEX(Limits!$C$2:$C$5,MATCH(E1234,Limits!$A$2:$A$5,0))</f>
        <v/>
      </c>
      <c r="J1234">
        <f>IF(F1234&gt;=I1234,"Action",IF(F1234&gt;=H1234,"Alert","Pass"))</f>
        <v/>
      </c>
      <c r="K1234" s="4">
        <f>DATE(YEAR(B1234),MONTH(B1234),1)</f>
        <v/>
      </c>
    </row>
    <row r="1235">
      <c r="A1235" t="inlineStr">
        <is>
          <t>EM001234</t>
        </is>
      </c>
      <c r="B1235" s="7" t="n">
        <v>46115</v>
      </c>
      <c r="C1235" t="inlineStr">
        <is>
          <t>Gowning</t>
        </is>
      </c>
      <c r="D1235" t="inlineStr">
        <is>
          <t>ISO 8</t>
        </is>
      </c>
      <c r="E1235" t="inlineStr">
        <is>
          <t>Surface contact</t>
        </is>
      </c>
      <c r="F1235" t="n">
        <v>1</v>
      </c>
      <c r="G1235" t="inlineStr">
        <is>
          <t>Tech C</t>
        </is>
      </c>
      <c r="H1235">
        <f>INDEX(Limits!$B$2:$B$5,MATCH(E1235,Limits!$A$2:$A$5,0))</f>
        <v/>
      </c>
      <c r="I1235">
        <f>INDEX(Limits!$C$2:$C$5,MATCH(E1235,Limits!$A$2:$A$5,0))</f>
        <v/>
      </c>
      <c r="J1235">
        <f>IF(F1235&gt;=I1235,"Action",IF(F1235&gt;=H1235,"Alert","Pass"))</f>
        <v/>
      </c>
      <c r="K1235" s="4">
        <f>DATE(YEAR(B1235),MONTH(B1235),1)</f>
        <v/>
      </c>
    </row>
    <row r="1236">
      <c r="A1236" t="inlineStr">
        <is>
          <t>EM001235</t>
        </is>
      </c>
      <c r="B1236" s="7" t="n">
        <v>46115</v>
      </c>
      <c r="C1236" t="inlineStr">
        <is>
          <t>Gowning</t>
        </is>
      </c>
      <c r="D1236" t="inlineStr">
        <is>
          <t>ISO 8</t>
        </is>
      </c>
      <c r="E1236" t="inlineStr">
        <is>
          <t>Personnel glove</t>
        </is>
      </c>
      <c r="F1236" t="n">
        <v>0</v>
      </c>
      <c r="G1236" t="inlineStr">
        <is>
          <t>Tech C</t>
        </is>
      </c>
      <c r="H1236">
        <f>INDEX(Limits!$B$2:$B$5,MATCH(E1236,Limits!$A$2:$A$5,0))</f>
        <v/>
      </c>
      <c r="I1236">
        <f>INDEX(Limits!$C$2:$C$5,MATCH(E1236,Limits!$A$2:$A$5,0))</f>
        <v/>
      </c>
      <c r="J1236">
        <f>IF(F1236&gt;=I1236,"Action",IF(F1236&gt;=H1236,"Alert","Pass"))</f>
        <v/>
      </c>
      <c r="K1236" s="4">
        <f>DATE(YEAR(B1236),MONTH(B1236),1)</f>
        <v/>
      </c>
    </row>
    <row r="1237">
      <c r="A1237" t="inlineStr">
        <is>
          <t>EM001236</t>
        </is>
      </c>
      <c r="B1237" s="7" t="n">
        <v>46118</v>
      </c>
      <c r="C1237" t="inlineStr">
        <is>
          <t>CR-101</t>
        </is>
      </c>
      <c r="D1237" t="inlineStr">
        <is>
          <t>ISO 7</t>
        </is>
      </c>
      <c r="E1237" t="inlineStr">
        <is>
          <t>Active air</t>
        </is>
      </c>
      <c r="F1237" t="n">
        <v>0</v>
      </c>
      <c r="G1237" t="inlineStr">
        <is>
          <t>Tech B</t>
        </is>
      </c>
      <c r="H1237">
        <f>INDEX(Limits!$B$2:$B$5,MATCH(E1237,Limits!$A$2:$A$5,0))</f>
        <v/>
      </c>
      <c r="I1237">
        <f>INDEX(Limits!$C$2:$C$5,MATCH(E1237,Limits!$A$2:$A$5,0))</f>
        <v/>
      </c>
      <c r="J1237">
        <f>IF(F1237&gt;=I1237,"Action",IF(F1237&gt;=H1237,"Alert","Pass"))</f>
        <v/>
      </c>
      <c r="K1237" s="4">
        <f>DATE(YEAR(B1237),MONTH(B1237),1)</f>
        <v/>
      </c>
    </row>
    <row r="1238">
      <c r="A1238" t="inlineStr">
        <is>
          <t>EM001237</t>
        </is>
      </c>
      <c r="B1238" s="7" t="n">
        <v>46118</v>
      </c>
      <c r="C1238" t="inlineStr">
        <is>
          <t>CR-101</t>
        </is>
      </c>
      <c r="D1238" t="inlineStr">
        <is>
          <t>ISO 7</t>
        </is>
      </c>
      <c r="E1238" t="inlineStr">
        <is>
          <t>Surface contact</t>
        </is>
      </c>
      <c r="F1238" t="n">
        <v>0</v>
      </c>
      <c r="G1238" t="inlineStr">
        <is>
          <t>Tech A</t>
        </is>
      </c>
      <c r="H1238">
        <f>INDEX(Limits!$B$2:$B$5,MATCH(E1238,Limits!$A$2:$A$5,0))</f>
        <v/>
      </c>
      <c r="I1238">
        <f>INDEX(Limits!$C$2:$C$5,MATCH(E1238,Limits!$A$2:$A$5,0))</f>
        <v/>
      </c>
      <c r="J1238">
        <f>IF(F1238&gt;=I1238,"Action",IF(F1238&gt;=H1238,"Alert","Pass"))</f>
        <v/>
      </c>
      <c r="K1238" s="4">
        <f>DATE(YEAR(B1238),MONTH(B1238),1)</f>
        <v/>
      </c>
    </row>
    <row r="1239">
      <c r="A1239" t="inlineStr">
        <is>
          <t>EM001238</t>
        </is>
      </c>
      <c r="B1239" s="7" t="n">
        <v>46118</v>
      </c>
      <c r="C1239" t="inlineStr">
        <is>
          <t>CR-101</t>
        </is>
      </c>
      <c r="D1239" t="inlineStr">
        <is>
          <t>ISO 7</t>
        </is>
      </c>
      <c r="E1239" t="inlineStr">
        <is>
          <t>Compressed air</t>
        </is>
      </c>
      <c r="F1239" t="n">
        <v>0</v>
      </c>
      <c r="G1239" t="inlineStr">
        <is>
          <t>Tech A</t>
        </is>
      </c>
      <c r="H1239">
        <f>INDEX(Limits!$B$2:$B$5,MATCH(E1239,Limits!$A$2:$A$5,0))</f>
        <v/>
      </c>
      <c r="I1239">
        <f>INDEX(Limits!$C$2:$C$5,MATCH(E1239,Limits!$A$2:$A$5,0))</f>
        <v/>
      </c>
      <c r="J1239">
        <f>IF(F1239&gt;=I1239,"Action",IF(F1239&gt;=H1239,"Alert","Pass"))</f>
        <v/>
      </c>
      <c r="K1239" s="4">
        <f>DATE(YEAR(B1239),MONTH(B1239),1)</f>
        <v/>
      </c>
    </row>
    <row r="1240">
      <c r="A1240" t="inlineStr">
        <is>
          <t>EM001239</t>
        </is>
      </c>
      <c r="B1240" s="7" t="n">
        <v>46118</v>
      </c>
      <c r="C1240" t="inlineStr">
        <is>
          <t>CR-101</t>
        </is>
      </c>
      <c r="D1240" t="inlineStr">
        <is>
          <t>ISO 7</t>
        </is>
      </c>
      <c r="E1240" t="inlineStr">
        <is>
          <t>Personnel glove</t>
        </is>
      </c>
      <c r="F1240" t="n">
        <v>0</v>
      </c>
      <c r="G1240" t="inlineStr">
        <is>
          <t>Tech A</t>
        </is>
      </c>
      <c r="H1240">
        <f>INDEX(Limits!$B$2:$B$5,MATCH(E1240,Limits!$A$2:$A$5,0))</f>
        <v/>
      </c>
      <c r="I1240">
        <f>INDEX(Limits!$C$2:$C$5,MATCH(E1240,Limits!$A$2:$A$5,0))</f>
        <v/>
      </c>
      <c r="J1240">
        <f>IF(F1240&gt;=I1240,"Action",IF(F1240&gt;=H1240,"Alert","Pass"))</f>
        <v/>
      </c>
      <c r="K1240" s="4">
        <f>DATE(YEAR(B1240),MONTH(B1240),1)</f>
        <v/>
      </c>
    </row>
    <row r="1241">
      <c r="A1241" t="inlineStr">
        <is>
          <t>EM001240</t>
        </is>
      </c>
      <c r="B1241" s="7" t="n">
        <v>46118</v>
      </c>
      <c r="C1241" t="inlineStr">
        <is>
          <t>CR-102</t>
        </is>
      </c>
      <c r="D1241" t="inlineStr">
        <is>
          <t>ISO 7</t>
        </is>
      </c>
      <c r="E1241" t="inlineStr">
        <is>
          <t>Active air</t>
        </is>
      </c>
      <c r="F1241" t="n">
        <v>0</v>
      </c>
      <c r="G1241" t="inlineStr">
        <is>
          <t>Tech A</t>
        </is>
      </c>
      <c r="H1241">
        <f>INDEX(Limits!$B$2:$B$5,MATCH(E1241,Limits!$A$2:$A$5,0))</f>
        <v/>
      </c>
      <c r="I1241">
        <f>INDEX(Limits!$C$2:$C$5,MATCH(E1241,Limits!$A$2:$A$5,0))</f>
        <v/>
      </c>
      <c r="J1241">
        <f>IF(F1241&gt;=I1241,"Action",IF(F1241&gt;=H1241,"Alert","Pass"))</f>
        <v/>
      </c>
      <c r="K1241" s="4">
        <f>DATE(YEAR(B1241),MONTH(B1241),1)</f>
        <v/>
      </c>
    </row>
    <row r="1242">
      <c r="A1242" t="inlineStr">
        <is>
          <t>EM001241</t>
        </is>
      </c>
      <c r="B1242" s="7" t="n">
        <v>46118</v>
      </c>
      <c r="C1242" t="inlineStr">
        <is>
          <t>CR-102</t>
        </is>
      </c>
      <c r="D1242" t="inlineStr">
        <is>
          <t>ISO 7</t>
        </is>
      </c>
      <c r="E1242" t="inlineStr">
        <is>
          <t>Surface contact</t>
        </is>
      </c>
      <c r="F1242" t="n">
        <v>1</v>
      </c>
      <c r="G1242" t="inlineStr">
        <is>
          <t>Tech C</t>
        </is>
      </c>
      <c r="H1242">
        <f>INDEX(Limits!$B$2:$B$5,MATCH(E1242,Limits!$A$2:$A$5,0))</f>
        <v/>
      </c>
      <c r="I1242">
        <f>INDEX(Limits!$C$2:$C$5,MATCH(E1242,Limits!$A$2:$A$5,0))</f>
        <v/>
      </c>
      <c r="J1242">
        <f>IF(F1242&gt;=I1242,"Action",IF(F1242&gt;=H1242,"Alert","Pass"))</f>
        <v/>
      </c>
      <c r="K1242" s="4">
        <f>DATE(YEAR(B1242),MONTH(B1242),1)</f>
        <v/>
      </c>
    </row>
    <row r="1243">
      <c r="A1243" t="inlineStr">
        <is>
          <t>EM001242</t>
        </is>
      </c>
      <c r="B1243" s="7" t="n">
        <v>46118</v>
      </c>
      <c r="C1243" t="inlineStr">
        <is>
          <t>CR-102</t>
        </is>
      </c>
      <c r="D1243" t="inlineStr">
        <is>
          <t>ISO 7</t>
        </is>
      </c>
      <c r="E1243" t="inlineStr">
        <is>
          <t>Compressed air</t>
        </is>
      </c>
      <c r="F1243" t="n">
        <v>0</v>
      </c>
      <c r="G1243" t="inlineStr">
        <is>
          <t>Tech B</t>
        </is>
      </c>
      <c r="H1243">
        <f>INDEX(Limits!$B$2:$B$5,MATCH(E1243,Limits!$A$2:$A$5,0))</f>
        <v/>
      </c>
      <c r="I1243">
        <f>INDEX(Limits!$C$2:$C$5,MATCH(E1243,Limits!$A$2:$A$5,0))</f>
        <v/>
      </c>
      <c r="J1243">
        <f>IF(F1243&gt;=I1243,"Action",IF(F1243&gt;=H1243,"Alert","Pass"))</f>
        <v/>
      </c>
      <c r="K1243" s="4">
        <f>DATE(YEAR(B1243),MONTH(B1243),1)</f>
        <v/>
      </c>
    </row>
    <row r="1244">
      <c r="A1244" t="inlineStr">
        <is>
          <t>EM001243</t>
        </is>
      </c>
      <c r="B1244" s="7" t="n">
        <v>46118</v>
      </c>
      <c r="C1244" t="inlineStr">
        <is>
          <t>CR-102</t>
        </is>
      </c>
      <c r="D1244" t="inlineStr">
        <is>
          <t>ISO 7</t>
        </is>
      </c>
      <c r="E1244" t="inlineStr">
        <is>
          <t>Personnel glove</t>
        </is>
      </c>
      <c r="F1244" t="n">
        <v>0</v>
      </c>
      <c r="G1244" t="inlineStr">
        <is>
          <t>Tech A</t>
        </is>
      </c>
      <c r="H1244">
        <f>INDEX(Limits!$B$2:$B$5,MATCH(E1244,Limits!$A$2:$A$5,0))</f>
        <v/>
      </c>
      <c r="I1244">
        <f>INDEX(Limits!$C$2:$C$5,MATCH(E1244,Limits!$A$2:$A$5,0))</f>
        <v/>
      </c>
      <c r="J1244">
        <f>IF(F1244&gt;=I1244,"Action",IF(F1244&gt;=H1244,"Alert","Pass"))</f>
        <v/>
      </c>
      <c r="K1244" s="4">
        <f>DATE(YEAR(B1244),MONTH(B1244),1)</f>
        <v/>
      </c>
    </row>
    <row r="1245">
      <c r="A1245" t="inlineStr">
        <is>
          <t>EM001244</t>
        </is>
      </c>
      <c r="B1245" s="7" t="n">
        <v>46118</v>
      </c>
      <c r="C1245" t="inlineStr">
        <is>
          <t>CR-201</t>
        </is>
      </c>
      <c r="D1245" t="inlineStr">
        <is>
          <t>ISO 8</t>
        </is>
      </c>
      <c r="E1245" t="inlineStr">
        <is>
          <t>Active air</t>
        </is>
      </c>
      <c r="F1245" t="n">
        <v>0</v>
      </c>
      <c r="G1245" t="inlineStr">
        <is>
          <t>Tech D</t>
        </is>
      </c>
      <c r="H1245">
        <f>INDEX(Limits!$B$2:$B$5,MATCH(E1245,Limits!$A$2:$A$5,0))</f>
        <v/>
      </c>
      <c r="I1245">
        <f>INDEX(Limits!$C$2:$C$5,MATCH(E1245,Limits!$A$2:$A$5,0))</f>
        <v/>
      </c>
      <c r="J1245">
        <f>IF(F1245&gt;=I1245,"Action",IF(F1245&gt;=H1245,"Alert","Pass"))</f>
        <v/>
      </c>
      <c r="K1245" s="4">
        <f>DATE(YEAR(B1245),MONTH(B1245),1)</f>
        <v/>
      </c>
    </row>
    <row r="1246">
      <c r="A1246" t="inlineStr">
        <is>
          <t>EM001245</t>
        </is>
      </c>
      <c r="B1246" s="7" t="n">
        <v>46118</v>
      </c>
      <c r="C1246" t="inlineStr">
        <is>
          <t>CR-201</t>
        </is>
      </c>
      <c r="D1246" t="inlineStr">
        <is>
          <t>ISO 8</t>
        </is>
      </c>
      <c r="E1246" t="inlineStr">
        <is>
          <t>Surface contact</t>
        </is>
      </c>
      <c r="F1246" t="n">
        <v>2</v>
      </c>
      <c r="G1246" t="inlineStr">
        <is>
          <t>Tech D</t>
        </is>
      </c>
      <c r="H1246">
        <f>INDEX(Limits!$B$2:$B$5,MATCH(E1246,Limits!$A$2:$A$5,0))</f>
        <v/>
      </c>
      <c r="I1246">
        <f>INDEX(Limits!$C$2:$C$5,MATCH(E1246,Limits!$A$2:$A$5,0))</f>
        <v/>
      </c>
      <c r="J1246">
        <f>IF(F1246&gt;=I1246,"Action",IF(F1246&gt;=H1246,"Alert","Pass"))</f>
        <v/>
      </c>
      <c r="K1246" s="4">
        <f>DATE(YEAR(B1246),MONTH(B1246),1)</f>
        <v/>
      </c>
    </row>
    <row r="1247">
      <c r="A1247" t="inlineStr">
        <is>
          <t>EM001246</t>
        </is>
      </c>
      <c r="B1247" s="7" t="n">
        <v>46118</v>
      </c>
      <c r="C1247" t="inlineStr">
        <is>
          <t>CR-201</t>
        </is>
      </c>
      <c r="D1247" t="inlineStr">
        <is>
          <t>ISO 8</t>
        </is>
      </c>
      <c r="E1247" t="inlineStr">
        <is>
          <t>Compressed air</t>
        </is>
      </c>
      <c r="F1247" t="n">
        <v>0</v>
      </c>
      <c r="G1247" t="inlineStr">
        <is>
          <t>Tech C</t>
        </is>
      </c>
      <c r="H1247">
        <f>INDEX(Limits!$B$2:$B$5,MATCH(E1247,Limits!$A$2:$A$5,0))</f>
        <v/>
      </c>
      <c r="I1247">
        <f>INDEX(Limits!$C$2:$C$5,MATCH(E1247,Limits!$A$2:$A$5,0))</f>
        <v/>
      </c>
      <c r="J1247">
        <f>IF(F1247&gt;=I1247,"Action",IF(F1247&gt;=H1247,"Alert","Pass"))</f>
        <v/>
      </c>
      <c r="K1247" s="4">
        <f>DATE(YEAR(B1247),MONTH(B1247),1)</f>
        <v/>
      </c>
    </row>
    <row r="1248">
      <c r="A1248" t="inlineStr">
        <is>
          <t>EM001247</t>
        </is>
      </c>
      <c r="B1248" s="7" t="n">
        <v>46118</v>
      </c>
      <c r="C1248" t="inlineStr">
        <is>
          <t>CR-201</t>
        </is>
      </c>
      <c r="D1248" t="inlineStr">
        <is>
          <t>ISO 8</t>
        </is>
      </c>
      <c r="E1248" t="inlineStr">
        <is>
          <t>Personnel glove</t>
        </is>
      </c>
      <c r="F1248" t="n">
        <v>0</v>
      </c>
      <c r="G1248" t="inlineStr">
        <is>
          <t>Tech C</t>
        </is>
      </c>
      <c r="H1248">
        <f>INDEX(Limits!$B$2:$B$5,MATCH(E1248,Limits!$A$2:$A$5,0))</f>
        <v/>
      </c>
      <c r="I1248">
        <f>INDEX(Limits!$C$2:$C$5,MATCH(E1248,Limits!$A$2:$A$5,0))</f>
        <v/>
      </c>
      <c r="J1248">
        <f>IF(F1248&gt;=I1248,"Action",IF(F1248&gt;=H1248,"Alert","Pass"))</f>
        <v/>
      </c>
      <c r="K1248" s="4">
        <f>DATE(YEAR(B1248),MONTH(B1248),1)</f>
        <v/>
      </c>
    </row>
    <row r="1249">
      <c r="A1249" t="inlineStr">
        <is>
          <t>EM001248</t>
        </is>
      </c>
      <c r="B1249" s="7" t="n">
        <v>46118</v>
      </c>
      <c r="C1249" t="inlineStr">
        <is>
          <t>CR-202</t>
        </is>
      </c>
      <c r="D1249" t="inlineStr">
        <is>
          <t>ISO 8</t>
        </is>
      </c>
      <c r="E1249" t="inlineStr">
        <is>
          <t>Active air</t>
        </is>
      </c>
      <c r="F1249" t="n">
        <v>3</v>
      </c>
      <c r="G1249" t="inlineStr">
        <is>
          <t>Tech C</t>
        </is>
      </c>
      <c r="H1249">
        <f>INDEX(Limits!$B$2:$B$5,MATCH(E1249,Limits!$A$2:$A$5,0))</f>
        <v/>
      </c>
      <c r="I1249">
        <f>INDEX(Limits!$C$2:$C$5,MATCH(E1249,Limits!$A$2:$A$5,0))</f>
        <v/>
      </c>
      <c r="J1249">
        <f>IF(F1249&gt;=I1249,"Action",IF(F1249&gt;=H1249,"Alert","Pass"))</f>
        <v/>
      </c>
      <c r="K1249" s="4">
        <f>DATE(YEAR(B1249),MONTH(B1249),1)</f>
        <v/>
      </c>
    </row>
    <row r="1250">
      <c r="A1250" t="inlineStr">
        <is>
          <t>EM001249</t>
        </is>
      </c>
      <c r="B1250" s="7" t="n">
        <v>46118</v>
      </c>
      <c r="C1250" t="inlineStr">
        <is>
          <t>CR-202</t>
        </is>
      </c>
      <c r="D1250" t="inlineStr">
        <is>
          <t>ISO 8</t>
        </is>
      </c>
      <c r="E1250" t="inlineStr">
        <is>
          <t>Surface contact</t>
        </is>
      </c>
      <c r="F1250" t="n">
        <v>0</v>
      </c>
      <c r="G1250" t="inlineStr">
        <is>
          <t>Tech A</t>
        </is>
      </c>
      <c r="H1250">
        <f>INDEX(Limits!$B$2:$B$5,MATCH(E1250,Limits!$A$2:$A$5,0))</f>
        <v/>
      </c>
      <c r="I1250">
        <f>INDEX(Limits!$C$2:$C$5,MATCH(E1250,Limits!$A$2:$A$5,0))</f>
        <v/>
      </c>
      <c r="J1250">
        <f>IF(F1250&gt;=I1250,"Action",IF(F1250&gt;=H1250,"Alert","Pass"))</f>
        <v/>
      </c>
      <c r="K1250" s="4">
        <f>DATE(YEAR(B1250),MONTH(B1250),1)</f>
        <v/>
      </c>
    </row>
    <row r="1251">
      <c r="A1251" t="inlineStr">
        <is>
          <t>EM001250</t>
        </is>
      </c>
      <c r="B1251" s="7" t="n">
        <v>46118</v>
      </c>
      <c r="C1251" t="inlineStr">
        <is>
          <t>CR-202</t>
        </is>
      </c>
      <c r="D1251" t="inlineStr">
        <is>
          <t>ISO 8</t>
        </is>
      </c>
      <c r="E1251" t="inlineStr">
        <is>
          <t>Compressed air</t>
        </is>
      </c>
      <c r="F1251" t="n">
        <v>0</v>
      </c>
      <c r="G1251" t="inlineStr">
        <is>
          <t>Tech B</t>
        </is>
      </c>
      <c r="H1251">
        <f>INDEX(Limits!$B$2:$B$5,MATCH(E1251,Limits!$A$2:$A$5,0))</f>
        <v/>
      </c>
      <c r="I1251">
        <f>INDEX(Limits!$C$2:$C$5,MATCH(E1251,Limits!$A$2:$A$5,0))</f>
        <v/>
      </c>
      <c r="J1251">
        <f>IF(F1251&gt;=I1251,"Action",IF(F1251&gt;=H1251,"Alert","Pass"))</f>
        <v/>
      </c>
      <c r="K1251" s="4">
        <f>DATE(YEAR(B1251),MONTH(B1251),1)</f>
        <v/>
      </c>
    </row>
    <row r="1252">
      <c r="A1252" t="inlineStr">
        <is>
          <t>EM001251</t>
        </is>
      </c>
      <c r="B1252" s="7" t="n">
        <v>46118</v>
      </c>
      <c r="C1252" t="inlineStr">
        <is>
          <t>CR-202</t>
        </is>
      </c>
      <c r="D1252" t="inlineStr">
        <is>
          <t>ISO 8</t>
        </is>
      </c>
      <c r="E1252" t="inlineStr">
        <is>
          <t>Personnel glove</t>
        </is>
      </c>
      <c r="F1252" t="n">
        <v>0</v>
      </c>
      <c r="G1252" t="inlineStr">
        <is>
          <t>Tech A</t>
        </is>
      </c>
      <c r="H1252">
        <f>INDEX(Limits!$B$2:$B$5,MATCH(E1252,Limits!$A$2:$A$5,0))</f>
        <v/>
      </c>
      <c r="I1252">
        <f>INDEX(Limits!$C$2:$C$5,MATCH(E1252,Limits!$A$2:$A$5,0))</f>
        <v/>
      </c>
      <c r="J1252">
        <f>IF(F1252&gt;=I1252,"Action",IF(F1252&gt;=H1252,"Alert","Pass"))</f>
        <v/>
      </c>
      <c r="K1252" s="4">
        <f>DATE(YEAR(B1252),MONTH(B1252),1)</f>
        <v/>
      </c>
    </row>
    <row r="1253">
      <c r="A1253" t="inlineStr">
        <is>
          <t>EM001252</t>
        </is>
      </c>
      <c r="B1253" s="7" t="n">
        <v>46118</v>
      </c>
      <c r="C1253" t="inlineStr">
        <is>
          <t>Gowning</t>
        </is>
      </c>
      <c r="D1253" t="inlineStr">
        <is>
          <t>ISO 8</t>
        </is>
      </c>
      <c r="E1253" t="inlineStr">
        <is>
          <t>Active air</t>
        </is>
      </c>
      <c r="F1253" t="n">
        <v>3</v>
      </c>
      <c r="G1253" t="inlineStr">
        <is>
          <t>Tech D</t>
        </is>
      </c>
      <c r="H1253">
        <f>INDEX(Limits!$B$2:$B$5,MATCH(E1253,Limits!$A$2:$A$5,0))</f>
        <v/>
      </c>
      <c r="I1253">
        <f>INDEX(Limits!$C$2:$C$5,MATCH(E1253,Limits!$A$2:$A$5,0))</f>
        <v/>
      </c>
      <c r="J1253">
        <f>IF(F1253&gt;=I1253,"Action",IF(F1253&gt;=H1253,"Alert","Pass"))</f>
        <v/>
      </c>
      <c r="K1253" s="4">
        <f>DATE(YEAR(B1253),MONTH(B1253),1)</f>
        <v/>
      </c>
    </row>
    <row r="1254">
      <c r="A1254" t="inlineStr">
        <is>
          <t>EM001253</t>
        </is>
      </c>
      <c r="B1254" s="7" t="n">
        <v>46118</v>
      </c>
      <c r="C1254" t="inlineStr">
        <is>
          <t>Gowning</t>
        </is>
      </c>
      <c r="D1254" t="inlineStr">
        <is>
          <t>ISO 8</t>
        </is>
      </c>
      <c r="E1254" t="inlineStr">
        <is>
          <t>Surface contact</t>
        </is>
      </c>
      <c r="F1254" t="n">
        <v>1</v>
      </c>
      <c r="G1254" t="inlineStr">
        <is>
          <t>Tech D</t>
        </is>
      </c>
      <c r="H1254">
        <f>INDEX(Limits!$B$2:$B$5,MATCH(E1254,Limits!$A$2:$A$5,0))</f>
        <v/>
      </c>
      <c r="I1254">
        <f>INDEX(Limits!$C$2:$C$5,MATCH(E1254,Limits!$A$2:$A$5,0))</f>
        <v/>
      </c>
      <c r="J1254">
        <f>IF(F1254&gt;=I1254,"Action",IF(F1254&gt;=H1254,"Alert","Pass"))</f>
        <v/>
      </c>
      <c r="K1254" s="4">
        <f>DATE(YEAR(B1254),MONTH(B1254),1)</f>
        <v/>
      </c>
    </row>
    <row r="1255">
      <c r="A1255" t="inlineStr">
        <is>
          <t>EM001254</t>
        </is>
      </c>
      <c r="B1255" s="7" t="n">
        <v>46118</v>
      </c>
      <c r="C1255" t="inlineStr">
        <is>
          <t>Gowning</t>
        </is>
      </c>
      <c r="D1255" t="inlineStr">
        <is>
          <t>ISO 8</t>
        </is>
      </c>
      <c r="E1255" t="inlineStr">
        <is>
          <t>Personnel glove</t>
        </is>
      </c>
      <c r="F1255" t="n">
        <v>0</v>
      </c>
      <c r="G1255" t="inlineStr">
        <is>
          <t>Tech C</t>
        </is>
      </c>
      <c r="H1255">
        <f>INDEX(Limits!$B$2:$B$5,MATCH(E1255,Limits!$A$2:$A$5,0))</f>
        <v/>
      </c>
      <c r="I1255">
        <f>INDEX(Limits!$C$2:$C$5,MATCH(E1255,Limits!$A$2:$A$5,0))</f>
        <v/>
      </c>
      <c r="J1255">
        <f>IF(F1255&gt;=I1255,"Action",IF(F1255&gt;=H1255,"Alert","Pass"))</f>
        <v/>
      </c>
      <c r="K1255" s="4">
        <f>DATE(YEAR(B1255),MONTH(B1255),1)</f>
        <v/>
      </c>
    </row>
    <row r="1256">
      <c r="A1256" t="inlineStr">
        <is>
          <t>EM001255</t>
        </is>
      </c>
      <c r="B1256" s="7" t="n">
        <v>46119</v>
      </c>
      <c r="C1256" t="inlineStr">
        <is>
          <t>CR-101</t>
        </is>
      </c>
      <c r="D1256" t="inlineStr">
        <is>
          <t>ISO 7</t>
        </is>
      </c>
      <c r="E1256" t="inlineStr">
        <is>
          <t>Active air</t>
        </is>
      </c>
      <c r="F1256" t="n">
        <v>3</v>
      </c>
      <c r="G1256" t="inlineStr">
        <is>
          <t>Tech D</t>
        </is>
      </c>
      <c r="H1256">
        <f>INDEX(Limits!$B$2:$B$5,MATCH(E1256,Limits!$A$2:$A$5,0))</f>
        <v/>
      </c>
      <c r="I1256">
        <f>INDEX(Limits!$C$2:$C$5,MATCH(E1256,Limits!$A$2:$A$5,0))</f>
        <v/>
      </c>
      <c r="J1256">
        <f>IF(F1256&gt;=I1256,"Action",IF(F1256&gt;=H1256,"Alert","Pass"))</f>
        <v/>
      </c>
      <c r="K1256" s="4">
        <f>DATE(YEAR(B1256),MONTH(B1256),1)</f>
        <v/>
      </c>
    </row>
    <row r="1257">
      <c r="A1257" t="inlineStr">
        <is>
          <t>EM001256</t>
        </is>
      </c>
      <c r="B1257" s="7" t="n">
        <v>46119</v>
      </c>
      <c r="C1257" t="inlineStr">
        <is>
          <t>CR-101</t>
        </is>
      </c>
      <c r="D1257" t="inlineStr">
        <is>
          <t>ISO 7</t>
        </is>
      </c>
      <c r="E1257" t="inlineStr">
        <is>
          <t>Surface contact</t>
        </is>
      </c>
      <c r="F1257" t="n">
        <v>0</v>
      </c>
      <c r="G1257" t="inlineStr">
        <is>
          <t>Tech A</t>
        </is>
      </c>
      <c r="H1257">
        <f>INDEX(Limits!$B$2:$B$5,MATCH(E1257,Limits!$A$2:$A$5,0))</f>
        <v/>
      </c>
      <c r="I1257">
        <f>INDEX(Limits!$C$2:$C$5,MATCH(E1257,Limits!$A$2:$A$5,0))</f>
        <v/>
      </c>
      <c r="J1257">
        <f>IF(F1257&gt;=I1257,"Action",IF(F1257&gt;=H1257,"Alert","Pass"))</f>
        <v/>
      </c>
      <c r="K1257" s="4">
        <f>DATE(YEAR(B1257),MONTH(B1257),1)</f>
        <v/>
      </c>
    </row>
    <row r="1258">
      <c r="A1258" t="inlineStr">
        <is>
          <t>EM001257</t>
        </is>
      </c>
      <c r="B1258" s="7" t="n">
        <v>46119</v>
      </c>
      <c r="C1258" t="inlineStr">
        <is>
          <t>CR-101</t>
        </is>
      </c>
      <c r="D1258" t="inlineStr">
        <is>
          <t>ISO 7</t>
        </is>
      </c>
      <c r="E1258" t="inlineStr">
        <is>
          <t>Compressed air</t>
        </is>
      </c>
      <c r="F1258" t="n">
        <v>0</v>
      </c>
      <c r="G1258" t="inlineStr">
        <is>
          <t>Tech A</t>
        </is>
      </c>
      <c r="H1258">
        <f>INDEX(Limits!$B$2:$B$5,MATCH(E1258,Limits!$A$2:$A$5,0))</f>
        <v/>
      </c>
      <c r="I1258">
        <f>INDEX(Limits!$C$2:$C$5,MATCH(E1258,Limits!$A$2:$A$5,0))</f>
        <v/>
      </c>
      <c r="J1258">
        <f>IF(F1258&gt;=I1258,"Action",IF(F1258&gt;=H1258,"Alert","Pass"))</f>
        <v/>
      </c>
      <c r="K1258" s="4">
        <f>DATE(YEAR(B1258),MONTH(B1258),1)</f>
        <v/>
      </c>
    </row>
    <row r="1259">
      <c r="A1259" t="inlineStr">
        <is>
          <t>EM001258</t>
        </is>
      </c>
      <c r="B1259" s="7" t="n">
        <v>46119</v>
      </c>
      <c r="C1259" t="inlineStr">
        <is>
          <t>CR-101</t>
        </is>
      </c>
      <c r="D1259" t="inlineStr">
        <is>
          <t>ISO 7</t>
        </is>
      </c>
      <c r="E1259" t="inlineStr">
        <is>
          <t>Personnel glove</t>
        </is>
      </c>
      <c r="F1259" t="n">
        <v>0</v>
      </c>
      <c r="G1259" t="inlineStr">
        <is>
          <t>Tech B</t>
        </is>
      </c>
      <c r="H1259">
        <f>INDEX(Limits!$B$2:$B$5,MATCH(E1259,Limits!$A$2:$A$5,0))</f>
        <v/>
      </c>
      <c r="I1259">
        <f>INDEX(Limits!$C$2:$C$5,MATCH(E1259,Limits!$A$2:$A$5,0))</f>
        <v/>
      </c>
      <c r="J1259">
        <f>IF(F1259&gt;=I1259,"Action",IF(F1259&gt;=H1259,"Alert","Pass"))</f>
        <v/>
      </c>
      <c r="K1259" s="4">
        <f>DATE(YEAR(B1259),MONTH(B1259),1)</f>
        <v/>
      </c>
    </row>
    <row r="1260">
      <c r="A1260" t="inlineStr">
        <is>
          <t>EM001259</t>
        </is>
      </c>
      <c r="B1260" s="7" t="n">
        <v>46119</v>
      </c>
      <c r="C1260" t="inlineStr">
        <is>
          <t>CR-102</t>
        </is>
      </c>
      <c r="D1260" t="inlineStr">
        <is>
          <t>ISO 7</t>
        </is>
      </c>
      <c r="E1260" t="inlineStr">
        <is>
          <t>Active air</t>
        </is>
      </c>
      <c r="F1260" t="n">
        <v>1</v>
      </c>
      <c r="G1260" t="inlineStr">
        <is>
          <t>Tech B</t>
        </is>
      </c>
      <c r="H1260">
        <f>INDEX(Limits!$B$2:$B$5,MATCH(E1260,Limits!$A$2:$A$5,0))</f>
        <v/>
      </c>
      <c r="I1260">
        <f>INDEX(Limits!$C$2:$C$5,MATCH(E1260,Limits!$A$2:$A$5,0))</f>
        <v/>
      </c>
      <c r="J1260">
        <f>IF(F1260&gt;=I1260,"Action",IF(F1260&gt;=H1260,"Alert","Pass"))</f>
        <v/>
      </c>
      <c r="K1260" s="4">
        <f>DATE(YEAR(B1260),MONTH(B1260),1)</f>
        <v/>
      </c>
    </row>
    <row r="1261">
      <c r="A1261" t="inlineStr">
        <is>
          <t>EM001260</t>
        </is>
      </c>
      <c r="B1261" s="7" t="n">
        <v>46119</v>
      </c>
      <c r="C1261" t="inlineStr">
        <is>
          <t>CR-102</t>
        </is>
      </c>
      <c r="D1261" t="inlineStr">
        <is>
          <t>ISO 7</t>
        </is>
      </c>
      <c r="E1261" t="inlineStr">
        <is>
          <t>Surface contact</t>
        </is>
      </c>
      <c r="F1261" t="n">
        <v>1</v>
      </c>
      <c r="G1261" t="inlineStr">
        <is>
          <t>Tech D</t>
        </is>
      </c>
      <c r="H1261">
        <f>INDEX(Limits!$B$2:$B$5,MATCH(E1261,Limits!$A$2:$A$5,0))</f>
        <v/>
      </c>
      <c r="I1261">
        <f>INDEX(Limits!$C$2:$C$5,MATCH(E1261,Limits!$A$2:$A$5,0))</f>
        <v/>
      </c>
      <c r="J1261">
        <f>IF(F1261&gt;=I1261,"Action",IF(F1261&gt;=H1261,"Alert","Pass"))</f>
        <v/>
      </c>
      <c r="K1261" s="4">
        <f>DATE(YEAR(B1261),MONTH(B1261),1)</f>
        <v/>
      </c>
    </row>
    <row r="1262">
      <c r="A1262" t="inlineStr">
        <is>
          <t>EM001261</t>
        </is>
      </c>
      <c r="B1262" s="7" t="n">
        <v>46119</v>
      </c>
      <c r="C1262" t="inlineStr">
        <is>
          <t>CR-102</t>
        </is>
      </c>
      <c r="D1262" t="inlineStr">
        <is>
          <t>ISO 7</t>
        </is>
      </c>
      <c r="E1262" t="inlineStr">
        <is>
          <t>Compressed air</t>
        </is>
      </c>
      <c r="F1262" t="n">
        <v>0</v>
      </c>
      <c r="G1262" t="inlineStr">
        <is>
          <t>Tech B</t>
        </is>
      </c>
      <c r="H1262">
        <f>INDEX(Limits!$B$2:$B$5,MATCH(E1262,Limits!$A$2:$A$5,0))</f>
        <v/>
      </c>
      <c r="I1262">
        <f>INDEX(Limits!$C$2:$C$5,MATCH(E1262,Limits!$A$2:$A$5,0))</f>
        <v/>
      </c>
      <c r="J1262">
        <f>IF(F1262&gt;=I1262,"Action",IF(F1262&gt;=H1262,"Alert","Pass"))</f>
        <v/>
      </c>
      <c r="K1262" s="4">
        <f>DATE(YEAR(B1262),MONTH(B1262),1)</f>
        <v/>
      </c>
    </row>
    <row r="1263">
      <c r="A1263" t="inlineStr">
        <is>
          <t>EM001262</t>
        </is>
      </c>
      <c r="B1263" s="7" t="n">
        <v>46119</v>
      </c>
      <c r="C1263" t="inlineStr">
        <is>
          <t>CR-102</t>
        </is>
      </c>
      <c r="D1263" t="inlineStr">
        <is>
          <t>ISO 7</t>
        </is>
      </c>
      <c r="E1263" t="inlineStr">
        <is>
          <t>Personnel glove</t>
        </is>
      </c>
      <c r="F1263" t="n">
        <v>0</v>
      </c>
      <c r="G1263" t="inlineStr">
        <is>
          <t>Tech B</t>
        </is>
      </c>
      <c r="H1263">
        <f>INDEX(Limits!$B$2:$B$5,MATCH(E1263,Limits!$A$2:$A$5,0))</f>
        <v/>
      </c>
      <c r="I1263">
        <f>INDEX(Limits!$C$2:$C$5,MATCH(E1263,Limits!$A$2:$A$5,0))</f>
        <v/>
      </c>
      <c r="J1263">
        <f>IF(F1263&gt;=I1263,"Action",IF(F1263&gt;=H1263,"Alert","Pass"))</f>
        <v/>
      </c>
      <c r="K1263" s="4">
        <f>DATE(YEAR(B1263),MONTH(B1263),1)</f>
        <v/>
      </c>
    </row>
    <row r="1264">
      <c r="A1264" t="inlineStr">
        <is>
          <t>EM001263</t>
        </is>
      </c>
      <c r="B1264" s="7" t="n">
        <v>46119</v>
      </c>
      <c r="C1264" t="inlineStr">
        <is>
          <t>CR-201</t>
        </is>
      </c>
      <c r="D1264" t="inlineStr">
        <is>
          <t>ISO 8</t>
        </is>
      </c>
      <c r="E1264" t="inlineStr">
        <is>
          <t>Active air</t>
        </is>
      </c>
      <c r="F1264" t="n">
        <v>1</v>
      </c>
      <c r="G1264" t="inlineStr">
        <is>
          <t>Tech B</t>
        </is>
      </c>
      <c r="H1264">
        <f>INDEX(Limits!$B$2:$B$5,MATCH(E1264,Limits!$A$2:$A$5,0))</f>
        <v/>
      </c>
      <c r="I1264">
        <f>INDEX(Limits!$C$2:$C$5,MATCH(E1264,Limits!$A$2:$A$5,0))</f>
        <v/>
      </c>
      <c r="J1264">
        <f>IF(F1264&gt;=I1264,"Action",IF(F1264&gt;=H1264,"Alert","Pass"))</f>
        <v/>
      </c>
      <c r="K1264" s="4">
        <f>DATE(YEAR(B1264),MONTH(B1264),1)</f>
        <v/>
      </c>
    </row>
    <row r="1265">
      <c r="A1265" t="inlineStr">
        <is>
          <t>EM001264</t>
        </is>
      </c>
      <c r="B1265" s="7" t="n">
        <v>46119</v>
      </c>
      <c r="C1265" t="inlineStr">
        <is>
          <t>CR-201</t>
        </is>
      </c>
      <c r="D1265" t="inlineStr">
        <is>
          <t>ISO 8</t>
        </is>
      </c>
      <c r="E1265" t="inlineStr">
        <is>
          <t>Surface contact</t>
        </is>
      </c>
      <c r="F1265" t="n">
        <v>1</v>
      </c>
      <c r="G1265" t="inlineStr">
        <is>
          <t>Tech C</t>
        </is>
      </c>
      <c r="H1265">
        <f>INDEX(Limits!$B$2:$B$5,MATCH(E1265,Limits!$A$2:$A$5,0))</f>
        <v/>
      </c>
      <c r="I1265">
        <f>INDEX(Limits!$C$2:$C$5,MATCH(E1265,Limits!$A$2:$A$5,0))</f>
        <v/>
      </c>
      <c r="J1265">
        <f>IF(F1265&gt;=I1265,"Action",IF(F1265&gt;=H1265,"Alert","Pass"))</f>
        <v/>
      </c>
      <c r="K1265" s="4">
        <f>DATE(YEAR(B1265),MONTH(B1265),1)</f>
        <v/>
      </c>
    </row>
    <row r="1266">
      <c r="A1266" t="inlineStr">
        <is>
          <t>EM001265</t>
        </is>
      </c>
      <c r="B1266" s="7" t="n">
        <v>46119</v>
      </c>
      <c r="C1266" t="inlineStr">
        <is>
          <t>CR-201</t>
        </is>
      </c>
      <c r="D1266" t="inlineStr">
        <is>
          <t>ISO 8</t>
        </is>
      </c>
      <c r="E1266" t="inlineStr">
        <is>
          <t>Compressed air</t>
        </is>
      </c>
      <c r="F1266" t="n">
        <v>0</v>
      </c>
      <c r="G1266" t="inlineStr">
        <is>
          <t>Tech A</t>
        </is>
      </c>
      <c r="H1266">
        <f>INDEX(Limits!$B$2:$B$5,MATCH(E1266,Limits!$A$2:$A$5,0))</f>
        <v/>
      </c>
      <c r="I1266">
        <f>INDEX(Limits!$C$2:$C$5,MATCH(E1266,Limits!$A$2:$A$5,0))</f>
        <v/>
      </c>
      <c r="J1266">
        <f>IF(F1266&gt;=I1266,"Action",IF(F1266&gt;=H1266,"Alert","Pass"))</f>
        <v/>
      </c>
      <c r="K1266" s="4">
        <f>DATE(YEAR(B1266),MONTH(B1266),1)</f>
        <v/>
      </c>
    </row>
    <row r="1267">
      <c r="A1267" t="inlineStr">
        <is>
          <t>EM001266</t>
        </is>
      </c>
      <c r="B1267" s="7" t="n">
        <v>46119</v>
      </c>
      <c r="C1267" t="inlineStr">
        <is>
          <t>CR-201</t>
        </is>
      </c>
      <c r="D1267" t="inlineStr">
        <is>
          <t>ISO 8</t>
        </is>
      </c>
      <c r="E1267" t="inlineStr">
        <is>
          <t>Personnel glove</t>
        </is>
      </c>
      <c r="F1267" t="n">
        <v>0</v>
      </c>
      <c r="G1267" t="inlineStr">
        <is>
          <t>Tech C</t>
        </is>
      </c>
      <c r="H1267">
        <f>INDEX(Limits!$B$2:$B$5,MATCH(E1267,Limits!$A$2:$A$5,0))</f>
        <v/>
      </c>
      <c r="I1267">
        <f>INDEX(Limits!$C$2:$C$5,MATCH(E1267,Limits!$A$2:$A$5,0))</f>
        <v/>
      </c>
      <c r="J1267">
        <f>IF(F1267&gt;=I1267,"Action",IF(F1267&gt;=H1267,"Alert","Pass"))</f>
        <v/>
      </c>
      <c r="K1267" s="4">
        <f>DATE(YEAR(B1267),MONTH(B1267),1)</f>
        <v/>
      </c>
    </row>
    <row r="1268">
      <c r="A1268" t="inlineStr">
        <is>
          <t>EM001267</t>
        </is>
      </c>
      <c r="B1268" s="7" t="n">
        <v>46119</v>
      </c>
      <c r="C1268" t="inlineStr">
        <is>
          <t>CR-202</t>
        </is>
      </c>
      <c r="D1268" t="inlineStr">
        <is>
          <t>ISO 8</t>
        </is>
      </c>
      <c r="E1268" t="inlineStr">
        <is>
          <t>Active air</t>
        </is>
      </c>
      <c r="F1268" t="n">
        <v>2</v>
      </c>
      <c r="G1268" t="inlineStr">
        <is>
          <t>Tech D</t>
        </is>
      </c>
      <c r="H1268">
        <f>INDEX(Limits!$B$2:$B$5,MATCH(E1268,Limits!$A$2:$A$5,0))</f>
        <v/>
      </c>
      <c r="I1268">
        <f>INDEX(Limits!$C$2:$C$5,MATCH(E1268,Limits!$A$2:$A$5,0))</f>
        <v/>
      </c>
      <c r="J1268">
        <f>IF(F1268&gt;=I1268,"Action",IF(F1268&gt;=H1268,"Alert","Pass"))</f>
        <v/>
      </c>
      <c r="K1268" s="4">
        <f>DATE(YEAR(B1268),MONTH(B1268),1)</f>
        <v/>
      </c>
    </row>
    <row r="1269">
      <c r="A1269" t="inlineStr">
        <is>
          <t>EM001268</t>
        </is>
      </c>
      <c r="B1269" s="7" t="n">
        <v>46119</v>
      </c>
      <c r="C1269" t="inlineStr">
        <is>
          <t>CR-202</t>
        </is>
      </c>
      <c r="D1269" t="inlineStr">
        <is>
          <t>ISO 8</t>
        </is>
      </c>
      <c r="E1269" t="inlineStr">
        <is>
          <t>Surface contact</t>
        </is>
      </c>
      <c r="F1269" t="n">
        <v>1</v>
      </c>
      <c r="G1269" t="inlineStr">
        <is>
          <t>Tech A</t>
        </is>
      </c>
      <c r="H1269">
        <f>INDEX(Limits!$B$2:$B$5,MATCH(E1269,Limits!$A$2:$A$5,0))</f>
        <v/>
      </c>
      <c r="I1269">
        <f>INDEX(Limits!$C$2:$C$5,MATCH(E1269,Limits!$A$2:$A$5,0))</f>
        <v/>
      </c>
      <c r="J1269">
        <f>IF(F1269&gt;=I1269,"Action",IF(F1269&gt;=H1269,"Alert","Pass"))</f>
        <v/>
      </c>
      <c r="K1269" s="4">
        <f>DATE(YEAR(B1269),MONTH(B1269),1)</f>
        <v/>
      </c>
    </row>
    <row r="1270">
      <c r="A1270" t="inlineStr">
        <is>
          <t>EM001269</t>
        </is>
      </c>
      <c r="B1270" s="7" t="n">
        <v>46119</v>
      </c>
      <c r="C1270" t="inlineStr">
        <is>
          <t>CR-202</t>
        </is>
      </c>
      <c r="D1270" t="inlineStr">
        <is>
          <t>ISO 8</t>
        </is>
      </c>
      <c r="E1270" t="inlineStr">
        <is>
          <t>Compressed air</t>
        </is>
      </c>
      <c r="F1270" t="n">
        <v>0</v>
      </c>
      <c r="G1270" t="inlineStr">
        <is>
          <t>Tech B</t>
        </is>
      </c>
      <c r="H1270">
        <f>INDEX(Limits!$B$2:$B$5,MATCH(E1270,Limits!$A$2:$A$5,0))</f>
        <v/>
      </c>
      <c r="I1270">
        <f>INDEX(Limits!$C$2:$C$5,MATCH(E1270,Limits!$A$2:$A$5,0))</f>
        <v/>
      </c>
      <c r="J1270">
        <f>IF(F1270&gt;=I1270,"Action",IF(F1270&gt;=H1270,"Alert","Pass"))</f>
        <v/>
      </c>
      <c r="K1270" s="4">
        <f>DATE(YEAR(B1270),MONTH(B1270),1)</f>
        <v/>
      </c>
    </row>
    <row r="1271">
      <c r="A1271" t="inlineStr">
        <is>
          <t>EM001270</t>
        </is>
      </c>
      <c r="B1271" s="7" t="n">
        <v>46119</v>
      </c>
      <c r="C1271" t="inlineStr">
        <is>
          <t>CR-202</t>
        </is>
      </c>
      <c r="D1271" t="inlineStr">
        <is>
          <t>ISO 8</t>
        </is>
      </c>
      <c r="E1271" t="inlineStr">
        <is>
          <t>Personnel glove</t>
        </is>
      </c>
      <c r="F1271" t="n">
        <v>0</v>
      </c>
      <c r="G1271" t="inlineStr">
        <is>
          <t>Tech B</t>
        </is>
      </c>
      <c r="H1271">
        <f>INDEX(Limits!$B$2:$B$5,MATCH(E1271,Limits!$A$2:$A$5,0))</f>
        <v/>
      </c>
      <c r="I1271">
        <f>INDEX(Limits!$C$2:$C$5,MATCH(E1271,Limits!$A$2:$A$5,0))</f>
        <v/>
      </c>
      <c r="J1271">
        <f>IF(F1271&gt;=I1271,"Action",IF(F1271&gt;=H1271,"Alert","Pass"))</f>
        <v/>
      </c>
      <c r="K1271" s="4">
        <f>DATE(YEAR(B1271),MONTH(B1271),1)</f>
        <v/>
      </c>
    </row>
    <row r="1272">
      <c r="A1272" t="inlineStr">
        <is>
          <t>EM001271</t>
        </is>
      </c>
      <c r="B1272" s="7" t="n">
        <v>46119</v>
      </c>
      <c r="C1272" t="inlineStr">
        <is>
          <t>Gowning</t>
        </is>
      </c>
      <c r="D1272" t="inlineStr">
        <is>
          <t>ISO 8</t>
        </is>
      </c>
      <c r="E1272" t="inlineStr">
        <is>
          <t>Active air</t>
        </is>
      </c>
      <c r="F1272" t="n">
        <v>1</v>
      </c>
      <c r="G1272" t="inlineStr">
        <is>
          <t>Tech B</t>
        </is>
      </c>
      <c r="H1272">
        <f>INDEX(Limits!$B$2:$B$5,MATCH(E1272,Limits!$A$2:$A$5,0))</f>
        <v/>
      </c>
      <c r="I1272">
        <f>INDEX(Limits!$C$2:$C$5,MATCH(E1272,Limits!$A$2:$A$5,0))</f>
        <v/>
      </c>
      <c r="J1272">
        <f>IF(F1272&gt;=I1272,"Action",IF(F1272&gt;=H1272,"Alert","Pass"))</f>
        <v/>
      </c>
      <c r="K1272" s="4">
        <f>DATE(YEAR(B1272),MONTH(B1272),1)</f>
        <v/>
      </c>
    </row>
    <row r="1273">
      <c r="A1273" t="inlineStr">
        <is>
          <t>EM001272</t>
        </is>
      </c>
      <c r="B1273" s="7" t="n">
        <v>46119</v>
      </c>
      <c r="C1273" t="inlineStr">
        <is>
          <t>Gowning</t>
        </is>
      </c>
      <c r="D1273" t="inlineStr">
        <is>
          <t>ISO 8</t>
        </is>
      </c>
      <c r="E1273" t="inlineStr">
        <is>
          <t>Surface contact</t>
        </is>
      </c>
      <c r="F1273" t="n">
        <v>2</v>
      </c>
      <c r="G1273" t="inlineStr">
        <is>
          <t>Tech C</t>
        </is>
      </c>
      <c r="H1273">
        <f>INDEX(Limits!$B$2:$B$5,MATCH(E1273,Limits!$A$2:$A$5,0))</f>
        <v/>
      </c>
      <c r="I1273">
        <f>INDEX(Limits!$C$2:$C$5,MATCH(E1273,Limits!$A$2:$A$5,0))</f>
        <v/>
      </c>
      <c r="J1273">
        <f>IF(F1273&gt;=I1273,"Action",IF(F1273&gt;=H1273,"Alert","Pass"))</f>
        <v/>
      </c>
      <c r="K1273" s="4">
        <f>DATE(YEAR(B1273),MONTH(B1273),1)</f>
        <v/>
      </c>
    </row>
    <row r="1274">
      <c r="A1274" t="inlineStr">
        <is>
          <t>EM001273</t>
        </is>
      </c>
      <c r="B1274" s="7" t="n">
        <v>46119</v>
      </c>
      <c r="C1274" t="inlineStr">
        <is>
          <t>Gowning</t>
        </is>
      </c>
      <c r="D1274" t="inlineStr">
        <is>
          <t>ISO 8</t>
        </is>
      </c>
      <c r="E1274" t="inlineStr">
        <is>
          <t>Personnel glove</t>
        </is>
      </c>
      <c r="F1274" t="n">
        <v>0</v>
      </c>
      <c r="G1274" t="inlineStr">
        <is>
          <t>Tech A</t>
        </is>
      </c>
      <c r="H1274">
        <f>INDEX(Limits!$B$2:$B$5,MATCH(E1274,Limits!$A$2:$A$5,0))</f>
        <v/>
      </c>
      <c r="I1274">
        <f>INDEX(Limits!$C$2:$C$5,MATCH(E1274,Limits!$A$2:$A$5,0))</f>
        <v/>
      </c>
      <c r="J1274">
        <f>IF(F1274&gt;=I1274,"Action",IF(F1274&gt;=H1274,"Alert","Pass"))</f>
        <v/>
      </c>
      <c r="K1274" s="4">
        <f>DATE(YEAR(B1274),MONTH(B1274),1)</f>
        <v/>
      </c>
    </row>
    <row r="1275">
      <c r="A1275" t="inlineStr">
        <is>
          <t>EM001274</t>
        </is>
      </c>
      <c r="B1275" s="7" t="n">
        <v>46120</v>
      </c>
      <c r="C1275" t="inlineStr">
        <is>
          <t>CR-101</t>
        </is>
      </c>
      <c r="D1275" t="inlineStr">
        <is>
          <t>ISO 7</t>
        </is>
      </c>
      <c r="E1275" t="inlineStr">
        <is>
          <t>Active air</t>
        </is>
      </c>
      <c r="F1275" t="n">
        <v>2</v>
      </c>
      <c r="G1275" t="inlineStr">
        <is>
          <t>Tech D</t>
        </is>
      </c>
      <c r="H1275">
        <f>INDEX(Limits!$B$2:$B$5,MATCH(E1275,Limits!$A$2:$A$5,0))</f>
        <v/>
      </c>
      <c r="I1275">
        <f>INDEX(Limits!$C$2:$C$5,MATCH(E1275,Limits!$A$2:$A$5,0))</f>
        <v/>
      </c>
      <c r="J1275">
        <f>IF(F1275&gt;=I1275,"Action",IF(F1275&gt;=H1275,"Alert","Pass"))</f>
        <v/>
      </c>
      <c r="K1275" s="4">
        <f>DATE(YEAR(B1275),MONTH(B1275),1)</f>
        <v/>
      </c>
    </row>
    <row r="1276">
      <c r="A1276" t="inlineStr">
        <is>
          <t>EM001275</t>
        </is>
      </c>
      <c r="B1276" s="7" t="n">
        <v>46120</v>
      </c>
      <c r="C1276" t="inlineStr">
        <is>
          <t>CR-101</t>
        </is>
      </c>
      <c r="D1276" t="inlineStr">
        <is>
          <t>ISO 7</t>
        </is>
      </c>
      <c r="E1276" t="inlineStr">
        <is>
          <t>Surface contact</t>
        </is>
      </c>
      <c r="F1276" t="n">
        <v>0</v>
      </c>
      <c r="G1276" t="inlineStr">
        <is>
          <t>Tech A</t>
        </is>
      </c>
      <c r="H1276">
        <f>INDEX(Limits!$B$2:$B$5,MATCH(E1276,Limits!$A$2:$A$5,0))</f>
        <v/>
      </c>
      <c r="I1276">
        <f>INDEX(Limits!$C$2:$C$5,MATCH(E1276,Limits!$A$2:$A$5,0))</f>
        <v/>
      </c>
      <c r="J1276">
        <f>IF(F1276&gt;=I1276,"Action",IF(F1276&gt;=H1276,"Alert","Pass"))</f>
        <v/>
      </c>
      <c r="K1276" s="4">
        <f>DATE(YEAR(B1276),MONTH(B1276),1)</f>
        <v/>
      </c>
    </row>
    <row r="1277">
      <c r="A1277" t="inlineStr">
        <is>
          <t>EM001276</t>
        </is>
      </c>
      <c r="B1277" s="7" t="n">
        <v>46120</v>
      </c>
      <c r="C1277" t="inlineStr">
        <is>
          <t>CR-101</t>
        </is>
      </c>
      <c r="D1277" t="inlineStr">
        <is>
          <t>ISO 7</t>
        </is>
      </c>
      <c r="E1277" t="inlineStr">
        <is>
          <t>Compressed air</t>
        </is>
      </c>
      <c r="F1277" t="n">
        <v>0</v>
      </c>
      <c r="G1277" t="inlineStr">
        <is>
          <t>Tech B</t>
        </is>
      </c>
      <c r="H1277">
        <f>INDEX(Limits!$B$2:$B$5,MATCH(E1277,Limits!$A$2:$A$5,0))</f>
        <v/>
      </c>
      <c r="I1277">
        <f>INDEX(Limits!$C$2:$C$5,MATCH(E1277,Limits!$A$2:$A$5,0))</f>
        <v/>
      </c>
      <c r="J1277">
        <f>IF(F1277&gt;=I1277,"Action",IF(F1277&gt;=H1277,"Alert","Pass"))</f>
        <v/>
      </c>
      <c r="K1277" s="4">
        <f>DATE(YEAR(B1277),MONTH(B1277),1)</f>
        <v/>
      </c>
    </row>
    <row r="1278">
      <c r="A1278" t="inlineStr">
        <is>
          <t>EM001277</t>
        </is>
      </c>
      <c r="B1278" s="7" t="n">
        <v>46120</v>
      </c>
      <c r="C1278" t="inlineStr">
        <is>
          <t>CR-101</t>
        </is>
      </c>
      <c r="D1278" t="inlineStr">
        <is>
          <t>ISO 7</t>
        </is>
      </c>
      <c r="E1278" t="inlineStr">
        <is>
          <t>Personnel glove</t>
        </is>
      </c>
      <c r="F1278" t="n">
        <v>0</v>
      </c>
      <c r="G1278" t="inlineStr">
        <is>
          <t>Tech C</t>
        </is>
      </c>
      <c r="H1278">
        <f>INDEX(Limits!$B$2:$B$5,MATCH(E1278,Limits!$A$2:$A$5,0))</f>
        <v/>
      </c>
      <c r="I1278">
        <f>INDEX(Limits!$C$2:$C$5,MATCH(E1278,Limits!$A$2:$A$5,0))</f>
        <v/>
      </c>
      <c r="J1278">
        <f>IF(F1278&gt;=I1278,"Action",IF(F1278&gt;=H1278,"Alert","Pass"))</f>
        <v/>
      </c>
      <c r="K1278" s="4">
        <f>DATE(YEAR(B1278),MONTH(B1278),1)</f>
        <v/>
      </c>
    </row>
    <row r="1279">
      <c r="A1279" t="inlineStr">
        <is>
          <t>EM001278</t>
        </is>
      </c>
      <c r="B1279" s="7" t="n">
        <v>46120</v>
      </c>
      <c r="C1279" t="inlineStr">
        <is>
          <t>CR-102</t>
        </is>
      </c>
      <c r="D1279" t="inlineStr">
        <is>
          <t>ISO 7</t>
        </is>
      </c>
      <c r="E1279" t="inlineStr">
        <is>
          <t>Active air</t>
        </is>
      </c>
      <c r="F1279" t="n">
        <v>1</v>
      </c>
      <c r="G1279" t="inlineStr">
        <is>
          <t>Tech C</t>
        </is>
      </c>
      <c r="H1279">
        <f>INDEX(Limits!$B$2:$B$5,MATCH(E1279,Limits!$A$2:$A$5,0))</f>
        <v/>
      </c>
      <c r="I1279">
        <f>INDEX(Limits!$C$2:$C$5,MATCH(E1279,Limits!$A$2:$A$5,0))</f>
        <v/>
      </c>
      <c r="J1279">
        <f>IF(F1279&gt;=I1279,"Action",IF(F1279&gt;=H1279,"Alert","Pass"))</f>
        <v/>
      </c>
      <c r="K1279" s="4">
        <f>DATE(YEAR(B1279),MONTH(B1279),1)</f>
        <v/>
      </c>
    </row>
    <row r="1280">
      <c r="A1280" t="inlineStr">
        <is>
          <t>EM001279</t>
        </is>
      </c>
      <c r="B1280" s="7" t="n">
        <v>46120</v>
      </c>
      <c r="C1280" t="inlineStr">
        <is>
          <t>CR-102</t>
        </is>
      </c>
      <c r="D1280" t="inlineStr">
        <is>
          <t>ISO 7</t>
        </is>
      </c>
      <c r="E1280" t="inlineStr">
        <is>
          <t>Surface contact</t>
        </is>
      </c>
      <c r="F1280" t="n">
        <v>0</v>
      </c>
      <c r="G1280" t="inlineStr">
        <is>
          <t>Tech D</t>
        </is>
      </c>
      <c r="H1280">
        <f>INDEX(Limits!$B$2:$B$5,MATCH(E1280,Limits!$A$2:$A$5,0))</f>
        <v/>
      </c>
      <c r="I1280">
        <f>INDEX(Limits!$C$2:$C$5,MATCH(E1280,Limits!$A$2:$A$5,0))</f>
        <v/>
      </c>
      <c r="J1280">
        <f>IF(F1280&gt;=I1280,"Action",IF(F1280&gt;=H1280,"Alert","Pass"))</f>
        <v/>
      </c>
      <c r="K1280" s="4">
        <f>DATE(YEAR(B1280),MONTH(B1280),1)</f>
        <v/>
      </c>
    </row>
    <row r="1281">
      <c r="A1281" t="inlineStr">
        <is>
          <t>EM001280</t>
        </is>
      </c>
      <c r="B1281" s="7" t="n">
        <v>46120</v>
      </c>
      <c r="C1281" t="inlineStr">
        <is>
          <t>CR-102</t>
        </is>
      </c>
      <c r="D1281" t="inlineStr">
        <is>
          <t>ISO 7</t>
        </is>
      </c>
      <c r="E1281" t="inlineStr">
        <is>
          <t>Compressed air</t>
        </is>
      </c>
      <c r="F1281" t="n">
        <v>0</v>
      </c>
      <c r="G1281" t="inlineStr">
        <is>
          <t>Tech B</t>
        </is>
      </c>
      <c r="H1281">
        <f>INDEX(Limits!$B$2:$B$5,MATCH(E1281,Limits!$A$2:$A$5,0))</f>
        <v/>
      </c>
      <c r="I1281">
        <f>INDEX(Limits!$C$2:$C$5,MATCH(E1281,Limits!$A$2:$A$5,0))</f>
        <v/>
      </c>
      <c r="J1281">
        <f>IF(F1281&gt;=I1281,"Action",IF(F1281&gt;=H1281,"Alert","Pass"))</f>
        <v/>
      </c>
      <c r="K1281" s="4">
        <f>DATE(YEAR(B1281),MONTH(B1281),1)</f>
        <v/>
      </c>
    </row>
    <row r="1282">
      <c r="A1282" t="inlineStr">
        <is>
          <t>EM001281</t>
        </is>
      </c>
      <c r="B1282" s="7" t="n">
        <v>46120</v>
      </c>
      <c r="C1282" t="inlineStr">
        <is>
          <t>CR-102</t>
        </is>
      </c>
      <c r="D1282" t="inlineStr">
        <is>
          <t>ISO 7</t>
        </is>
      </c>
      <c r="E1282" t="inlineStr">
        <is>
          <t>Personnel glove</t>
        </is>
      </c>
      <c r="F1282" t="n">
        <v>0</v>
      </c>
      <c r="G1282" t="inlineStr">
        <is>
          <t>Tech B</t>
        </is>
      </c>
      <c r="H1282">
        <f>INDEX(Limits!$B$2:$B$5,MATCH(E1282,Limits!$A$2:$A$5,0))</f>
        <v/>
      </c>
      <c r="I1282">
        <f>INDEX(Limits!$C$2:$C$5,MATCH(E1282,Limits!$A$2:$A$5,0))</f>
        <v/>
      </c>
      <c r="J1282">
        <f>IF(F1282&gt;=I1282,"Action",IF(F1282&gt;=H1282,"Alert","Pass"))</f>
        <v/>
      </c>
      <c r="K1282" s="4">
        <f>DATE(YEAR(B1282),MONTH(B1282),1)</f>
        <v/>
      </c>
    </row>
    <row r="1283">
      <c r="A1283" t="inlineStr">
        <is>
          <t>EM001282</t>
        </is>
      </c>
      <c r="B1283" s="7" t="n">
        <v>46120</v>
      </c>
      <c r="C1283" t="inlineStr">
        <is>
          <t>CR-201</t>
        </is>
      </c>
      <c r="D1283" t="inlineStr">
        <is>
          <t>ISO 8</t>
        </is>
      </c>
      <c r="E1283" t="inlineStr">
        <is>
          <t>Active air</t>
        </is>
      </c>
      <c r="F1283" t="n">
        <v>1</v>
      </c>
      <c r="G1283" t="inlineStr">
        <is>
          <t>Tech B</t>
        </is>
      </c>
      <c r="H1283">
        <f>INDEX(Limits!$B$2:$B$5,MATCH(E1283,Limits!$A$2:$A$5,0))</f>
        <v/>
      </c>
      <c r="I1283">
        <f>INDEX(Limits!$C$2:$C$5,MATCH(E1283,Limits!$A$2:$A$5,0))</f>
        <v/>
      </c>
      <c r="J1283">
        <f>IF(F1283&gt;=I1283,"Action",IF(F1283&gt;=H1283,"Alert","Pass"))</f>
        <v/>
      </c>
      <c r="K1283" s="4">
        <f>DATE(YEAR(B1283),MONTH(B1283),1)</f>
        <v/>
      </c>
    </row>
    <row r="1284">
      <c r="A1284" t="inlineStr">
        <is>
          <t>EM001283</t>
        </is>
      </c>
      <c r="B1284" s="7" t="n">
        <v>46120</v>
      </c>
      <c r="C1284" t="inlineStr">
        <is>
          <t>CR-201</t>
        </is>
      </c>
      <c r="D1284" t="inlineStr">
        <is>
          <t>ISO 8</t>
        </is>
      </c>
      <c r="E1284" t="inlineStr">
        <is>
          <t>Surface contact</t>
        </is>
      </c>
      <c r="F1284" t="n">
        <v>1</v>
      </c>
      <c r="G1284" t="inlineStr">
        <is>
          <t>Tech D</t>
        </is>
      </c>
      <c r="H1284">
        <f>INDEX(Limits!$B$2:$B$5,MATCH(E1284,Limits!$A$2:$A$5,0))</f>
        <v/>
      </c>
      <c r="I1284">
        <f>INDEX(Limits!$C$2:$C$5,MATCH(E1284,Limits!$A$2:$A$5,0))</f>
        <v/>
      </c>
      <c r="J1284">
        <f>IF(F1284&gt;=I1284,"Action",IF(F1284&gt;=H1284,"Alert","Pass"))</f>
        <v/>
      </c>
      <c r="K1284" s="4">
        <f>DATE(YEAR(B1284),MONTH(B1284),1)</f>
        <v/>
      </c>
    </row>
    <row r="1285">
      <c r="A1285" t="inlineStr">
        <is>
          <t>EM001284</t>
        </is>
      </c>
      <c r="B1285" s="7" t="n">
        <v>46120</v>
      </c>
      <c r="C1285" t="inlineStr">
        <is>
          <t>CR-201</t>
        </is>
      </c>
      <c r="D1285" t="inlineStr">
        <is>
          <t>ISO 8</t>
        </is>
      </c>
      <c r="E1285" t="inlineStr">
        <is>
          <t>Compressed air</t>
        </is>
      </c>
      <c r="F1285" t="n">
        <v>0</v>
      </c>
      <c r="G1285" t="inlineStr">
        <is>
          <t>Tech A</t>
        </is>
      </c>
      <c r="H1285">
        <f>INDEX(Limits!$B$2:$B$5,MATCH(E1285,Limits!$A$2:$A$5,0))</f>
        <v/>
      </c>
      <c r="I1285">
        <f>INDEX(Limits!$C$2:$C$5,MATCH(E1285,Limits!$A$2:$A$5,0))</f>
        <v/>
      </c>
      <c r="J1285">
        <f>IF(F1285&gt;=I1285,"Action",IF(F1285&gt;=H1285,"Alert","Pass"))</f>
        <v/>
      </c>
      <c r="K1285" s="4">
        <f>DATE(YEAR(B1285),MONTH(B1285),1)</f>
        <v/>
      </c>
    </row>
    <row r="1286">
      <c r="A1286" t="inlineStr">
        <is>
          <t>EM001285</t>
        </is>
      </c>
      <c r="B1286" s="7" t="n">
        <v>46120</v>
      </c>
      <c r="C1286" t="inlineStr">
        <is>
          <t>CR-201</t>
        </is>
      </c>
      <c r="D1286" t="inlineStr">
        <is>
          <t>ISO 8</t>
        </is>
      </c>
      <c r="E1286" t="inlineStr">
        <is>
          <t>Personnel glove</t>
        </is>
      </c>
      <c r="F1286" t="n">
        <v>0</v>
      </c>
      <c r="G1286" t="inlineStr">
        <is>
          <t>Tech D</t>
        </is>
      </c>
      <c r="H1286">
        <f>INDEX(Limits!$B$2:$B$5,MATCH(E1286,Limits!$A$2:$A$5,0))</f>
        <v/>
      </c>
      <c r="I1286">
        <f>INDEX(Limits!$C$2:$C$5,MATCH(E1286,Limits!$A$2:$A$5,0))</f>
        <v/>
      </c>
      <c r="J1286">
        <f>IF(F1286&gt;=I1286,"Action",IF(F1286&gt;=H1286,"Alert","Pass"))</f>
        <v/>
      </c>
      <c r="K1286" s="4">
        <f>DATE(YEAR(B1286),MONTH(B1286),1)</f>
        <v/>
      </c>
    </row>
    <row r="1287">
      <c r="A1287" t="inlineStr">
        <is>
          <t>EM001286</t>
        </is>
      </c>
      <c r="B1287" s="7" t="n">
        <v>46120</v>
      </c>
      <c r="C1287" t="inlineStr">
        <is>
          <t>CR-202</t>
        </is>
      </c>
      <c r="D1287" t="inlineStr">
        <is>
          <t>ISO 8</t>
        </is>
      </c>
      <c r="E1287" t="inlineStr">
        <is>
          <t>Active air</t>
        </is>
      </c>
      <c r="F1287" t="n">
        <v>1</v>
      </c>
      <c r="G1287" t="inlineStr">
        <is>
          <t>Tech D</t>
        </is>
      </c>
      <c r="H1287">
        <f>INDEX(Limits!$B$2:$B$5,MATCH(E1287,Limits!$A$2:$A$5,0))</f>
        <v/>
      </c>
      <c r="I1287">
        <f>INDEX(Limits!$C$2:$C$5,MATCH(E1287,Limits!$A$2:$A$5,0))</f>
        <v/>
      </c>
      <c r="J1287">
        <f>IF(F1287&gt;=I1287,"Action",IF(F1287&gt;=H1287,"Alert","Pass"))</f>
        <v/>
      </c>
      <c r="K1287" s="4">
        <f>DATE(YEAR(B1287),MONTH(B1287),1)</f>
        <v/>
      </c>
    </row>
    <row r="1288">
      <c r="A1288" t="inlineStr">
        <is>
          <t>EM001287</t>
        </is>
      </c>
      <c r="B1288" s="7" t="n">
        <v>46120</v>
      </c>
      <c r="C1288" t="inlineStr">
        <is>
          <t>CR-202</t>
        </is>
      </c>
      <c r="D1288" t="inlineStr">
        <is>
          <t>ISO 8</t>
        </is>
      </c>
      <c r="E1288" t="inlineStr">
        <is>
          <t>Surface contact</t>
        </is>
      </c>
      <c r="F1288" t="n">
        <v>0</v>
      </c>
      <c r="G1288" t="inlineStr">
        <is>
          <t>Tech A</t>
        </is>
      </c>
      <c r="H1288">
        <f>INDEX(Limits!$B$2:$B$5,MATCH(E1288,Limits!$A$2:$A$5,0))</f>
        <v/>
      </c>
      <c r="I1288">
        <f>INDEX(Limits!$C$2:$C$5,MATCH(E1288,Limits!$A$2:$A$5,0))</f>
        <v/>
      </c>
      <c r="J1288">
        <f>IF(F1288&gt;=I1288,"Action",IF(F1288&gt;=H1288,"Alert","Pass"))</f>
        <v/>
      </c>
      <c r="K1288" s="4">
        <f>DATE(YEAR(B1288),MONTH(B1288),1)</f>
        <v/>
      </c>
    </row>
    <row r="1289">
      <c r="A1289" t="inlineStr">
        <is>
          <t>EM001288</t>
        </is>
      </c>
      <c r="B1289" s="7" t="n">
        <v>46120</v>
      </c>
      <c r="C1289" t="inlineStr">
        <is>
          <t>CR-202</t>
        </is>
      </c>
      <c r="D1289" t="inlineStr">
        <is>
          <t>ISO 8</t>
        </is>
      </c>
      <c r="E1289" t="inlineStr">
        <is>
          <t>Compressed air</t>
        </is>
      </c>
      <c r="F1289" t="n">
        <v>0</v>
      </c>
      <c r="G1289" t="inlineStr">
        <is>
          <t>Tech B</t>
        </is>
      </c>
      <c r="H1289">
        <f>INDEX(Limits!$B$2:$B$5,MATCH(E1289,Limits!$A$2:$A$5,0))</f>
        <v/>
      </c>
      <c r="I1289">
        <f>INDEX(Limits!$C$2:$C$5,MATCH(E1289,Limits!$A$2:$A$5,0))</f>
        <v/>
      </c>
      <c r="J1289">
        <f>IF(F1289&gt;=I1289,"Action",IF(F1289&gt;=H1289,"Alert","Pass"))</f>
        <v/>
      </c>
      <c r="K1289" s="4">
        <f>DATE(YEAR(B1289),MONTH(B1289),1)</f>
        <v/>
      </c>
    </row>
    <row r="1290">
      <c r="A1290" t="inlineStr">
        <is>
          <t>EM001289</t>
        </is>
      </c>
      <c r="B1290" s="7" t="n">
        <v>46120</v>
      </c>
      <c r="C1290" t="inlineStr">
        <is>
          <t>CR-202</t>
        </is>
      </c>
      <c r="D1290" t="inlineStr">
        <is>
          <t>ISO 8</t>
        </is>
      </c>
      <c r="E1290" t="inlineStr">
        <is>
          <t>Personnel glove</t>
        </is>
      </c>
      <c r="F1290" t="n">
        <v>0</v>
      </c>
      <c r="G1290" t="inlineStr">
        <is>
          <t>Tech B</t>
        </is>
      </c>
      <c r="H1290">
        <f>INDEX(Limits!$B$2:$B$5,MATCH(E1290,Limits!$A$2:$A$5,0))</f>
        <v/>
      </c>
      <c r="I1290">
        <f>INDEX(Limits!$C$2:$C$5,MATCH(E1290,Limits!$A$2:$A$5,0))</f>
        <v/>
      </c>
      <c r="J1290">
        <f>IF(F1290&gt;=I1290,"Action",IF(F1290&gt;=H1290,"Alert","Pass"))</f>
        <v/>
      </c>
      <c r="K1290" s="4">
        <f>DATE(YEAR(B1290),MONTH(B1290),1)</f>
        <v/>
      </c>
    </row>
    <row r="1291">
      <c r="A1291" t="inlineStr">
        <is>
          <t>EM001290</t>
        </is>
      </c>
      <c r="B1291" s="7" t="n">
        <v>46120</v>
      </c>
      <c r="C1291" t="inlineStr">
        <is>
          <t>Gowning</t>
        </is>
      </c>
      <c r="D1291" t="inlineStr">
        <is>
          <t>ISO 8</t>
        </is>
      </c>
      <c r="E1291" t="inlineStr">
        <is>
          <t>Active air</t>
        </is>
      </c>
      <c r="F1291" t="n">
        <v>1</v>
      </c>
      <c r="G1291" t="inlineStr">
        <is>
          <t>Tech C</t>
        </is>
      </c>
      <c r="H1291">
        <f>INDEX(Limits!$B$2:$B$5,MATCH(E1291,Limits!$A$2:$A$5,0))</f>
        <v/>
      </c>
      <c r="I1291">
        <f>INDEX(Limits!$C$2:$C$5,MATCH(E1291,Limits!$A$2:$A$5,0))</f>
        <v/>
      </c>
      <c r="J1291">
        <f>IF(F1291&gt;=I1291,"Action",IF(F1291&gt;=H1291,"Alert","Pass"))</f>
        <v/>
      </c>
      <c r="K1291" s="4">
        <f>DATE(YEAR(B1291),MONTH(B1291),1)</f>
        <v/>
      </c>
    </row>
    <row r="1292">
      <c r="A1292" t="inlineStr">
        <is>
          <t>EM001291</t>
        </is>
      </c>
      <c r="B1292" s="7" t="n">
        <v>46120</v>
      </c>
      <c r="C1292" t="inlineStr">
        <is>
          <t>Gowning</t>
        </is>
      </c>
      <c r="D1292" t="inlineStr">
        <is>
          <t>ISO 8</t>
        </is>
      </c>
      <c r="E1292" t="inlineStr">
        <is>
          <t>Surface contact</t>
        </is>
      </c>
      <c r="F1292" t="n">
        <v>0</v>
      </c>
      <c r="G1292" t="inlineStr">
        <is>
          <t>Tech C</t>
        </is>
      </c>
      <c r="H1292">
        <f>INDEX(Limits!$B$2:$B$5,MATCH(E1292,Limits!$A$2:$A$5,0))</f>
        <v/>
      </c>
      <c r="I1292">
        <f>INDEX(Limits!$C$2:$C$5,MATCH(E1292,Limits!$A$2:$A$5,0))</f>
        <v/>
      </c>
      <c r="J1292">
        <f>IF(F1292&gt;=I1292,"Action",IF(F1292&gt;=H1292,"Alert","Pass"))</f>
        <v/>
      </c>
      <c r="K1292" s="4">
        <f>DATE(YEAR(B1292),MONTH(B1292),1)</f>
        <v/>
      </c>
    </row>
    <row r="1293">
      <c r="A1293" t="inlineStr">
        <is>
          <t>EM001292</t>
        </is>
      </c>
      <c r="B1293" s="7" t="n">
        <v>46120</v>
      </c>
      <c r="C1293" t="inlineStr">
        <is>
          <t>Gowning</t>
        </is>
      </c>
      <c r="D1293" t="inlineStr">
        <is>
          <t>ISO 8</t>
        </is>
      </c>
      <c r="E1293" t="inlineStr">
        <is>
          <t>Personnel glove</t>
        </is>
      </c>
      <c r="F1293" t="n">
        <v>0</v>
      </c>
      <c r="G1293" t="inlineStr">
        <is>
          <t>Tech B</t>
        </is>
      </c>
      <c r="H1293">
        <f>INDEX(Limits!$B$2:$B$5,MATCH(E1293,Limits!$A$2:$A$5,0))</f>
        <v/>
      </c>
      <c r="I1293">
        <f>INDEX(Limits!$C$2:$C$5,MATCH(E1293,Limits!$A$2:$A$5,0))</f>
        <v/>
      </c>
      <c r="J1293">
        <f>IF(F1293&gt;=I1293,"Action",IF(F1293&gt;=H1293,"Alert","Pass"))</f>
        <v/>
      </c>
      <c r="K1293" s="4">
        <f>DATE(YEAR(B1293),MONTH(B1293),1)</f>
        <v/>
      </c>
    </row>
    <row r="1294">
      <c r="A1294" t="inlineStr">
        <is>
          <t>EM001293</t>
        </is>
      </c>
      <c r="B1294" s="7" t="n">
        <v>46121</v>
      </c>
      <c r="C1294" t="inlineStr">
        <is>
          <t>CR-101</t>
        </is>
      </c>
      <c r="D1294" t="inlineStr">
        <is>
          <t>ISO 7</t>
        </is>
      </c>
      <c r="E1294" t="inlineStr">
        <is>
          <t>Active air</t>
        </is>
      </c>
      <c r="F1294" t="n">
        <v>1</v>
      </c>
      <c r="G1294" t="inlineStr">
        <is>
          <t>Tech C</t>
        </is>
      </c>
      <c r="H1294">
        <f>INDEX(Limits!$B$2:$B$5,MATCH(E1294,Limits!$A$2:$A$5,0))</f>
        <v/>
      </c>
      <c r="I1294">
        <f>INDEX(Limits!$C$2:$C$5,MATCH(E1294,Limits!$A$2:$A$5,0))</f>
        <v/>
      </c>
      <c r="J1294">
        <f>IF(F1294&gt;=I1294,"Action",IF(F1294&gt;=H1294,"Alert","Pass"))</f>
        <v/>
      </c>
      <c r="K1294" s="4">
        <f>DATE(YEAR(B1294),MONTH(B1294),1)</f>
        <v/>
      </c>
    </row>
    <row r="1295">
      <c r="A1295" t="inlineStr">
        <is>
          <t>EM001294</t>
        </is>
      </c>
      <c r="B1295" s="7" t="n">
        <v>46121</v>
      </c>
      <c r="C1295" t="inlineStr">
        <is>
          <t>CR-101</t>
        </is>
      </c>
      <c r="D1295" t="inlineStr">
        <is>
          <t>ISO 7</t>
        </is>
      </c>
      <c r="E1295" t="inlineStr">
        <is>
          <t>Surface contact</t>
        </is>
      </c>
      <c r="F1295" t="n">
        <v>0</v>
      </c>
      <c r="G1295" t="inlineStr">
        <is>
          <t>Tech D</t>
        </is>
      </c>
      <c r="H1295">
        <f>INDEX(Limits!$B$2:$B$5,MATCH(E1295,Limits!$A$2:$A$5,0))</f>
        <v/>
      </c>
      <c r="I1295">
        <f>INDEX(Limits!$C$2:$C$5,MATCH(E1295,Limits!$A$2:$A$5,0))</f>
        <v/>
      </c>
      <c r="J1295">
        <f>IF(F1295&gt;=I1295,"Action",IF(F1295&gt;=H1295,"Alert","Pass"))</f>
        <v/>
      </c>
      <c r="K1295" s="4">
        <f>DATE(YEAR(B1295),MONTH(B1295),1)</f>
        <v/>
      </c>
    </row>
    <row r="1296">
      <c r="A1296" t="inlineStr">
        <is>
          <t>EM001295</t>
        </is>
      </c>
      <c r="B1296" s="7" t="n">
        <v>46121</v>
      </c>
      <c r="C1296" t="inlineStr">
        <is>
          <t>CR-101</t>
        </is>
      </c>
      <c r="D1296" t="inlineStr">
        <is>
          <t>ISO 7</t>
        </is>
      </c>
      <c r="E1296" t="inlineStr">
        <is>
          <t>Compressed air</t>
        </is>
      </c>
      <c r="F1296" t="n">
        <v>0</v>
      </c>
      <c r="G1296" t="inlineStr">
        <is>
          <t>Tech B</t>
        </is>
      </c>
      <c r="H1296">
        <f>INDEX(Limits!$B$2:$B$5,MATCH(E1296,Limits!$A$2:$A$5,0))</f>
        <v/>
      </c>
      <c r="I1296">
        <f>INDEX(Limits!$C$2:$C$5,MATCH(E1296,Limits!$A$2:$A$5,0))</f>
        <v/>
      </c>
      <c r="J1296">
        <f>IF(F1296&gt;=I1296,"Action",IF(F1296&gt;=H1296,"Alert","Pass"))</f>
        <v/>
      </c>
      <c r="K1296" s="4">
        <f>DATE(YEAR(B1296),MONTH(B1296),1)</f>
        <v/>
      </c>
    </row>
    <row r="1297">
      <c r="A1297" t="inlineStr">
        <is>
          <t>EM001296</t>
        </is>
      </c>
      <c r="B1297" s="7" t="n">
        <v>46121</v>
      </c>
      <c r="C1297" t="inlineStr">
        <is>
          <t>CR-101</t>
        </is>
      </c>
      <c r="D1297" t="inlineStr">
        <is>
          <t>ISO 7</t>
        </is>
      </c>
      <c r="E1297" t="inlineStr">
        <is>
          <t>Personnel glove</t>
        </is>
      </c>
      <c r="F1297" t="n">
        <v>0</v>
      </c>
      <c r="G1297" t="inlineStr">
        <is>
          <t>Tech B</t>
        </is>
      </c>
      <c r="H1297">
        <f>INDEX(Limits!$B$2:$B$5,MATCH(E1297,Limits!$A$2:$A$5,0))</f>
        <v/>
      </c>
      <c r="I1297">
        <f>INDEX(Limits!$C$2:$C$5,MATCH(E1297,Limits!$A$2:$A$5,0))</f>
        <v/>
      </c>
      <c r="J1297">
        <f>IF(F1297&gt;=I1297,"Action",IF(F1297&gt;=H1297,"Alert","Pass"))</f>
        <v/>
      </c>
      <c r="K1297" s="4">
        <f>DATE(YEAR(B1297),MONTH(B1297),1)</f>
        <v/>
      </c>
    </row>
    <row r="1298">
      <c r="A1298" t="inlineStr">
        <is>
          <t>EM001297</t>
        </is>
      </c>
      <c r="B1298" s="7" t="n">
        <v>46121</v>
      </c>
      <c r="C1298" t="inlineStr">
        <is>
          <t>CR-102</t>
        </is>
      </c>
      <c r="D1298" t="inlineStr">
        <is>
          <t>ISO 7</t>
        </is>
      </c>
      <c r="E1298" t="inlineStr">
        <is>
          <t>Active air</t>
        </is>
      </c>
      <c r="F1298" t="n">
        <v>3</v>
      </c>
      <c r="G1298" t="inlineStr">
        <is>
          <t>Tech D</t>
        </is>
      </c>
      <c r="H1298">
        <f>INDEX(Limits!$B$2:$B$5,MATCH(E1298,Limits!$A$2:$A$5,0))</f>
        <v/>
      </c>
      <c r="I1298">
        <f>INDEX(Limits!$C$2:$C$5,MATCH(E1298,Limits!$A$2:$A$5,0))</f>
        <v/>
      </c>
      <c r="J1298">
        <f>IF(F1298&gt;=I1298,"Action",IF(F1298&gt;=H1298,"Alert","Pass"))</f>
        <v/>
      </c>
      <c r="K1298" s="4">
        <f>DATE(YEAR(B1298),MONTH(B1298),1)</f>
        <v/>
      </c>
    </row>
    <row r="1299">
      <c r="A1299" t="inlineStr">
        <is>
          <t>EM001298</t>
        </is>
      </c>
      <c r="B1299" s="7" t="n">
        <v>46121</v>
      </c>
      <c r="C1299" t="inlineStr">
        <is>
          <t>CR-102</t>
        </is>
      </c>
      <c r="D1299" t="inlineStr">
        <is>
          <t>ISO 7</t>
        </is>
      </c>
      <c r="E1299" t="inlineStr">
        <is>
          <t>Surface contact</t>
        </is>
      </c>
      <c r="F1299" t="n">
        <v>1</v>
      </c>
      <c r="G1299" t="inlineStr">
        <is>
          <t>Tech A</t>
        </is>
      </c>
      <c r="H1299">
        <f>INDEX(Limits!$B$2:$B$5,MATCH(E1299,Limits!$A$2:$A$5,0))</f>
        <v/>
      </c>
      <c r="I1299">
        <f>INDEX(Limits!$C$2:$C$5,MATCH(E1299,Limits!$A$2:$A$5,0))</f>
        <v/>
      </c>
      <c r="J1299">
        <f>IF(F1299&gt;=I1299,"Action",IF(F1299&gt;=H1299,"Alert","Pass"))</f>
        <v/>
      </c>
      <c r="K1299" s="4">
        <f>DATE(YEAR(B1299),MONTH(B1299),1)</f>
        <v/>
      </c>
    </row>
    <row r="1300">
      <c r="A1300" t="inlineStr">
        <is>
          <t>EM001299</t>
        </is>
      </c>
      <c r="B1300" s="7" t="n">
        <v>46121</v>
      </c>
      <c r="C1300" t="inlineStr">
        <is>
          <t>CR-102</t>
        </is>
      </c>
      <c r="D1300" t="inlineStr">
        <is>
          <t>ISO 7</t>
        </is>
      </c>
      <c r="E1300" t="inlineStr">
        <is>
          <t>Compressed air</t>
        </is>
      </c>
      <c r="F1300" t="n">
        <v>0</v>
      </c>
      <c r="G1300" t="inlineStr">
        <is>
          <t>Tech A</t>
        </is>
      </c>
      <c r="H1300">
        <f>INDEX(Limits!$B$2:$B$5,MATCH(E1300,Limits!$A$2:$A$5,0))</f>
        <v/>
      </c>
      <c r="I1300">
        <f>INDEX(Limits!$C$2:$C$5,MATCH(E1300,Limits!$A$2:$A$5,0))</f>
        <v/>
      </c>
      <c r="J1300">
        <f>IF(F1300&gt;=I1300,"Action",IF(F1300&gt;=H1300,"Alert","Pass"))</f>
        <v/>
      </c>
      <c r="K1300" s="4">
        <f>DATE(YEAR(B1300),MONTH(B1300),1)</f>
        <v/>
      </c>
    </row>
    <row r="1301">
      <c r="A1301" t="inlineStr">
        <is>
          <t>EM001300</t>
        </is>
      </c>
      <c r="B1301" s="7" t="n">
        <v>46121</v>
      </c>
      <c r="C1301" t="inlineStr">
        <is>
          <t>CR-102</t>
        </is>
      </c>
      <c r="D1301" t="inlineStr">
        <is>
          <t>ISO 7</t>
        </is>
      </c>
      <c r="E1301" t="inlineStr">
        <is>
          <t>Personnel glove</t>
        </is>
      </c>
      <c r="F1301" t="n">
        <v>0</v>
      </c>
      <c r="G1301" t="inlineStr">
        <is>
          <t>Tech C</t>
        </is>
      </c>
      <c r="H1301">
        <f>INDEX(Limits!$B$2:$B$5,MATCH(E1301,Limits!$A$2:$A$5,0))</f>
        <v/>
      </c>
      <c r="I1301">
        <f>INDEX(Limits!$C$2:$C$5,MATCH(E1301,Limits!$A$2:$A$5,0))</f>
        <v/>
      </c>
      <c r="J1301">
        <f>IF(F1301&gt;=I1301,"Action",IF(F1301&gt;=H1301,"Alert","Pass"))</f>
        <v/>
      </c>
      <c r="K1301" s="4">
        <f>DATE(YEAR(B1301),MONTH(B1301),1)</f>
        <v/>
      </c>
    </row>
    <row r="1302">
      <c r="A1302" t="inlineStr">
        <is>
          <t>EM001301</t>
        </is>
      </c>
      <c r="B1302" s="7" t="n">
        <v>46121</v>
      </c>
      <c r="C1302" t="inlineStr">
        <is>
          <t>CR-201</t>
        </is>
      </c>
      <c r="D1302" t="inlineStr">
        <is>
          <t>ISO 8</t>
        </is>
      </c>
      <c r="E1302" t="inlineStr">
        <is>
          <t>Active air</t>
        </is>
      </c>
      <c r="F1302" t="n">
        <v>0</v>
      </c>
      <c r="G1302" t="inlineStr">
        <is>
          <t>Tech A</t>
        </is>
      </c>
      <c r="H1302">
        <f>INDEX(Limits!$B$2:$B$5,MATCH(E1302,Limits!$A$2:$A$5,0))</f>
        <v/>
      </c>
      <c r="I1302">
        <f>INDEX(Limits!$C$2:$C$5,MATCH(E1302,Limits!$A$2:$A$5,0))</f>
        <v/>
      </c>
      <c r="J1302">
        <f>IF(F1302&gt;=I1302,"Action",IF(F1302&gt;=H1302,"Alert","Pass"))</f>
        <v/>
      </c>
      <c r="K1302" s="4">
        <f>DATE(YEAR(B1302),MONTH(B1302),1)</f>
        <v/>
      </c>
    </row>
    <row r="1303">
      <c r="A1303" t="inlineStr">
        <is>
          <t>EM001302</t>
        </is>
      </c>
      <c r="B1303" s="7" t="n">
        <v>46121</v>
      </c>
      <c r="C1303" t="inlineStr">
        <is>
          <t>CR-201</t>
        </is>
      </c>
      <c r="D1303" t="inlineStr">
        <is>
          <t>ISO 8</t>
        </is>
      </c>
      <c r="E1303" t="inlineStr">
        <is>
          <t>Surface contact</t>
        </is>
      </c>
      <c r="F1303" t="n">
        <v>0</v>
      </c>
      <c r="G1303" t="inlineStr">
        <is>
          <t>Tech C</t>
        </is>
      </c>
      <c r="H1303">
        <f>INDEX(Limits!$B$2:$B$5,MATCH(E1303,Limits!$A$2:$A$5,0))</f>
        <v/>
      </c>
      <c r="I1303">
        <f>INDEX(Limits!$C$2:$C$5,MATCH(E1303,Limits!$A$2:$A$5,0))</f>
        <v/>
      </c>
      <c r="J1303">
        <f>IF(F1303&gt;=I1303,"Action",IF(F1303&gt;=H1303,"Alert","Pass"))</f>
        <v/>
      </c>
      <c r="K1303" s="4">
        <f>DATE(YEAR(B1303),MONTH(B1303),1)</f>
        <v/>
      </c>
    </row>
    <row r="1304">
      <c r="A1304" t="inlineStr">
        <is>
          <t>EM001303</t>
        </is>
      </c>
      <c r="B1304" s="7" t="n">
        <v>46121</v>
      </c>
      <c r="C1304" t="inlineStr">
        <is>
          <t>CR-201</t>
        </is>
      </c>
      <c r="D1304" t="inlineStr">
        <is>
          <t>ISO 8</t>
        </is>
      </c>
      <c r="E1304" t="inlineStr">
        <is>
          <t>Compressed air</t>
        </is>
      </c>
      <c r="F1304" t="n">
        <v>0</v>
      </c>
      <c r="G1304" t="inlineStr">
        <is>
          <t>Tech C</t>
        </is>
      </c>
      <c r="H1304">
        <f>INDEX(Limits!$B$2:$B$5,MATCH(E1304,Limits!$A$2:$A$5,0))</f>
        <v/>
      </c>
      <c r="I1304">
        <f>INDEX(Limits!$C$2:$C$5,MATCH(E1304,Limits!$A$2:$A$5,0))</f>
        <v/>
      </c>
      <c r="J1304">
        <f>IF(F1304&gt;=I1304,"Action",IF(F1304&gt;=H1304,"Alert","Pass"))</f>
        <v/>
      </c>
      <c r="K1304" s="4">
        <f>DATE(YEAR(B1304),MONTH(B1304),1)</f>
        <v/>
      </c>
    </row>
    <row r="1305">
      <c r="A1305" t="inlineStr">
        <is>
          <t>EM001304</t>
        </is>
      </c>
      <c r="B1305" s="7" t="n">
        <v>46121</v>
      </c>
      <c r="C1305" t="inlineStr">
        <is>
          <t>CR-201</t>
        </is>
      </c>
      <c r="D1305" t="inlineStr">
        <is>
          <t>ISO 8</t>
        </is>
      </c>
      <c r="E1305" t="inlineStr">
        <is>
          <t>Personnel glove</t>
        </is>
      </c>
      <c r="F1305" t="n">
        <v>0</v>
      </c>
      <c r="G1305" t="inlineStr">
        <is>
          <t>Tech D</t>
        </is>
      </c>
      <c r="H1305">
        <f>INDEX(Limits!$B$2:$B$5,MATCH(E1305,Limits!$A$2:$A$5,0))</f>
        <v/>
      </c>
      <c r="I1305">
        <f>INDEX(Limits!$C$2:$C$5,MATCH(E1305,Limits!$A$2:$A$5,0))</f>
        <v/>
      </c>
      <c r="J1305">
        <f>IF(F1305&gt;=I1305,"Action",IF(F1305&gt;=H1305,"Alert","Pass"))</f>
        <v/>
      </c>
      <c r="K1305" s="4">
        <f>DATE(YEAR(B1305),MONTH(B1305),1)</f>
        <v/>
      </c>
    </row>
    <row r="1306">
      <c r="A1306" t="inlineStr">
        <is>
          <t>EM001305</t>
        </is>
      </c>
      <c r="B1306" s="7" t="n">
        <v>46121</v>
      </c>
      <c r="C1306" t="inlineStr">
        <is>
          <t>CR-202</t>
        </is>
      </c>
      <c r="D1306" t="inlineStr">
        <is>
          <t>ISO 8</t>
        </is>
      </c>
      <c r="E1306" t="inlineStr">
        <is>
          <t>Active air</t>
        </is>
      </c>
      <c r="F1306" t="n">
        <v>1</v>
      </c>
      <c r="G1306" t="inlineStr">
        <is>
          <t>Tech D</t>
        </is>
      </c>
      <c r="H1306">
        <f>INDEX(Limits!$B$2:$B$5,MATCH(E1306,Limits!$A$2:$A$5,0))</f>
        <v/>
      </c>
      <c r="I1306">
        <f>INDEX(Limits!$C$2:$C$5,MATCH(E1306,Limits!$A$2:$A$5,0))</f>
        <v/>
      </c>
      <c r="J1306">
        <f>IF(F1306&gt;=I1306,"Action",IF(F1306&gt;=H1306,"Alert","Pass"))</f>
        <v/>
      </c>
      <c r="K1306" s="4">
        <f>DATE(YEAR(B1306),MONTH(B1306),1)</f>
        <v/>
      </c>
    </row>
    <row r="1307">
      <c r="A1307" t="inlineStr">
        <is>
          <t>EM001306</t>
        </is>
      </c>
      <c r="B1307" s="7" t="n">
        <v>46121</v>
      </c>
      <c r="C1307" t="inlineStr">
        <is>
          <t>CR-202</t>
        </is>
      </c>
      <c r="D1307" t="inlineStr">
        <is>
          <t>ISO 8</t>
        </is>
      </c>
      <c r="E1307" t="inlineStr">
        <is>
          <t>Surface contact</t>
        </is>
      </c>
      <c r="F1307" t="n">
        <v>1</v>
      </c>
      <c r="G1307" t="inlineStr">
        <is>
          <t>Tech A</t>
        </is>
      </c>
      <c r="H1307">
        <f>INDEX(Limits!$B$2:$B$5,MATCH(E1307,Limits!$A$2:$A$5,0))</f>
        <v/>
      </c>
      <c r="I1307">
        <f>INDEX(Limits!$C$2:$C$5,MATCH(E1307,Limits!$A$2:$A$5,0))</f>
        <v/>
      </c>
      <c r="J1307">
        <f>IF(F1307&gt;=I1307,"Action",IF(F1307&gt;=H1307,"Alert","Pass"))</f>
        <v/>
      </c>
      <c r="K1307" s="4">
        <f>DATE(YEAR(B1307),MONTH(B1307),1)</f>
        <v/>
      </c>
    </row>
    <row r="1308">
      <c r="A1308" t="inlineStr">
        <is>
          <t>EM001307</t>
        </is>
      </c>
      <c r="B1308" s="7" t="n">
        <v>46121</v>
      </c>
      <c r="C1308" t="inlineStr">
        <is>
          <t>CR-202</t>
        </is>
      </c>
      <c r="D1308" t="inlineStr">
        <is>
          <t>ISO 8</t>
        </is>
      </c>
      <c r="E1308" t="inlineStr">
        <is>
          <t>Compressed air</t>
        </is>
      </c>
      <c r="F1308" t="n">
        <v>0</v>
      </c>
      <c r="G1308" t="inlineStr">
        <is>
          <t>Tech D</t>
        </is>
      </c>
      <c r="H1308">
        <f>INDEX(Limits!$B$2:$B$5,MATCH(E1308,Limits!$A$2:$A$5,0))</f>
        <v/>
      </c>
      <c r="I1308">
        <f>INDEX(Limits!$C$2:$C$5,MATCH(E1308,Limits!$A$2:$A$5,0))</f>
        <v/>
      </c>
      <c r="J1308">
        <f>IF(F1308&gt;=I1308,"Action",IF(F1308&gt;=H1308,"Alert","Pass"))</f>
        <v/>
      </c>
      <c r="K1308" s="4">
        <f>DATE(YEAR(B1308),MONTH(B1308),1)</f>
        <v/>
      </c>
    </row>
    <row r="1309">
      <c r="A1309" t="inlineStr">
        <is>
          <t>EM001308</t>
        </is>
      </c>
      <c r="B1309" s="7" t="n">
        <v>46121</v>
      </c>
      <c r="C1309" t="inlineStr">
        <is>
          <t>CR-202</t>
        </is>
      </c>
      <c r="D1309" t="inlineStr">
        <is>
          <t>ISO 8</t>
        </is>
      </c>
      <c r="E1309" t="inlineStr">
        <is>
          <t>Personnel glove</t>
        </is>
      </c>
      <c r="F1309" t="n">
        <v>0</v>
      </c>
      <c r="G1309" t="inlineStr">
        <is>
          <t>Tech C</t>
        </is>
      </c>
      <c r="H1309">
        <f>INDEX(Limits!$B$2:$B$5,MATCH(E1309,Limits!$A$2:$A$5,0))</f>
        <v/>
      </c>
      <c r="I1309">
        <f>INDEX(Limits!$C$2:$C$5,MATCH(E1309,Limits!$A$2:$A$5,0))</f>
        <v/>
      </c>
      <c r="J1309">
        <f>IF(F1309&gt;=I1309,"Action",IF(F1309&gt;=H1309,"Alert","Pass"))</f>
        <v/>
      </c>
      <c r="K1309" s="4">
        <f>DATE(YEAR(B1309),MONTH(B1309),1)</f>
        <v/>
      </c>
    </row>
    <row r="1310">
      <c r="A1310" t="inlineStr">
        <is>
          <t>EM001309</t>
        </is>
      </c>
      <c r="B1310" s="7" t="n">
        <v>46121</v>
      </c>
      <c r="C1310" t="inlineStr">
        <is>
          <t>Gowning</t>
        </is>
      </c>
      <c r="D1310" t="inlineStr">
        <is>
          <t>ISO 8</t>
        </is>
      </c>
      <c r="E1310" t="inlineStr">
        <is>
          <t>Active air</t>
        </is>
      </c>
      <c r="F1310" t="n">
        <v>2</v>
      </c>
      <c r="G1310" t="inlineStr">
        <is>
          <t>Tech A</t>
        </is>
      </c>
      <c r="H1310">
        <f>INDEX(Limits!$B$2:$B$5,MATCH(E1310,Limits!$A$2:$A$5,0))</f>
        <v/>
      </c>
      <c r="I1310">
        <f>INDEX(Limits!$C$2:$C$5,MATCH(E1310,Limits!$A$2:$A$5,0))</f>
        <v/>
      </c>
      <c r="J1310">
        <f>IF(F1310&gt;=I1310,"Action",IF(F1310&gt;=H1310,"Alert","Pass"))</f>
        <v/>
      </c>
      <c r="K1310" s="4">
        <f>DATE(YEAR(B1310),MONTH(B1310),1)</f>
        <v/>
      </c>
    </row>
    <row r="1311">
      <c r="A1311" t="inlineStr">
        <is>
          <t>EM001310</t>
        </is>
      </c>
      <c r="B1311" s="7" t="n">
        <v>46121</v>
      </c>
      <c r="C1311" t="inlineStr">
        <is>
          <t>Gowning</t>
        </is>
      </c>
      <c r="D1311" t="inlineStr">
        <is>
          <t>ISO 8</t>
        </is>
      </c>
      <c r="E1311" t="inlineStr">
        <is>
          <t>Surface contact</t>
        </is>
      </c>
      <c r="F1311" t="n">
        <v>0</v>
      </c>
      <c r="G1311" t="inlineStr">
        <is>
          <t>Tech C</t>
        </is>
      </c>
      <c r="H1311">
        <f>INDEX(Limits!$B$2:$B$5,MATCH(E1311,Limits!$A$2:$A$5,0))</f>
        <v/>
      </c>
      <c r="I1311">
        <f>INDEX(Limits!$C$2:$C$5,MATCH(E1311,Limits!$A$2:$A$5,0))</f>
        <v/>
      </c>
      <c r="J1311">
        <f>IF(F1311&gt;=I1311,"Action",IF(F1311&gt;=H1311,"Alert","Pass"))</f>
        <v/>
      </c>
      <c r="K1311" s="4">
        <f>DATE(YEAR(B1311),MONTH(B1311),1)</f>
        <v/>
      </c>
    </row>
    <row r="1312">
      <c r="A1312" t="inlineStr">
        <is>
          <t>EM001311</t>
        </is>
      </c>
      <c r="B1312" s="7" t="n">
        <v>46121</v>
      </c>
      <c r="C1312" t="inlineStr">
        <is>
          <t>Gowning</t>
        </is>
      </c>
      <c r="D1312" t="inlineStr">
        <is>
          <t>ISO 8</t>
        </is>
      </c>
      <c r="E1312" t="inlineStr">
        <is>
          <t>Personnel glove</t>
        </is>
      </c>
      <c r="F1312" t="n">
        <v>0</v>
      </c>
      <c r="G1312" t="inlineStr">
        <is>
          <t>Tech B</t>
        </is>
      </c>
      <c r="H1312">
        <f>INDEX(Limits!$B$2:$B$5,MATCH(E1312,Limits!$A$2:$A$5,0))</f>
        <v/>
      </c>
      <c r="I1312">
        <f>INDEX(Limits!$C$2:$C$5,MATCH(E1312,Limits!$A$2:$A$5,0))</f>
        <v/>
      </c>
      <c r="J1312">
        <f>IF(F1312&gt;=I1312,"Action",IF(F1312&gt;=H1312,"Alert","Pass"))</f>
        <v/>
      </c>
      <c r="K1312" s="4">
        <f>DATE(YEAR(B1312),MONTH(B1312),1)</f>
        <v/>
      </c>
    </row>
    <row r="1313">
      <c r="A1313" t="inlineStr">
        <is>
          <t>EM001312</t>
        </is>
      </c>
      <c r="B1313" s="7" t="n">
        <v>46122</v>
      </c>
      <c r="C1313" t="inlineStr">
        <is>
          <t>CR-101</t>
        </is>
      </c>
      <c r="D1313" t="inlineStr">
        <is>
          <t>ISO 7</t>
        </is>
      </c>
      <c r="E1313" t="inlineStr">
        <is>
          <t>Active air</t>
        </is>
      </c>
      <c r="F1313" t="n">
        <v>0</v>
      </c>
      <c r="G1313" t="inlineStr">
        <is>
          <t>Tech A</t>
        </is>
      </c>
      <c r="H1313">
        <f>INDEX(Limits!$B$2:$B$5,MATCH(E1313,Limits!$A$2:$A$5,0))</f>
        <v/>
      </c>
      <c r="I1313">
        <f>INDEX(Limits!$C$2:$C$5,MATCH(E1313,Limits!$A$2:$A$5,0))</f>
        <v/>
      </c>
      <c r="J1313">
        <f>IF(F1313&gt;=I1313,"Action",IF(F1313&gt;=H1313,"Alert","Pass"))</f>
        <v/>
      </c>
      <c r="K1313" s="4">
        <f>DATE(YEAR(B1313),MONTH(B1313),1)</f>
        <v/>
      </c>
    </row>
    <row r="1314">
      <c r="A1314" t="inlineStr">
        <is>
          <t>EM001313</t>
        </is>
      </c>
      <c r="B1314" s="7" t="n">
        <v>46122</v>
      </c>
      <c r="C1314" t="inlineStr">
        <is>
          <t>CR-101</t>
        </is>
      </c>
      <c r="D1314" t="inlineStr">
        <is>
          <t>ISO 7</t>
        </is>
      </c>
      <c r="E1314" t="inlineStr">
        <is>
          <t>Surface contact</t>
        </is>
      </c>
      <c r="F1314" t="n">
        <v>0</v>
      </c>
      <c r="G1314" t="inlineStr">
        <is>
          <t>Tech D</t>
        </is>
      </c>
      <c r="H1314">
        <f>INDEX(Limits!$B$2:$B$5,MATCH(E1314,Limits!$A$2:$A$5,0))</f>
        <v/>
      </c>
      <c r="I1314">
        <f>INDEX(Limits!$C$2:$C$5,MATCH(E1314,Limits!$A$2:$A$5,0))</f>
        <v/>
      </c>
      <c r="J1314">
        <f>IF(F1314&gt;=I1314,"Action",IF(F1314&gt;=H1314,"Alert","Pass"))</f>
        <v/>
      </c>
      <c r="K1314" s="4">
        <f>DATE(YEAR(B1314),MONTH(B1314),1)</f>
        <v/>
      </c>
    </row>
    <row r="1315">
      <c r="A1315" t="inlineStr">
        <is>
          <t>EM001314</t>
        </is>
      </c>
      <c r="B1315" s="7" t="n">
        <v>46122</v>
      </c>
      <c r="C1315" t="inlineStr">
        <is>
          <t>CR-101</t>
        </is>
      </c>
      <c r="D1315" t="inlineStr">
        <is>
          <t>ISO 7</t>
        </is>
      </c>
      <c r="E1315" t="inlineStr">
        <is>
          <t>Compressed air</t>
        </is>
      </c>
      <c r="F1315" t="n">
        <v>0</v>
      </c>
      <c r="G1315" t="inlineStr">
        <is>
          <t>Tech B</t>
        </is>
      </c>
      <c r="H1315">
        <f>INDEX(Limits!$B$2:$B$5,MATCH(E1315,Limits!$A$2:$A$5,0))</f>
        <v/>
      </c>
      <c r="I1315">
        <f>INDEX(Limits!$C$2:$C$5,MATCH(E1315,Limits!$A$2:$A$5,0))</f>
        <v/>
      </c>
      <c r="J1315">
        <f>IF(F1315&gt;=I1315,"Action",IF(F1315&gt;=H1315,"Alert","Pass"))</f>
        <v/>
      </c>
      <c r="K1315" s="4">
        <f>DATE(YEAR(B1315),MONTH(B1315),1)</f>
        <v/>
      </c>
    </row>
    <row r="1316">
      <c r="A1316" t="inlineStr">
        <is>
          <t>EM001315</t>
        </is>
      </c>
      <c r="B1316" s="7" t="n">
        <v>46122</v>
      </c>
      <c r="C1316" t="inlineStr">
        <is>
          <t>CR-101</t>
        </is>
      </c>
      <c r="D1316" t="inlineStr">
        <is>
          <t>ISO 7</t>
        </is>
      </c>
      <c r="E1316" t="inlineStr">
        <is>
          <t>Personnel glove</t>
        </is>
      </c>
      <c r="F1316" t="n">
        <v>0</v>
      </c>
      <c r="G1316" t="inlineStr">
        <is>
          <t>Tech C</t>
        </is>
      </c>
      <c r="H1316">
        <f>INDEX(Limits!$B$2:$B$5,MATCH(E1316,Limits!$A$2:$A$5,0))</f>
        <v/>
      </c>
      <c r="I1316">
        <f>INDEX(Limits!$C$2:$C$5,MATCH(E1316,Limits!$A$2:$A$5,0))</f>
        <v/>
      </c>
      <c r="J1316">
        <f>IF(F1316&gt;=I1316,"Action",IF(F1316&gt;=H1316,"Alert","Pass"))</f>
        <v/>
      </c>
      <c r="K1316" s="4">
        <f>DATE(YEAR(B1316),MONTH(B1316),1)</f>
        <v/>
      </c>
    </row>
    <row r="1317">
      <c r="A1317" t="inlineStr">
        <is>
          <t>EM001316</t>
        </is>
      </c>
      <c r="B1317" s="7" t="n">
        <v>46122</v>
      </c>
      <c r="C1317" t="inlineStr">
        <is>
          <t>CR-102</t>
        </is>
      </c>
      <c r="D1317" t="inlineStr">
        <is>
          <t>ISO 7</t>
        </is>
      </c>
      <c r="E1317" t="inlineStr">
        <is>
          <t>Active air</t>
        </is>
      </c>
      <c r="F1317" t="n">
        <v>1</v>
      </c>
      <c r="G1317" t="inlineStr">
        <is>
          <t>Tech B</t>
        </is>
      </c>
      <c r="H1317">
        <f>INDEX(Limits!$B$2:$B$5,MATCH(E1317,Limits!$A$2:$A$5,0))</f>
        <v/>
      </c>
      <c r="I1317">
        <f>INDEX(Limits!$C$2:$C$5,MATCH(E1317,Limits!$A$2:$A$5,0))</f>
        <v/>
      </c>
      <c r="J1317">
        <f>IF(F1317&gt;=I1317,"Action",IF(F1317&gt;=H1317,"Alert","Pass"))</f>
        <v/>
      </c>
      <c r="K1317" s="4">
        <f>DATE(YEAR(B1317),MONTH(B1317),1)</f>
        <v/>
      </c>
    </row>
    <row r="1318">
      <c r="A1318" t="inlineStr">
        <is>
          <t>EM001317</t>
        </is>
      </c>
      <c r="B1318" s="7" t="n">
        <v>46122</v>
      </c>
      <c r="C1318" t="inlineStr">
        <is>
          <t>CR-102</t>
        </is>
      </c>
      <c r="D1318" t="inlineStr">
        <is>
          <t>ISO 7</t>
        </is>
      </c>
      <c r="E1318" t="inlineStr">
        <is>
          <t>Surface contact</t>
        </is>
      </c>
      <c r="F1318" t="n">
        <v>0</v>
      </c>
      <c r="G1318" t="inlineStr">
        <is>
          <t>Tech A</t>
        </is>
      </c>
      <c r="H1318">
        <f>INDEX(Limits!$B$2:$B$5,MATCH(E1318,Limits!$A$2:$A$5,0))</f>
        <v/>
      </c>
      <c r="I1318">
        <f>INDEX(Limits!$C$2:$C$5,MATCH(E1318,Limits!$A$2:$A$5,0))</f>
        <v/>
      </c>
      <c r="J1318">
        <f>IF(F1318&gt;=I1318,"Action",IF(F1318&gt;=H1318,"Alert","Pass"))</f>
        <v/>
      </c>
      <c r="K1318" s="4">
        <f>DATE(YEAR(B1318),MONTH(B1318),1)</f>
        <v/>
      </c>
    </row>
    <row r="1319">
      <c r="A1319" t="inlineStr">
        <is>
          <t>EM001318</t>
        </is>
      </c>
      <c r="B1319" s="7" t="n">
        <v>46122</v>
      </c>
      <c r="C1319" t="inlineStr">
        <is>
          <t>CR-102</t>
        </is>
      </c>
      <c r="D1319" t="inlineStr">
        <is>
          <t>ISO 7</t>
        </is>
      </c>
      <c r="E1319" t="inlineStr">
        <is>
          <t>Compressed air</t>
        </is>
      </c>
      <c r="F1319" t="n">
        <v>0</v>
      </c>
      <c r="G1319" t="inlineStr">
        <is>
          <t>Tech A</t>
        </is>
      </c>
      <c r="H1319">
        <f>INDEX(Limits!$B$2:$B$5,MATCH(E1319,Limits!$A$2:$A$5,0))</f>
        <v/>
      </c>
      <c r="I1319">
        <f>INDEX(Limits!$C$2:$C$5,MATCH(E1319,Limits!$A$2:$A$5,0))</f>
        <v/>
      </c>
      <c r="J1319">
        <f>IF(F1319&gt;=I1319,"Action",IF(F1319&gt;=H1319,"Alert","Pass"))</f>
        <v/>
      </c>
      <c r="K1319" s="4">
        <f>DATE(YEAR(B1319),MONTH(B1319),1)</f>
        <v/>
      </c>
    </row>
    <row r="1320">
      <c r="A1320" t="inlineStr">
        <is>
          <t>EM001319</t>
        </is>
      </c>
      <c r="B1320" s="7" t="n">
        <v>46122</v>
      </c>
      <c r="C1320" t="inlineStr">
        <is>
          <t>CR-102</t>
        </is>
      </c>
      <c r="D1320" t="inlineStr">
        <is>
          <t>ISO 7</t>
        </is>
      </c>
      <c r="E1320" t="inlineStr">
        <is>
          <t>Personnel glove</t>
        </is>
      </c>
      <c r="F1320" t="n">
        <v>0</v>
      </c>
      <c r="G1320" t="inlineStr">
        <is>
          <t>Tech B</t>
        </is>
      </c>
      <c r="H1320">
        <f>INDEX(Limits!$B$2:$B$5,MATCH(E1320,Limits!$A$2:$A$5,0))</f>
        <v/>
      </c>
      <c r="I1320">
        <f>INDEX(Limits!$C$2:$C$5,MATCH(E1320,Limits!$A$2:$A$5,0))</f>
        <v/>
      </c>
      <c r="J1320">
        <f>IF(F1320&gt;=I1320,"Action",IF(F1320&gt;=H1320,"Alert","Pass"))</f>
        <v/>
      </c>
      <c r="K1320" s="4">
        <f>DATE(YEAR(B1320),MONTH(B1320),1)</f>
        <v/>
      </c>
    </row>
    <row r="1321">
      <c r="A1321" t="inlineStr">
        <is>
          <t>EM001320</t>
        </is>
      </c>
      <c r="B1321" s="7" t="n">
        <v>46122</v>
      </c>
      <c r="C1321" t="inlineStr">
        <is>
          <t>CR-201</t>
        </is>
      </c>
      <c r="D1321" t="inlineStr">
        <is>
          <t>ISO 8</t>
        </is>
      </c>
      <c r="E1321" t="inlineStr">
        <is>
          <t>Active air</t>
        </is>
      </c>
      <c r="F1321" t="n">
        <v>2</v>
      </c>
      <c r="G1321" t="inlineStr">
        <is>
          <t>Tech D</t>
        </is>
      </c>
      <c r="H1321">
        <f>INDEX(Limits!$B$2:$B$5,MATCH(E1321,Limits!$A$2:$A$5,0))</f>
        <v/>
      </c>
      <c r="I1321">
        <f>INDEX(Limits!$C$2:$C$5,MATCH(E1321,Limits!$A$2:$A$5,0))</f>
        <v/>
      </c>
      <c r="J1321">
        <f>IF(F1321&gt;=I1321,"Action",IF(F1321&gt;=H1321,"Alert","Pass"))</f>
        <v/>
      </c>
      <c r="K1321" s="4">
        <f>DATE(YEAR(B1321),MONTH(B1321),1)</f>
        <v/>
      </c>
    </row>
    <row r="1322">
      <c r="A1322" t="inlineStr">
        <is>
          <t>EM001321</t>
        </is>
      </c>
      <c r="B1322" s="7" t="n">
        <v>46122</v>
      </c>
      <c r="C1322" t="inlineStr">
        <is>
          <t>CR-201</t>
        </is>
      </c>
      <c r="D1322" t="inlineStr">
        <is>
          <t>ISO 8</t>
        </is>
      </c>
      <c r="E1322" t="inlineStr">
        <is>
          <t>Surface contact</t>
        </is>
      </c>
      <c r="F1322" t="n">
        <v>0</v>
      </c>
      <c r="G1322" t="inlineStr">
        <is>
          <t>Tech D</t>
        </is>
      </c>
      <c r="H1322">
        <f>INDEX(Limits!$B$2:$B$5,MATCH(E1322,Limits!$A$2:$A$5,0))</f>
        <v/>
      </c>
      <c r="I1322">
        <f>INDEX(Limits!$C$2:$C$5,MATCH(E1322,Limits!$A$2:$A$5,0))</f>
        <v/>
      </c>
      <c r="J1322">
        <f>IF(F1322&gt;=I1322,"Action",IF(F1322&gt;=H1322,"Alert","Pass"))</f>
        <v/>
      </c>
      <c r="K1322" s="4">
        <f>DATE(YEAR(B1322),MONTH(B1322),1)</f>
        <v/>
      </c>
    </row>
    <row r="1323">
      <c r="A1323" t="inlineStr">
        <is>
          <t>EM001322</t>
        </is>
      </c>
      <c r="B1323" s="7" t="n">
        <v>46122</v>
      </c>
      <c r="C1323" t="inlineStr">
        <is>
          <t>CR-201</t>
        </is>
      </c>
      <c r="D1323" t="inlineStr">
        <is>
          <t>ISO 8</t>
        </is>
      </c>
      <c r="E1323" t="inlineStr">
        <is>
          <t>Compressed air</t>
        </is>
      </c>
      <c r="F1323" t="n">
        <v>0</v>
      </c>
      <c r="G1323" t="inlineStr">
        <is>
          <t>Tech C</t>
        </is>
      </c>
      <c r="H1323">
        <f>INDEX(Limits!$B$2:$B$5,MATCH(E1323,Limits!$A$2:$A$5,0))</f>
        <v/>
      </c>
      <c r="I1323">
        <f>INDEX(Limits!$C$2:$C$5,MATCH(E1323,Limits!$A$2:$A$5,0))</f>
        <v/>
      </c>
      <c r="J1323">
        <f>IF(F1323&gt;=I1323,"Action",IF(F1323&gt;=H1323,"Alert","Pass"))</f>
        <v/>
      </c>
      <c r="K1323" s="4">
        <f>DATE(YEAR(B1323),MONTH(B1323),1)</f>
        <v/>
      </c>
    </row>
    <row r="1324">
      <c r="A1324" t="inlineStr">
        <is>
          <t>EM001323</t>
        </is>
      </c>
      <c r="B1324" s="7" t="n">
        <v>46122</v>
      </c>
      <c r="C1324" t="inlineStr">
        <is>
          <t>CR-201</t>
        </is>
      </c>
      <c r="D1324" t="inlineStr">
        <is>
          <t>ISO 8</t>
        </is>
      </c>
      <c r="E1324" t="inlineStr">
        <is>
          <t>Personnel glove</t>
        </is>
      </c>
      <c r="F1324" t="n">
        <v>0</v>
      </c>
      <c r="G1324" t="inlineStr">
        <is>
          <t>Tech C</t>
        </is>
      </c>
      <c r="H1324">
        <f>INDEX(Limits!$B$2:$B$5,MATCH(E1324,Limits!$A$2:$A$5,0))</f>
        <v/>
      </c>
      <c r="I1324">
        <f>INDEX(Limits!$C$2:$C$5,MATCH(E1324,Limits!$A$2:$A$5,0))</f>
        <v/>
      </c>
      <c r="J1324">
        <f>IF(F1324&gt;=I1324,"Action",IF(F1324&gt;=H1324,"Alert","Pass"))</f>
        <v/>
      </c>
      <c r="K1324" s="4">
        <f>DATE(YEAR(B1324),MONTH(B1324),1)</f>
        <v/>
      </c>
    </row>
    <row r="1325">
      <c r="A1325" t="inlineStr">
        <is>
          <t>EM001324</t>
        </is>
      </c>
      <c r="B1325" s="7" t="n">
        <v>46122</v>
      </c>
      <c r="C1325" t="inlineStr">
        <is>
          <t>CR-202</t>
        </is>
      </c>
      <c r="D1325" t="inlineStr">
        <is>
          <t>ISO 8</t>
        </is>
      </c>
      <c r="E1325" t="inlineStr">
        <is>
          <t>Active air</t>
        </is>
      </c>
      <c r="F1325" t="n">
        <v>1</v>
      </c>
      <c r="G1325" t="inlineStr">
        <is>
          <t>Tech A</t>
        </is>
      </c>
      <c r="H1325">
        <f>INDEX(Limits!$B$2:$B$5,MATCH(E1325,Limits!$A$2:$A$5,0))</f>
        <v/>
      </c>
      <c r="I1325">
        <f>INDEX(Limits!$C$2:$C$5,MATCH(E1325,Limits!$A$2:$A$5,0))</f>
        <v/>
      </c>
      <c r="J1325">
        <f>IF(F1325&gt;=I1325,"Action",IF(F1325&gt;=H1325,"Alert","Pass"))</f>
        <v/>
      </c>
      <c r="K1325" s="4">
        <f>DATE(YEAR(B1325),MONTH(B1325),1)</f>
        <v/>
      </c>
    </row>
    <row r="1326">
      <c r="A1326" t="inlineStr">
        <is>
          <t>EM001325</t>
        </is>
      </c>
      <c r="B1326" s="7" t="n">
        <v>46122</v>
      </c>
      <c r="C1326" t="inlineStr">
        <is>
          <t>CR-202</t>
        </is>
      </c>
      <c r="D1326" t="inlineStr">
        <is>
          <t>ISO 8</t>
        </is>
      </c>
      <c r="E1326" t="inlineStr">
        <is>
          <t>Surface contact</t>
        </is>
      </c>
      <c r="F1326" t="n">
        <v>3</v>
      </c>
      <c r="G1326" t="inlineStr">
        <is>
          <t>Tech D</t>
        </is>
      </c>
      <c r="H1326">
        <f>INDEX(Limits!$B$2:$B$5,MATCH(E1326,Limits!$A$2:$A$5,0))</f>
        <v/>
      </c>
      <c r="I1326">
        <f>INDEX(Limits!$C$2:$C$5,MATCH(E1326,Limits!$A$2:$A$5,0))</f>
        <v/>
      </c>
      <c r="J1326">
        <f>IF(F1326&gt;=I1326,"Action",IF(F1326&gt;=H1326,"Alert","Pass"))</f>
        <v/>
      </c>
      <c r="K1326" s="4">
        <f>DATE(YEAR(B1326),MONTH(B1326),1)</f>
        <v/>
      </c>
    </row>
    <row r="1327">
      <c r="A1327" t="inlineStr">
        <is>
          <t>EM001326</t>
        </is>
      </c>
      <c r="B1327" s="7" t="n">
        <v>46122</v>
      </c>
      <c r="C1327" t="inlineStr">
        <is>
          <t>CR-202</t>
        </is>
      </c>
      <c r="D1327" t="inlineStr">
        <is>
          <t>ISO 8</t>
        </is>
      </c>
      <c r="E1327" t="inlineStr">
        <is>
          <t>Compressed air</t>
        </is>
      </c>
      <c r="F1327" t="n">
        <v>0</v>
      </c>
      <c r="G1327" t="inlineStr">
        <is>
          <t>Tech A</t>
        </is>
      </c>
      <c r="H1327">
        <f>INDEX(Limits!$B$2:$B$5,MATCH(E1327,Limits!$A$2:$A$5,0))</f>
        <v/>
      </c>
      <c r="I1327">
        <f>INDEX(Limits!$C$2:$C$5,MATCH(E1327,Limits!$A$2:$A$5,0))</f>
        <v/>
      </c>
      <c r="J1327">
        <f>IF(F1327&gt;=I1327,"Action",IF(F1327&gt;=H1327,"Alert","Pass"))</f>
        <v/>
      </c>
      <c r="K1327" s="4">
        <f>DATE(YEAR(B1327),MONTH(B1327),1)</f>
        <v/>
      </c>
    </row>
    <row r="1328">
      <c r="A1328" t="inlineStr">
        <is>
          <t>EM001327</t>
        </is>
      </c>
      <c r="B1328" s="7" t="n">
        <v>46122</v>
      </c>
      <c r="C1328" t="inlineStr">
        <is>
          <t>CR-202</t>
        </is>
      </c>
      <c r="D1328" t="inlineStr">
        <is>
          <t>ISO 8</t>
        </is>
      </c>
      <c r="E1328" t="inlineStr">
        <is>
          <t>Personnel glove</t>
        </is>
      </c>
      <c r="F1328" t="n">
        <v>1</v>
      </c>
      <c r="G1328" t="inlineStr">
        <is>
          <t>Tech B</t>
        </is>
      </c>
      <c r="H1328">
        <f>INDEX(Limits!$B$2:$B$5,MATCH(E1328,Limits!$A$2:$A$5,0))</f>
        <v/>
      </c>
      <c r="I1328">
        <f>INDEX(Limits!$C$2:$C$5,MATCH(E1328,Limits!$A$2:$A$5,0))</f>
        <v/>
      </c>
      <c r="J1328">
        <f>IF(F1328&gt;=I1328,"Action",IF(F1328&gt;=H1328,"Alert","Pass"))</f>
        <v/>
      </c>
      <c r="K1328" s="4">
        <f>DATE(YEAR(B1328),MONTH(B1328),1)</f>
        <v/>
      </c>
    </row>
    <row r="1329">
      <c r="A1329" t="inlineStr">
        <is>
          <t>EM001328</t>
        </is>
      </c>
      <c r="B1329" s="7" t="n">
        <v>46122</v>
      </c>
      <c r="C1329" t="inlineStr">
        <is>
          <t>Gowning</t>
        </is>
      </c>
      <c r="D1329" t="inlineStr">
        <is>
          <t>ISO 8</t>
        </is>
      </c>
      <c r="E1329" t="inlineStr">
        <is>
          <t>Active air</t>
        </is>
      </c>
      <c r="F1329" t="n">
        <v>2</v>
      </c>
      <c r="G1329" t="inlineStr">
        <is>
          <t>Tech C</t>
        </is>
      </c>
      <c r="H1329">
        <f>INDEX(Limits!$B$2:$B$5,MATCH(E1329,Limits!$A$2:$A$5,0))</f>
        <v/>
      </c>
      <c r="I1329">
        <f>INDEX(Limits!$C$2:$C$5,MATCH(E1329,Limits!$A$2:$A$5,0))</f>
        <v/>
      </c>
      <c r="J1329">
        <f>IF(F1329&gt;=I1329,"Action",IF(F1329&gt;=H1329,"Alert","Pass"))</f>
        <v/>
      </c>
      <c r="K1329" s="4">
        <f>DATE(YEAR(B1329),MONTH(B1329),1)</f>
        <v/>
      </c>
    </row>
    <row r="1330">
      <c r="A1330" t="inlineStr">
        <is>
          <t>EM001329</t>
        </is>
      </c>
      <c r="B1330" s="7" t="n">
        <v>46122</v>
      </c>
      <c r="C1330" t="inlineStr">
        <is>
          <t>Gowning</t>
        </is>
      </c>
      <c r="D1330" t="inlineStr">
        <is>
          <t>ISO 8</t>
        </is>
      </c>
      <c r="E1330" t="inlineStr">
        <is>
          <t>Surface contact</t>
        </is>
      </c>
      <c r="F1330" t="n">
        <v>0</v>
      </c>
      <c r="G1330" t="inlineStr">
        <is>
          <t>Tech C</t>
        </is>
      </c>
      <c r="H1330">
        <f>INDEX(Limits!$B$2:$B$5,MATCH(E1330,Limits!$A$2:$A$5,0))</f>
        <v/>
      </c>
      <c r="I1330">
        <f>INDEX(Limits!$C$2:$C$5,MATCH(E1330,Limits!$A$2:$A$5,0))</f>
        <v/>
      </c>
      <c r="J1330">
        <f>IF(F1330&gt;=I1330,"Action",IF(F1330&gt;=H1330,"Alert","Pass"))</f>
        <v/>
      </c>
      <c r="K1330" s="4">
        <f>DATE(YEAR(B1330),MONTH(B1330),1)</f>
        <v/>
      </c>
    </row>
    <row r="1331">
      <c r="A1331" t="inlineStr">
        <is>
          <t>EM001330</t>
        </is>
      </c>
      <c r="B1331" s="7" t="n">
        <v>46122</v>
      </c>
      <c r="C1331" t="inlineStr">
        <is>
          <t>Gowning</t>
        </is>
      </c>
      <c r="D1331" t="inlineStr">
        <is>
          <t>ISO 8</t>
        </is>
      </c>
      <c r="E1331" t="inlineStr">
        <is>
          <t>Personnel glove</t>
        </is>
      </c>
      <c r="F1331" t="n">
        <v>1</v>
      </c>
      <c r="G1331" t="inlineStr">
        <is>
          <t>Tech B</t>
        </is>
      </c>
      <c r="H1331">
        <f>INDEX(Limits!$B$2:$B$5,MATCH(E1331,Limits!$A$2:$A$5,0))</f>
        <v/>
      </c>
      <c r="I1331">
        <f>INDEX(Limits!$C$2:$C$5,MATCH(E1331,Limits!$A$2:$A$5,0))</f>
        <v/>
      </c>
      <c r="J1331">
        <f>IF(F1331&gt;=I1331,"Action",IF(F1331&gt;=H1331,"Alert","Pass"))</f>
        <v/>
      </c>
      <c r="K1331" s="4">
        <f>DATE(YEAR(B1331),MONTH(B1331),1)</f>
        <v/>
      </c>
    </row>
    <row r="1332">
      <c r="A1332" t="inlineStr">
        <is>
          <t>EM001331</t>
        </is>
      </c>
      <c r="B1332" s="7" t="n">
        <v>46125</v>
      </c>
      <c r="C1332" t="inlineStr">
        <is>
          <t>CR-101</t>
        </is>
      </c>
      <c r="D1332" t="inlineStr">
        <is>
          <t>ISO 7</t>
        </is>
      </c>
      <c r="E1332" t="inlineStr">
        <is>
          <t>Active air</t>
        </is>
      </c>
      <c r="F1332" t="n">
        <v>0</v>
      </c>
      <c r="G1332" t="inlineStr">
        <is>
          <t>Tech D</t>
        </is>
      </c>
      <c r="H1332">
        <f>INDEX(Limits!$B$2:$B$5,MATCH(E1332,Limits!$A$2:$A$5,0))</f>
        <v/>
      </c>
      <c r="I1332">
        <f>INDEX(Limits!$C$2:$C$5,MATCH(E1332,Limits!$A$2:$A$5,0))</f>
        <v/>
      </c>
      <c r="J1332">
        <f>IF(F1332&gt;=I1332,"Action",IF(F1332&gt;=H1332,"Alert","Pass"))</f>
        <v/>
      </c>
      <c r="K1332" s="4">
        <f>DATE(YEAR(B1332),MONTH(B1332),1)</f>
        <v/>
      </c>
    </row>
    <row r="1333">
      <c r="A1333" t="inlineStr">
        <is>
          <t>EM001332</t>
        </is>
      </c>
      <c r="B1333" s="7" t="n">
        <v>46125</v>
      </c>
      <c r="C1333" t="inlineStr">
        <is>
          <t>CR-101</t>
        </is>
      </c>
      <c r="D1333" t="inlineStr">
        <is>
          <t>ISO 7</t>
        </is>
      </c>
      <c r="E1333" t="inlineStr">
        <is>
          <t>Surface contact</t>
        </is>
      </c>
      <c r="F1333" t="n">
        <v>0</v>
      </c>
      <c r="G1333" t="inlineStr">
        <is>
          <t>Tech B</t>
        </is>
      </c>
      <c r="H1333">
        <f>INDEX(Limits!$B$2:$B$5,MATCH(E1333,Limits!$A$2:$A$5,0))</f>
        <v/>
      </c>
      <c r="I1333">
        <f>INDEX(Limits!$C$2:$C$5,MATCH(E1333,Limits!$A$2:$A$5,0))</f>
        <v/>
      </c>
      <c r="J1333">
        <f>IF(F1333&gt;=I1333,"Action",IF(F1333&gt;=H1333,"Alert","Pass"))</f>
        <v/>
      </c>
      <c r="K1333" s="4">
        <f>DATE(YEAR(B1333),MONTH(B1333),1)</f>
        <v/>
      </c>
    </row>
    <row r="1334">
      <c r="A1334" t="inlineStr">
        <is>
          <t>EM001333</t>
        </is>
      </c>
      <c r="B1334" s="7" t="n">
        <v>46125</v>
      </c>
      <c r="C1334" t="inlineStr">
        <is>
          <t>CR-101</t>
        </is>
      </c>
      <c r="D1334" t="inlineStr">
        <is>
          <t>ISO 7</t>
        </is>
      </c>
      <c r="E1334" t="inlineStr">
        <is>
          <t>Compressed air</t>
        </is>
      </c>
      <c r="F1334" t="n">
        <v>0</v>
      </c>
      <c r="G1334" t="inlineStr">
        <is>
          <t>Tech A</t>
        </is>
      </c>
      <c r="H1334">
        <f>INDEX(Limits!$B$2:$B$5,MATCH(E1334,Limits!$A$2:$A$5,0))</f>
        <v/>
      </c>
      <c r="I1334">
        <f>INDEX(Limits!$C$2:$C$5,MATCH(E1334,Limits!$A$2:$A$5,0))</f>
        <v/>
      </c>
      <c r="J1334">
        <f>IF(F1334&gt;=I1334,"Action",IF(F1334&gt;=H1334,"Alert","Pass"))</f>
        <v/>
      </c>
      <c r="K1334" s="4">
        <f>DATE(YEAR(B1334),MONTH(B1334),1)</f>
        <v/>
      </c>
    </row>
    <row r="1335">
      <c r="A1335" t="inlineStr">
        <is>
          <t>EM001334</t>
        </is>
      </c>
      <c r="B1335" s="7" t="n">
        <v>46125</v>
      </c>
      <c r="C1335" t="inlineStr">
        <is>
          <t>CR-101</t>
        </is>
      </c>
      <c r="D1335" t="inlineStr">
        <is>
          <t>ISO 7</t>
        </is>
      </c>
      <c r="E1335" t="inlineStr">
        <is>
          <t>Personnel glove</t>
        </is>
      </c>
      <c r="F1335" t="n">
        <v>0</v>
      </c>
      <c r="G1335" t="inlineStr">
        <is>
          <t>Tech B</t>
        </is>
      </c>
      <c r="H1335">
        <f>INDEX(Limits!$B$2:$B$5,MATCH(E1335,Limits!$A$2:$A$5,0))</f>
        <v/>
      </c>
      <c r="I1335">
        <f>INDEX(Limits!$C$2:$C$5,MATCH(E1335,Limits!$A$2:$A$5,0))</f>
        <v/>
      </c>
      <c r="J1335">
        <f>IF(F1335&gt;=I1335,"Action",IF(F1335&gt;=H1335,"Alert","Pass"))</f>
        <v/>
      </c>
      <c r="K1335" s="4">
        <f>DATE(YEAR(B1335),MONTH(B1335),1)</f>
        <v/>
      </c>
    </row>
    <row r="1336">
      <c r="A1336" t="inlineStr">
        <is>
          <t>EM001335</t>
        </is>
      </c>
      <c r="B1336" s="7" t="n">
        <v>46125</v>
      </c>
      <c r="C1336" t="inlineStr">
        <is>
          <t>CR-102</t>
        </is>
      </c>
      <c r="D1336" t="inlineStr">
        <is>
          <t>ISO 7</t>
        </is>
      </c>
      <c r="E1336" t="inlineStr">
        <is>
          <t>Active air</t>
        </is>
      </c>
      <c r="F1336" t="n">
        <v>1</v>
      </c>
      <c r="G1336" t="inlineStr">
        <is>
          <t>Tech D</t>
        </is>
      </c>
      <c r="H1336">
        <f>INDEX(Limits!$B$2:$B$5,MATCH(E1336,Limits!$A$2:$A$5,0))</f>
        <v/>
      </c>
      <c r="I1336">
        <f>INDEX(Limits!$C$2:$C$5,MATCH(E1336,Limits!$A$2:$A$5,0))</f>
        <v/>
      </c>
      <c r="J1336">
        <f>IF(F1336&gt;=I1336,"Action",IF(F1336&gt;=H1336,"Alert","Pass"))</f>
        <v/>
      </c>
      <c r="K1336" s="4">
        <f>DATE(YEAR(B1336),MONTH(B1336),1)</f>
        <v/>
      </c>
    </row>
    <row r="1337">
      <c r="A1337" t="inlineStr">
        <is>
          <t>EM001336</t>
        </is>
      </c>
      <c r="B1337" s="7" t="n">
        <v>46125</v>
      </c>
      <c r="C1337" t="inlineStr">
        <is>
          <t>CR-102</t>
        </is>
      </c>
      <c r="D1337" t="inlineStr">
        <is>
          <t>ISO 7</t>
        </is>
      </c>
      <c r="E1337" t="inlineStr">
        <is>
          <t>Surface contact</t>
        </is>
      </c>
      <c r="F1337" t="n">
        <v>1</v>
      </c>
      <c r="G1337" t="inlineStr">
        <is>
          <t>Tech A</t>
        </is>
      </c>
      <c r="H1337">
        <f>INDEX(Limits!$B$2:$B$5,MATCH(E1337,Limits!$A$2:$A$5,0))</f>
        <v/>
      </c>
      <c r="I1337">
        <f>INDEX(Limits!$C$2:$C$5,MATCH(E1337,Limits!$A$2:$A$5,0))</f>
        <v/>
      </c>
      <c r="J1337">
        <f>IF(F1337&gt;=I1337,"Action",IF(F1337&gt;=H1337,"Alert","Pass"))</f>
        <v/>
      </c>
      <c r="K1337" s="4">
        <f>DATE(YEAR(B1337),MONTH(B1337),1)</f>
        <v/>
      </c>
    </row>
    <row r="1338">
      <c r="A1338" t="inlineStr">
        <is>
          <t>EM001337</t>
        </is>
      </c>
      <c r="B1338" s="7" t="n">
        <v>46125</v>
      </c>
      <c r="C1338" t="inlineStr">
        <is>
          <t>CR-102</t>
        </is>
      </c>
      <c r="D1338" t="inlineStr">
        <is>
          <t>ISO 7</t>
        </is>
      </c>
      <c r="E1338" t="inlineStr">
        <is>
          <t>Compressed air</t>
        </is>
      </c>
      <c r="F1338" t="n">
        <v>0</v>
      </c>
      <c r="G1338" t="inlineStr">
        <is>
          <t>Tech C</t>
        </is>
      </c>
      <c r="H1338">
        <f>INDEX(Limits!$B$2:$B$5,MATCH(E1338,Limits!$A$2:$A$5,0))</f>
        <v/>
      </c>
      <c r="I1338">
        <f>INDEX(Limits!$C$2:$C$5,MATCH(E1338,Limits!$A$2:$A$5,0))</f>
        <v/>
      </c>
      <c r="J1338">
        <f>IF(F1338&gt;=I1338,"Action",IF(F1338&gt;=H1338,"Alert","Pass"))</f>
        <v/>
      </c>
      <c r="K1338" s="4">
        <f>DATE(YEAR(B1338),MONTH(B1338),1)</f>
        <v/>
      </c>
    </row>
    <row r="1339">
      <c r="A1339" t="inlineStr">
        <is>
          <t>EM001338</t>
        </is>
      </c>
      <c r="B1339" s="7" t="n">
        <v>46125</v>
      </c>
      <c r="C1339" t="inlineStr">
        <is>
          <t>CR-102</t>
        </is>
      </c>
      <c r="D1339" t="inlineStr">
        <is>
          <t>ISO 7</t>
        </is>
      </c>
      <c r="E1339" t="inlineStr">
        <is>
          <t>Personnel glove</t>
        </is>
      </c>
      <c r="F1339" t="n">
        <v>0</v>
      </c>
      <c r="G1339" t="inlineStr">
        <is>
          <t>Tech D</t>
        </is>
      </c>
      <c r="H1339">
        <f>INDEX(Limits!$B$2:$B$5,MATCH(E1339,Limits!$A$2:$A$5,0))</f>
        <v/>
      </c>
      <c r="I1339">
        <f>INDEX(Limits!$C$2:$C$5,MATCH(E1339,Limits!$A$2:$A$5,0))</f>
        <v/>
      </c>
      <c r="J1339">
        <f>IF(F1339&gt;=I1339,"Action",IF(F1339&gt;=H1339,"Alert","Pass"))</f>
        <v/>
      </c>
      <c r="K1339" s="4">
        <f>DATE(YEAR(B1339),MONTH(B1339),1)</f>
        <v/>
      </c>
    </row>
    <row r="1340">
      <c r="A1340" t="inlineStr">
        <is>
          <t>EM001339</t>
        </is>
      </c>
      <c r="B1340" s="7" t="n">
        <v>46125</v>
      </c>
      <c r="C1340" t="inlineStr">
        <is>
          <t>CR-201</t>
        </is>
      </c>
      <c r="D1340" t="inlineStr">
        <is>
          <t>ISO 8</t>
        </is>
      </c>
      <c r="E1340" t="inlineStr">
        <is>
          <t>Active air</t>
        </is>
      </c>
      <c r="F1340" t="n">
        <v>0</v>
      </c>
      <c r="G1340" t="inlineStr">
        <is>
          <t>Tech A</t>
        </is>
      </c>
      <c r="H1340">
        <f>INDEX(Limits!$B$2:$B$5,MATCH(E1340,Limits!$A$2:$A$5,0))</f>
        <v/>
      </c>
      <c r="I1340">
        <f>INDEX(Limits!$C$2:$C$5,MATCH(E1340,Limits!$A$2:$A$5,0))</f>
        <v/>
      </c>
      <c r="J1340">
        <f>IF(F1340&gt;=I1340,"Action",IF(F1340&gt;=H1340,"Alert","Pass"))</f>
        <v/>
      </c>
      <c r="K1340" s="4">
        <f>DATE(YEAR(B1340),MONTH(B1340),1)</f>
        <v/>
      </c>
    </row>
    <row r="1341">
      <c r="A1341" t="inlineStr">
        <is>
          <t>EM001340</t>
        </is>
      </c>
      <c r="B1341" s="7" t="n">
        <v>46125</v>
      </c>
      <c r="C1341" t="inlineStr">
        <is>
          <t>CR-201</t>
        </is>
      </c>
      <c r="D1341" t="inlineStr">
        <is>
          <t>ISO 8</t>
        </is>
      </c>
      <c r="E1341" t="inlineStr">
        <is>
          <t>Surface contact</t>
        </is>
      </c>
      <c r="F1341" t="n">
        <v>2</v>
      </c>
      <c r="G1341" t="inlineStr">
        <is>
          <t>Tech D</t>
        </is>
      </c>
      <c r="H1341">
        <f>INDEX(Limits!$B$2:$B$5,MATCH(E1341,Limits!$A$2:$A$5,0))</f>
        <v/>
      </c>
      <c r="I1341">
        <f>INDEX(Limits!$C$2:$C$5,MATCH(E1341,Limits!$A$2:$A$5,0))</f>
        <v/>
      </c>
      <c r="J1341">
        <f>IF(F1341&gt;=I1341,"Action",IF(F1341&gt;=H1341,"Alert","Pass"))</f>
        <v/>
      </c>
      <c r="K1341" s="4">
        <f>DATE(YEAR(B1341),MONTH(B1341),1)</f>
        <v/>
      </c>
    </row>
    <row r="1342">
      <c r="A1342" t="inlineStr">
        <is>
          <t>EM001341</t>
        </is>
      </c>
      <c r="B1342" s="7" t="n">
        <v>46125</v>
      </c>
      <c r="C1342" t="inlineStr">
        <is>
          <t>CR-201</t>
        </is>
      </c>
      <c r="D1342" t="inlineStr">
        <is>
          <t>ISO 8</t>
        </is>
      </c>
      <c r="E1342" t="inlineStr">
        <is>
          <t>Compressed air</t>
        </is>
      </c>
      <c r="F1342" t="n">
        <v>0</v>
      </c>
      <c r="G1342" t="inlineStr">
        <is>
          <t>Tech C</t>
        </is>
      </c>
      <c r="H1342">
        <f>INDEX(Limits!$B$2:$B$5,MATCH(E1342,Limits!$A$2:$A$5,0))</f>
        <v/>
      </c>
      <c r="I1342">
        <f>INDEX(Limits!$C$2:$C$5,MATCH(E1342,Limits!$A$2:$A$5,0))</f>
        <v/>
      </c>
      <c r="J1342">
        <f>IF(F1342&gt;=I1342,"Action",IF(F1342&gt;=H1342,"Alert","Pass"))</f>
        <v/>
      </c>
      <c r="K1342" s="4">
        <f>DATE(YEAR(B1342),MONTH(B1342),1)</f>
        <v/>
      </c>
    </row>
    <row r="1343">
      <c r="A1343" t="inlineStr">
        <is>
          <t>EM001342</t>
        </is>
      </c>
      <c r="B1343" s="7" t="n">
        <v>46125</v>
      </c>
      <c r="C1343" t="inlineStr">
        <is>
          <t>CR-201</t>
        </is>
      </c>
      <c r="D1343" t="inlineStr">
        <is>
          <t>ISO 8</t>
        </is>
      </c>
      <c r="E1343" t="inlineStr">
        <is>
          <t>Personnel glove</t>
        </is>
      </c>
      <c r="F1343" t="n">
        <v>0</v>
      </c>
      <c r="G1343" t="inlineStr">
        <is>
          <t>Tech C</t>
        </is>
      </c>
      <c r="H1343">
        <f>INDEX(Limits!$B$2:$B$5,MATCH(E1343,Limits!$A$2:$A$5,0))</f>
        <v/>
      </c>
      <c r="I1343">
        <f>INDEX(Limits!$C$2:$C$5,MATCH(E1343,Limits!$A$2:$A$5,0))</f>
        <v/>
      </c>
      <c r="J1343">
        <f>IF(F1343&gt;=I1343,"Action",IF(F1343&gt;=H1343,"Alert","Pass"))</f>
        <v/>
      </c>
      <c r="K1343" s="4">
        <f>DATE(YEAR(B1343),MONTH(B1343),1)</f>
        <v/>
      </c>
    </row>
    <row r="1344">
      <c r="A1344" t="inlineStr">
        <is>
          <t>EM001343</t>
        </is>
      </c>
      <c r="B1344" s="7" t="n">
        <v>46125</v>
      </c>
      <c r="C1344" t="inlineStr">
        <is>
          <t>CR-202</t>
        </is>
      </c>
      <c r="D1344" t="inlineStr">
        <is>
          <t>ISO 8</t>
        </is>
      </c>
      <c r="E1344" t="inlineStr">
        <is>
          <t>Active air</t>
        </is>
      </c>
      <c r="F1344" t="n">
        <v>0</v>
      </c>
      <c r="G1344" t="inlineStr">
        <is>
          <t>Tech A</t>
        </is>
      </c>
      <c r="H1344">
        <f>INDEX(Limits!$B$2:$B$5,MATCH(E1344,Limits!$A$2:$A$5,0))</f>
        <v/>
      </c>
      <c r="I1344">
        <f>INDEX(Limits!$C$2:$C$5,MATCH(E1344,Limits!$A$2:$A$5,0))</f>
        <v/>
      </c>
      <c r="J1344">
        <f>IF(F1344&gt;=I1344,"Action",IF(F1344&gt;=H1344,"Alert","Pass"))</f>
        <v/>
      </c>
      <c r="K1344" s="4">
        <f>DATE(YEAR(B1344),MONTH(B1344),1)</f>
        <v/>
      </c>
    </row>
    <row r="1345">
      <c r="A1345" t="inlineStr">
        <is>
          <t>EM001344</t>
        </is>
      </c>
      <c r="B1345" s="7" t="n">
        <v>46125</v>
      </c>
      <c r="C1345" t="inlineStr">
        <is>
          <t>CR-202</t>
        </is>
      </c>
      <c r="D1345" t="inlineStr">
        <is>
          <t>ISO 8</t>
        </is>
      </c>
      <c r="E1345" t="inlineStr">
        <is>
          <t>Surface contact</t>
        </is>
      </c>
      <c r="F1345" t="n">
        <v>1</v>
      </c>
      <c r="G1345" t="inlineStr">
        <is>
          <t>Tech C</t>
        </is>
      </c>
      <c r="H1345">
        <f>INDEX(Limits!$B$2:$B$5,MATCH(E1345,Limits!$A$2:$A$5,0))</f>
        <v/>
      </c>
      <c r="I1345">
        <f>INDEX(Limits!$C$2:$C$5,MATCH(E1345,Limits!$A$2:$A$5,0))</f>
        <v/>
      </c>
      <c r="J1345">
        <f>IF(F1345&gt;=I1345,"Action",IF(F1345&gt;=H1345,"Alert","Pass"))</f>
        <v/>
      </c>
      <c r="K1345" s="4">
        <f>DATE(YEAR(B1345),MONTH(B1345),1)</f>
        <v/>
      </c>
    </row>
    <row r="1346">
      <c r="A1346" t="inlineStr">
        <is>
          <t>EM001345</t>
        </is>
      </c>
      <c r="B1346" s="7" t="n">
        <v>46125</v>
      </c>
      <c r="C1346" t="inlineStr">
        <is>
          <t>CR-202</t>
        </is>
      </c>
      <c r="D1346" t="inlineStr">
        <is>
          <t>ISO 8</t>
        </is>
      </c>
      <c r="E1346" t="inlineStr">
        <is>
          <t>Compressed air</t>
        </is>
      </c>
      <c r="F1346" t="n">
        <v>0</v>
      </c>
      <c r="G1346" t="inlineStr">
        <is>
          <t>Tech C</t>
        </is>
      </c>
      <c r="H1346">
        <f>INDEX(Limits!$B$2:$B$5,MATCH(E1346,Limits!$A$2:$A$5,0))</f>
        <v/>
      </c>
      <c r="I1346">
        <f>INDEX(Limits!$C$2:$C$5,MATCH(E1346,Limits!$A$2:$A$5,0))</f>
        <v/>
      </c>
      <c r="J1346">
        <f>IF(F1346&gt;=I1346,"Action",IF(F1346&gt;=H1346,"Alert","Pass"))</f>
        <v/>
      </c>
      <c r="K1346" s="4">
        <f>DATE(YEAR(B1346),MONTH(B1346),1)</f>
        <v/>
      </c>
    </row>
    <row r="1347">
      <c r="A1347" t="inlineStr">
        <is>
          <t>EM001346</t>
        </is>
      </c>
      <c r="B1347" s="7" t="n">
        <v>46125</v>
      </c>
      <c r="C1347" t="inlineStr">
        <is>
          <t>CR-202</t>
        </is>
      </c>
      <c r="D1347" t="inlineStr">
        <is>
          <t>ISO 8</t>
        </is>
      </c>
      <c r="E1347" t="inlineStr">
        <is>
          <t>Personnel glove</t>
        </is>
      </c>
      <c r="F1347" t="n">
        <v>0</v>
      </c>
      <c r="G1347" t="inlineStr">
        <is>
          <t>Tech C</t>
        </is>
      </c>
      <c r="H1347">
        <f>INDEX(Limits!$B$2:$B$5,MATCH(E1347,Limits!$A$2:$A$5,0))</f>
        <v/>
      </c>
      <c r="I1347">
        <f>INDEX(Limits!$C$2:$C$5,MATCH(E1347,Limits!$A$2:$A$5,0))</f>
        <v/>
      </c>
      <c r="J1347">
        <f>IF(F1347&gt;=I1347,"Action",IF(F1347&gt;=H1347,"Alert","Pass"))</f>
        <v/>
      </c>
      <c r="K1347" s="4">
        <f>DATE(YEAR(B1347),MONTH(B1347),1)</f>
        <v/>
      </c>
    </row>
    <row r="1348">
      <c r="A1348" t="inlineStr">
        <is>
          <t>EM001347</t>
        </is>
      </c>
      <c r="B1348" s="7" t="n">
        <v>46125</v>
      </c>
      <c r="C1348" t="inlineStr">
        <is>
          <t>Gowning</t>
        </is>
      </c>
      <c r="D1348" t="inlineStr">
        <is>
          <t>ISO 8</t>
        </is>
      </c>
      <c r="E1348" t="inlineStr">
        <is>
          <t>Active air</t>
        </is>
      </c>
      <c r="F1348" t="n">
        <v>3</v>
      </c>
      <c r="G1348" t="inlineStr">
        <is>
          <t>Tech D</t>
        </is>
      </c>
      <c r="H1348">
        <f>INDEX(Limits!$B$2:$B$5,MATCH(E1348,Limits!$A$2:$A$5,0))</f>
        <v/>
      </c>
      <c r="I1348">
        <f>INDEX(Limits!$C$2:$C$5,MATCH(E1348,Limits!$A$2:$A$5,0))</f>
        <v/>
      </c>
      <c r="J1348">
        <f>IF(F1348&gt;=I1348,"Action",IF(F1348&gt;=H1348,"Alert","Pass"))</f>
        <v/>
      </c>
      <c r="K1348" s="4">
        <f>DATE(YEAR(B1348),MONTH(B1348),1)</f>
        <v/>
      </c>
    </row>
    <row r="1349">
      <c r="A1349" t="inlineStr">
        <is>
          <t>EM001348</t>
        </is>
      </c>
      <c r="B1349" s="7" t="n">
        <v>46125</v>
      </c>
      <c r="C1349" t="inlineStr">
        <is>
          <t>Gowning</t>
        </is>
      </c>
      <c r="D1349" t="inlineStr">
        <is>
          <t>ISO 8</t>
        </is>
      </c>
      <c r="E1349" t="inlineStr">
        <is>
          <t>Surface contact</t>
        </is>
      </c>
      <c r="F1349" t="n">
        <v>1</v>
      </c>
      <c r="G1349" t="inlineStr">
        <is>
          <t>Tech C</t>
        </is>
      </c>
      <c r="H1349">
        <f>INDEX(Limits!$B$2:$B$5,MATCH(E1349,Limits!$A$2:$A$5,0))</f>
        <v/>
      </c>
      <c r="I1349">
        <f>INDEX(Limits!$C$2:$C$5,MATCH(E1349,Limits!$A$2:$A$5,0))</f>
        <v/>
      </c>
      <c r="J1349">
        <f>IF(F1349&gt;=I1349,"Action",IF(F1349&gt;=H1349,"Alert","Pass"))</f>
        <v/>
      </c>
      <c r="K1349" s="4">
        <f>DATE(YEAR(B1349),MONTH(B1349),1)</f>
        <v/>
      </c>
    </row>
    <row r="1350">
      <c r="A1350" t="inlineStr">
        <is>
          <t>EM001349</t>
        </is>
      </c>
      <c r="B1350" s="7" t="n">
        <v>46125</v>
      </c>
      <c r="C1350" t="inlineStr">
        <is>
          <t>Gowning</t>
        </is>
      </c>
      <c r="D1350" t="inlineStr">
        <is>
          <t>ISO 8</t>
        </is>
      </c>
      <c r="E1350" t="inlineStr">
        <is>
          <t>Personnel glove</t>
        </is>
      </c>
      <c r="F1350" t="n">
        <v>0</v>
      </c>
      <c r="G1350" t="inlineStr">
        <is>
          <t>Tech B</t>
        </is>
      </c>
      <c r="H1350">
        <f>INDEX(Limits!$B$2:$B$5,MATCH(E1350,Limits!$A$2:$A$5,0))</f>
        <v/>
      </c>
      <c r="I1350">
        <f>INDEX(Limits!$C$2:$C$5,MATCH(E1350,Limits!$A$2:$A$5,0))</f>
        <v/>
      </c>
      <c r="J1350">
        <f>IF(F1350&gt;=I1350,"Action",IF(F1350&gt;=H1350,"Alert","Pass"))</f>
        <v/>
      </c>
      <c r="K1350" s="4">
        <f>DATE(YEAR(B1350),MONTH(B1350),1)</f>
        <v/>
      </c>
    </row>
    <row r="1351">
      <c r="A1351" t="inlineStr">
        <is>
          <t>EM001350</t>
        </is>
      </c>
      <c r="B1351" s="7" t="n">
        <v>46126</v>
      </c>
      <c r="C1351" t="inlineStr">
        <is>
          <t>CR-101</t>
        </is>
      </c>
      <c r="D1351" t="inlineStr">
        <is>
          <t>ISO 7</t>
        </is>
      </c>
      <c r="E1351" t="inlineStr">
        <is>
          <t>Active air</t>
        </is>
      </c>
      <c r="F1351" t="n">
        <v>2</v>
      </c>
      <c r="G1351" t="inlineStr">
        <is>
          <t>Tech A</t>
        </is>
      </c>
      <c r="H1351">
        <f>INDEX(Limits!$B$2:$B$5,MATCH(E1351,Limits!$A$2:$A$5,0))</f>
        <v/>
      </c>
      <c r="I1351">
        <f>INDEX(Limits!$C$2:$C$5,MATCH(E1351,Limits!$A$2:$A$5,0))</f>
        <v/>
      </c>
      <c r="J1351">
        <f>IF(F1351&gt;=I1351,"Action",IF(F1351&gt;=H1351,"Alert","Pass"))</f>
        <v/>
      </c>
      <c r="K1351" s="4">
        <f>DATE(YEAR(B1351),MONTH(B1351),1)</f>
        <v/>
      </c>
    </row>
    <row r="1352">
      <c r="A1352" t="inlineStr">
        <is>
          <t>EM001351</t>
        </is>
      </c>
      <c r="B1352" s="7" t="n">
        <v>46126</v>
      </c>
      <c r="C1352" t="inlineStr">
        <is>
          <t>CR-101</t>
        </is>
      </c>
      <c r="D1352" t="inlineStr">
        <is>
          <t>ISO 7</t>
        </is>
      </c>
      <c r="E1352" t="inlineStr">
        <is>
          <t>Surface contact</t>
        </is>
      </c>
      <c r="F1352" t="n">
        <v>0</v>
      </c>
      <c r="G1352" t="inlineStr">
        <is>
          <t>Tech B</t>
        </is>
      </c>
      <c r="H1352">
        <f>INDEX(Limits!$B$2:$B$5,MATCH(E1352,Limits!$A$2:$A$5,0))</f>
        <v/>
      </c>
      <c r="I1352">
        <f>INDEX(Limits!$C$2:$C$5,MATCH(E1352,Limits!$A$2:$A$5,0))</f>
        <v/>
      </c>
      <c r="J1352">
        <f>IF(F1352&gt;=I1352,"Action",IF(F1352&gt;=H1352,"Alert","Pass"))</f>
        <v/>
      </c>
      <c r="K1352" s="4">
        <f>DATE(YEAR(B1352),MONTH(B1352),1)</f>
        <v/>
      </c>
    </row>
    <row r="1353">
      <c r="A1353" t="inlineStr">
        <is>
          <t>EM001352</t>
        </is>
      </c>
      <c r="B1353" s="7" t="n">
        <v>46126</v>
      </c>
      <c r="C1353" t="inlineStr">
        <is>
          <t>CR-101</t>
        </is>
      </c>
      <c r="D1353" t="inlineStr">
        <is>
          <t>ISO 7</t>
        </is>
      </c>
      <c r="E1353" t="inlineStr">
        <is>
          <t>Compressed air</t>
        </is>
      </c>
      <c r="F1353" t="n">
        <v>0</v>
      </c>
      <c r="G1353" t="inlineStr">
        <is>
          <t>Tech D</t>
        </is>
      </c>
      <c r="H1353">
        <f>INDEX(Limits!$B$2:$B$5,MATCH(E1353,Limits!$A$2:$A$5,0))</f>
        <v/>
      </c>
      <c r="I1353">
        <f>INDEX(Limits!$C$2:$C$5,MATCH(E1353,Limits!$A$2:$A$5,0))</f>
        <v/>
      </c>
      <c r="J1353">
        <f>IF(F1353&gt;=I1353,"Action",IF(F1353&gt;=H1353,"Alert","Pass"))</f>
        <v/>
      </c>
      <c r="K1353" s="4">
        <f>DATE(YEAR(B1353),MONTH(B1353),1)</f>
        <v/>
      </c>
    </row>
    <row r="1354">
      <c r="A1354" t="inlineStr">
        <is>
          <t>EM001353</t>
        </is>
      </c>
      <c r="B1354" s="7" t="n">
        <v>46126</v>
      </c>
      <c r="C1354" t="inlineStr">
        <is>
          <t>CR-101</t>
        </is>
      </c>
      <c r="D1354" t="inlineStr">
        <is>
          <t>ISO 7</t>
        </is>
      </c>
      <c r="E1354" t="inlineStr">
        <is>
          <t>Personnel glove</t>
        </is>
      </c>
      <c r="F1354" t="n">
        <v>0</v>
      </c>
      <c r="G1354" t="inlineStr">
        <is>
          <t>Tech C</t>
        </is>
      </c>
      <c r="H1354">
        <f>INDEX(Limits!$B$2:$B$5,MATCH(E1354,Limits!$A$2:$A$5,0))</f>
        <v/>
      </c>
      <c r="I1354">
        <f>INDEX(Limits!$C$2:$C$5,MATCH(E1354,Limits!$A$2:$A$5,0))</f>
        <v/>
      </c>
      <c r="J1354">
        <f>IF(F1354&gt;=I1354,"Action",IF(F1354&gt;=H1354,"Alert","Pass"))</f>
        <v/>
      </c>
      <c r="K1354" s="4">
        <f>DATE(YEAR(B1354),MONTH(B1354),1)</f>
        <v/>
      </c>
    </row>
    <row r="1355">
      <c r="A1355" t="inlineStr">
        <is>
          <t>EM001354</t>
        </is>
      </c>
      <c r="B1355" s="7" t="n">
        <v>46126</v>
      </c>
      <c r="C1355" t="inlineStr">
        <is>
          <t>CR-102</t>
        </is>
      </c>
      <c r="D1355" t="inlineStr">
        <is>
          <t>ISO 7</t>
        </is>
      </c>
      <c r="E1355" t="inlineStr">
        <is>
          <t>Active air</t>
        </is>
      </c>
      <c r="F1355" t="n">
        <v>2</v>
      </c>
      <c r="G1355" t="inlineStr">
        <is>
          <t>Tech D</t>
        </is>
      </c>
      <c r="H1355">
        <f>INDEX(Limits!$B$2:$B$5,MATCH(E1355,Limits!$A$2:$A$5,0))</f>
        <v/>
      </c>
      <c r="I1355">
        <f>INDEX(Limits!$C$2:$C$5,MATCH(E1355,Limits!$A$2:$A$5,0))</f>
        <v/>
      </c>
      <c r="J1355">
        <f>IF(F1355&gt;=I1355,"Action",IF(F1355&gt;=H1355,"Alert","Pass"))</f>
        <v/>
      </c>
      <c r="K1355" s="4">
        <f>DATE(YEAR(B1355),MONTH(B1355),1)</f>
        <v/>
      </c>
    </row>
    <row r="1356">
      <c r="A1356" t="inlineStr">
        <is>
          <t>EM001355</t>
        </is>
      </c>
      <c r="B1356" s="7" t="n">
        <v>46126</v>
      </c>
      <c r="C1356" t="inlineStr">
        <is>
          <t>CR-102</t>
        </is>
      </c>
      <c r="D1356" t="inlineStr">
        <is>
          <t>ISO 7</t>
        </is>
      </c>
      <c r="E1356" t="inlineStr">
        <is>
          <t>Surface contact</t>
        </is>
      </c>
      <c r="F1356" t="n">
        <v>0</v>
      </c>
      <c r="G1356" t="inlineStr">
        <is>
          <t>Tech A</t>
        </is>
      </c>
      <c r="H1356">
        <f>INDEX(Limits!$B$2:$B$5,MATCH(E1356,Limits!$A$2:$A$5,0))</f>
        <v/>
      </c>
      <c r="I1356">
        <f>INDEX(Limits!$C$2:$C$5,MATCH(E1356,Limits!$A$2:$A$5,0))</f>
        <v/>
      </c>
      <c r="J1356">
        <f>IF(F1356&gt;=I1356,"Action",IF(F1356&gt;=H1356,"Alert","Pass"))</f>
        <v/>
      </c>
      <c r="K1356" s="4">
        <f>DATE(YEAR(B1356),MONTH(B1356),1)</f>
        <v/>
      </c>
    </row>
    <row r="1357">
      <c r="A1357" t="inlineStr">
        <is>
          <t>EM001356</t>
        </is>
      </c>
      <c r="B1357" s="7" t="n">
        <v>46126</v>
      </c>
      <c r="C1357" t="inlineStr">
        <is>
          <t>CR-102</t>
        </is>
      </c>
      <c r="D1357" t="inlineStr">
        <is>
          <t>ISO 7</t>
        </is>
      </c>
      <c r="E1357" t="inlineStr">
        <is>
          <t>Compressed air</t>
        </is>
      </c>
      <c r="F1357" t="n">
        <v>0</v>
      </c>
      <c r="G1357" t="inlineStr">
        <is>
          <t>Tech B</t>
        </is>
      </c>
      <c r="H1357">
        <f>INDEX(Limits!$B$2:$B$5,MATCH(E1357,Limits!$A$2:$A$5,0))</f>
        <v/>
      </c>
      <c r="I1357">
        <f>INDEX(Limits!$C$2:$C$5,MATCH(E1357,Limits!$A$2:$A$5,0))</f>
        <v/>
      </c>
      <c r="J1357">
        <f>IF(F1357&gt;=I1357,"Action",IF(F1357&gt;=H1357,"Alert","Pass"))</f>
        <v/>
      </c>
      <c r="K1357" s="4">
        <f>DATE(YEAR(B1357),MONTH(B1357),1)</f>
        <v/>
      </c>
    </row>
    <row r="1358">
      <c r="A1358" t="inlineStr">
        <is>
          <t>EM001357</t>
        </is>
      </c>
      <c r="B1358" s="7" t="n">
        <v>46126</v>
      </c>
      <c r="C1358" t="inlineStr">
        <is>
          <t>CR-102</t>
        </is>
      </c>
      <c r="D1358" t="inlineStr">
        <is>
          <t>ISO 7</t>
        </is>
      </c>
      <c r="E1358" t="inlineStr">
        <is>
          <t>Personnel glove</t>
        </is>
      </c>
      <c r="F1358" t="n">
        <v>0</v>
      </c>
      <c r="G1358" t="inlineStr">
        <is>
          <t>Tech B</t>
        </is>
      </c>
      <c r="H1358">
        <f>INDEX(Limits!$B$2:$B$5,MATCH(E1358,Limits!$A$2:$A$5,0))</f>
        <v/>
      </c>
      <c r="I1358">
        <f>INDEX(Limits!$C$2:$C$5,MATCH(E1358,Limits!$A$2:$A$5,0))</f>
        <v/>
      </c>
      <c r="J1358">
        <f>IF(F1358&gt;=I1358,"Action",IF(F1358&gt;=H1358,"Alert","Pass"))</f>
        <v/>
      </c>
      <c r="K1358" s="4">
        <f>DATE(YEAR(B1358),MONTH(B1358),1)</f>
        <v/>
      </c>
    </row>
    <row r="1359">
      <c r="A1359" t="inlineStr">
        <is>
          <t>EM001358</t>
        </is>
      </c>
      <c r="B1359" s="7" t="n">
        <v>46126</v>
      </c>
      <c r="C1359" t="inlineStr">
        <is>
          <t>CR-201</t>
        </is>
      </c>
      <c r="D1359" t="inlineStr">
        <is>
          <t>ISO 8</t>
        </is>
      </c>
      <c r="E1359" t="inlineStr">
        <is>
          <t>Active air</t>
        </is>
      </c>
      <c r="F1359" t="n">
        <v>0</v>
      </c>
      <c r="G1359" t="inlineStr">
        <is>
          <t>Tech C</t>
        </is>
      </c>
      <c r="H1359">
        <f>INDEX(Limits!$B$2:$B$5,MATCH(E1359,Limits!$A$2:$A$5,0))</f>
        <v/>
      </c>
      <c r="I1359">
        <f>INDEX(Limits!$C$2:$C$5,MATCH(E1359,Limits!$A$2:$A$5,0))</f>
        <v/>
      </c>
      <c r="J1359">
        <f>IF(F1359&gt;=I1359,"Action",IF(F1359&gt;=H1359,"Alert","Pass"))</f>
        <v/>
      </c>
      <c r="K1359" s="4">
        <f>DATE(YEAR(B1359),MONTH(B1359),1)</f>
        <v/>
      </c>
    </row>
    <row r="1360">
      <c r="A1360" t="inlineStr">
        <is>
          <t>EM001359</t>
        </is>
      </c>
      <c r="B1360" s="7" t="n">
        <v>46126</v>
      </c>
      <c r="C1360" t="inlineStr">
        <is>
          <t>CR-201</t>
        </is>
      </c>
      <c r="D1360" t="inlineStr">
        <is>
          <t>ISO 8</t>
        </is>
      </c>
      <c r="E1360" t="inlineStr">
        <is>
          <t>Surface contact</t>
        </is>
      </c>
      <c r="F1360" t="n">
        <v>0</v>
      </c>
      <c r="G1360" t="inlineStr">
        <is>
          <t>Tech B</t>
        </is>
      </c>
      <c r="H1360">
        <f>INDEX(Limits!$B$2:$B$5,MATCH(E1360,Limits!$A$2:$A$5,0))</f>
        <v/>
      </c>
      <c r="I1360">
        <f>INDEX(Limits!$C$2:$C$5,MATCH(E1360,Limits!$A$2:$A$5,0))</f>
        <v/>
      </c>
      <c r="J1360">
        <f>IF(F1360&gt;=I1360,"Action",IF(F1360&gt;=H1360,"Alert","Pass"))</f>
        <v/>
      </c>
      <c r="K1360" s="4">
        <f>DATE(YEAR(B1360),MONTH(B1360),1)</f>
        <v/>
      </c>
    </row>
    <row r="1361">
      <c r="A1361" t="inlineStr">
        <is>
          <t>EM001360</t>
        </is>
      </c>
      <c r="B1361" s="7" t="n">
        <v>46126</v>
      </c>
      <c r="C1361" t="inlineStr">
        <is>
          <t>CR-201</t>
        </is>
      </c>
      <c r="D1361" t="inlineStr">
        <is>
          <t>ISO 8</t>
        </is>
      </c>
      <c r="E1361" t="inlineStr">
        <is>
          <t>Compressed air</t>
        </is>
      </c>
      <c r="F1361" t="n">
        <v>0</v>
      </c>
      <c r="G1361" t="inlineStr">
        <is>
          <t>Tech B</t>
        </is>
      </c>
      <c r="H1361">
        <f>INDEX(Limits!$B$2:$B$5,MATCH(E1361,Limits!$A$2:$A$5,0))</f>
        <v/>
      </c>
      <c r="I1361">
        <f>INDEX(Limits!$C$2:$C$5,MATCH(E1361,Limits!$A$2:$A$5,0))</f>
        <v/>
      </c>
      <c r="J1361">
        <f>IF(F1361&gt;=I1361,"Action",IF(F1361&gt;=H1361,"Alert","Pass"))</f>
        <v/>
      </c>
      <c r="K1361" s="4">
        <f>DATE(YEAR(B1361),MONTH(B1361),1)</f>
        <v/>
      </c>
    </row>
    <row r="1362">
      <c r="A1362" t="inlineStr">
        <is>
          <t>EM001361</t>
        </is>
      </c>
      <c r="B1362" s="7" t="n">
        <v>46126</v>
      </c>
      <c r="C1362" t="inlineStr">
        <is>
          <t>CR-201</t>
        </is>
      </c>
      <c r="D1362" t="inlineStr">
        <is>
          <t>ISO 8</t>
        </is>
      </c>
      <c r="E1362" t="inlineStr">
        <is>
          <t>Personnel glove</t>
        </is>
      </c>
      <c r="F1362" t="n">
        <v>0</v>
      </c>
      <c r="G1362" t="inlineStr">
        <is>
          <t>Tech A</t>
        </is>
      </c>
      <c r="H1362">
        <f>INDEX(Limits!$B$2:$B$5,MATCH(E1362,Limits!$A$2:$A$5,0))</f>
        <v/>
      </c>
      <c r="I1362">
        <f>INDEX(Limits!$C$2:$C$5,MATCH(E1362,Limits!$A$2:$A$5,0))</f>
        <v/>
      </c>
      <c r="J1362">
        <f>IF(F1362&gt;=I1362,"Action",IF(F1362&gt;=H1362,"Alert","Pass"))</f>
        <v/>
      </c>
      <c r="K1362" s="4">
        <f>DATE(YEAR(B1362),MONTH(B1362),1)</f>
        <v/>
      </c>
    </row>
    <row r="1363">
      <c r="A1363" t="inlineStr">
        <is>
          <t>EM001362</t>
        </is>
      </c>
      <c r="B1363" s="7" t="n">
        <v>46126</v>
      </c>
      <c r="C1363" t="inlineStr">
        <is>
          <t>CR-202</t>
        </is>
      </c>
      <c r="D1363" t="inlineStr">
        <is>
          <t>ISO 8</t>
        </is>
      </c>
      <c r="E1363" t="inlineStr">
        <is>
          <t>Active air</t>
        </is>
      </c>
      <c r="F1363" t="n">
        <v>1</v>
      </c>
      <c r="G1363" t="inlineStr">
        <is>
          <t>Tech D</t>
        </is>
      </c>
      <c r="H1363">
        <f>INDEX(Limits!$B$2:$B$5,MATCH(E1363,Limits!$A$2:$A$5,0))</f>
        <v/>
      </c>
      <c r="I1363">
        <f>INDEX(Limits!$C$2:$C$5,MATCH(E1363,Limits!$A$2:$A$5,0))</f>
        <v/>
      </c>
      <c r="J1363">
        <f>IF(F1363&gt;=I1363,"Action",IF(F1363&gt;=H1363,"Alert","Pass"))</f>
        <v/>
      </c>
      <c r="K1363" s="4">
        <f>DATE(YEAR(B1363),MONTH(B1363),1)</f>
        <v/>
      </c>
    </row>
    <row r="1364">
      <c r="A1364" t="inlineStr">
        <is>
          <t>EM001363</t>
        </is>
      </c>
      <c r="B1364" s="7" t="n">
        <v>46126</v>
      </c>
      <c r="C1364" t="inlineStr">
        <is>
          <t>CR-202</t>
        </is>
      </c>
      <c r="D1364" t="inlineStr">
        <is>
          <t>ISO 8</t>
        </is>
      </c>
      <c r="E1364" t="inlineStr">
        <is>
          <t>Surface contact</t>
        </is>
      </c>
      <c r="F1364" t="n">
        <v>2</v>
      </c>
      <c r="G1364" t="inlineStr">
        <is>
          <t>Tech A</t>
        </is>
      </c>
      <c r="H1364">
        <f>INDEX(Limits!$B$2:$B$5,MATCH(E1364,Limits!$A$2:$A$5,0))</f>
        <v/>
      </c>
      <c r="I1364">
        <f>INDEX(Limits!$C$2:$C$5,MATCH(E1364,Limits!$A$2:$A$5,0))</f>
        <v/>
      </c>
      <c r="J1364">
        <f>IF(F1364&gt;=I1364,"Action",IF(F1364&gt;=H1364,"Alert","Pass"))</f>
        <v/>
      </c>
      <c r="K1364" s="4">
        <f>DATE(YEAR(B1364),MONTH(B1364),1)</f>
        <v/>
      </c>
    </row>
    <row r="1365">
      <c r="A1365" t="inlineStr">
        <is>
          <t>EM001364</t>
        </is>
      </c>
      <c r="B1365" s="7" t="n">
        <v>46126</v>
      </c>
      <c r="C1365" t="inlineStr">
        <is>
          <t>CR-202</t>
        </is>
      </c>
      <c r="D1365" t="inlineStr">
        <is>
          <t>ISO 8</t>
        </is>
      </c>
      <c r="E1365" t="inlineStr">
        <is>
          <t>Compressed air</t>
        </is>
      </c>
      <c r="F1365" t="n">
        <v>0</v>
      </c>
      <c r="G1365" t="inlineStr">
        <is>
          <t>Tech D</t>
        </is>
      </c>
      <c r="H1365">
        <f>INDEX(Limits!$B$2:$B$5,MATCH(E1365,Limits!$A$2:$A$5,0))</f>
        <v/>
      </c>
      <c r="I1365">
        <f>INDEX(Limits!$C$2:$C$5,MATCH(E1365,Limits!$A$2:$A$5,0))</f>
        <v/>
      </c>
      <c r="J1365">
        <f>IF(F1365&gt;=I1365,"Action",IF(F1365&gt;=H1365,"Alert","Pass"))</f>
        <v/>
      </c>
      <c r="K1365" s="4">
        <f>DATE(YEAR(B1365),MONTH(B1365),1)</f>
        <v/>
      </c>
    </row>
    <row r="1366">
      <c r="A1366" t="inlineStr">
        <is>
          <t>EM001365</t>
        </is>
      </c>
      <c r="B1366" s="7" t="n">
        <v>46126</v>
      </c>
      <c r="C1366" t="inlineStr">
        <is>
          <t>CR-202</t>
        </is>
      </c>
      <c r="D1366" t="inlineStr">
        <is>
          <t>ISO 8</t>
        </is>
      </c>
      <c r="E1366" t="inlineStr">
        <is>
          <t>Personnel glove</t>
        </is>
      </c>
      <c r="F1366" t="n">
        <v>0</v>
      </c>
      <c r="G1366" t="inlineStr">
        <is>
          <t>Tech C</t>
        </is>
      </c>
      <c r="H1366">
        <f>INDEX(Limits!$B$2:$B$5,MATCH(E1366,Limits!$A$2:$A$5,0))</f>
        <v/>
      </c>
      <c r="I1366">
        <f>INDEX(Limits!$C$2:$C$5,MATCH(E1366,Limits!$A$2:$A$5,0))</f>
        <v/>
      </c>
      <c r="J1366">
        <f>IF(F1366&gt;=I1366,"Action",IF(F1366&gt;=H1366,"Alert","Pass"))</f>
        <v/>
      </c>
      <c r="K1366" s="4">
        <f>DATE(YEAR(B1366),MONTH(B1366),1)</f>
        <v/>
      </c>
    </row>
    <row r="1367">
      <c r="A1367" t="inlineStr">
        <is>
          <t>EM001366</t>
        </is>
      </c>
      <c r="B1367" s="7" t="n">
        <v>46126</v>
      </c>
      <c r="C1367" t="inlineStr">
        <is>
          <t>Gowning</t>
        </is>
      </c>
      <c r="D1367" t="inlineStr">
        <is>
          <t>ISO 8</t>
        </is>
      </c>
      <c r="E1367" t="inlineStr">
        <is>
          <t>Active air</t>
        </is>
      </c>
      <c r="F1367" t="n">
        <v>2</v>
      </c>
      <c r="G1367" t="inlineStr">
        <is>
          <t>Tech D</t>
        </is>
      </c>
      <c r="H1367">
        <f>INDEX(Limits!$B$2:$B$5,MATCH(E1367,Limits!$A$2:$A$5,0))</f>
        <v/>
      </c>
      <c r="I1367">
        <f>INDEX(Limits!$C$2:$C$5,MATCH(E1367,Limits!$A$2:$A$5,0))</f>
        <v/>
      </c>
      <c r="J1367">
        <f>IF(F1367&gt;=I1367,"Action",IF(F1367&gt;=H1367,"Alert","Pass"))</f>
        <v/>
      </c>
      <c r="K1367" s="4">
        <f>DATE(YEAR(B1367),MONTH(B1367),1)</f>
        <v/>
      </c>
    </row>
    <row r="1368">
      <c r="A1368" t="inlineStr">
        <is>
          <t>EM001367</t>
        </is>
      </c>
      <c r="B1368" s="7" t="n">
        <v>46126</v>
      </c>
      <c r="C1368" t="inlineStr">
        <is>
          <t>Gowning</t>
        </is>
      </c>
      <c r="D1368" t="inlineStr">
        <is>
          <t>ISO 8</t>
        </is>
      </c>
      <c r="E1368" t="inlineStr">
        <is>
          <t>Surface contact</t>
        </is>
      </c>
      <c r="F1368" t="n">
        <v>1</v>
      </c>
      <c r="G1368" t="inlineStr">
        <is>
          <t>Tech C</t>
        </is>
      </c>
      <c r="H1368">
        <f>INDEX(Limits!$B$2:$B$5,MATCH(E1368,Limits!$A$2:$A$5,0))</f>
        <v/>
      </c>
      <c r="I1368">
        <f>INDEX(Limits!$C$2:$C$5,MATCH(E1368,Limits!$A$2:$A$5,0))</f>
        <v/>
      </c>
      <c r="J1368">
        <f>IF(F1368&gt;=I1368,"Action",IF(F1368&gt;=H1368,"Alert","Pass"))</f>
        <v/>
      </c>
      <c r="K1368" s="4">
        <f>DATE(YEAR(B1368),MONTH(B1368),1)</f>
        <v/>
      </c>
    </row>
    <row r="1369">
      <c r="A1369" t="inlineStr">
        <is>
          <t>EM001368</t>
        </is>
      </c>
      <c r="B1369" s="7" t="n">
        <v>46126</v>
      </c>
      <c r="C1369" t="inlineStr">
        <is>
          <t>Gowning</t>
        </is>
      </c>
      <c r="D1369" t="inlineStr">
        <is>
          <t>ISO 8</t>
        </is>
      </c>
      <c r="E1369" t="inlineStr">
        <is>
          <t>Personnel glove</t>
        </is>
      </c>
      <c r="F1369" t="n">
        <v>0</v>
      </c>
      <c r="G1369" t="inlineStr">
        <is>
          <t>Tech D</t>
        </is>
      </c>
      <c r="H1369">
        <f>INDEX(Limits!$B$2:$B$5,MATCH(E1369,Limits!$A$2:$A$5,0))</f>
        <v/>
      </c>
      <c r="I1369">
        <f>INDEX(Limits!$C$2:$C$5,MATCH(E1369,Limits!$A$2:$A$5,0))</f>
        <v/>
      </c>
      <c r="J1369">
        <f>IF(F1369&gt;=I1369,"Action",IF(F1369&gt;=H1369,"Alert","Pass"))</f>
        <v/>
      </c>
      <c r="K1369" s="4">
        <f>DATE(YEAR(B1369),MONTH(B1369),1)</f>
        <v/>
      </c>
    </row>
    <row r="1370">
      <c r="A1370" t="inlineStr">
        <is>
          <t>EM001369</t>
        </is>
      </c>
      <c r="B1370" s="7" t="n">
        <v>46127</v>
      </c>
      <c r="C1370" t="inlineStr">
        <is>
          <t>CR-101</t>
        </is>
      </c>
      <c r="D1370" t="inlineStr">
        <is>
          <t>ISO 7</t>
        </is>
      </c>
      <c r="E1370" t="inlineStr">
        <is>
          <t>Active air</t>
        </is>
      </c>
      <c r="F1370" t="n">
        <v>0</v>
      </c>
      <c r="G1370" t="inlineStr">
        <is>
          <t>Tech D</t>
        </is>
      </c>
      <c r="H1370">
        <f>INDEX(Limits!$B$2:$B$5,MATCH(E1370,Limits!$A$2:$A$5,0))</f>
        <v/>
      </c>
      <c r="I1370">
        <f>INDEX(Limits!$C$2:$C$5,MATCH(E1370,Limits!$A$2:$A$5,0))</f>
        <v/>
      </c>
      <c r="J1370">
        <f>IF(F1370&gt;=I1370,"Action",IF(F1370&gt;=H1370,"Alert","Pass"))</f>
        <v/>
      </c>
      <c r="K1370" s="4">
        <f>DATE(YEAR(B1370),MONTH(B1370),1)</f>
        <v/>
      </c>
    </row>
    <row r="1371">
      <c r="A1371" t="inlineStr">
        <is>
          <t>EM001370</t>
        </is>
      </c>
      <c r="B1371" s="7" t="n">
        <v>46127</v>
      </c>
      <c r="C1371" t="inlineStr">
        <is>
          <t>CR-101</t>
        </is>
      </c>
      <c r="D1371" t="inlineStr">
        <is>
          <t>ISO 7</t>
        </is>
      </c>
      <c r="E1371" t="inlineStr">
        <is>
          <t>Surface contact</t>
        </is>
      </c>
      <c r="F1371" t="n">
        <v>0</v>
      </c>
      <c r="G1371" t="inlineStr">
        <is>
          <t>Tech D</t>
        </is>
      </c>
      <c r="H1371">
        <f>INDEX(Limits!$B$2:$B$5,MATCH(E1371,Limits!$A$2:$A$5,0))</f>
        <v/>
      </c>
      <c r="I1371">
        <f>INDEX(Limits!$C$2:$C$5,MATCH(E1371,Limits!$A$2:$A$5,0))</f>
        <v/>
      </c>
      <c r="J1371">
        <f>IF(F1371&gt;=I1371,"Action",IF(F1371&gt;=H1371,"Alert","Pass"))</f>
        <v/>
      </c>
      <c r="K1371" s="4">
        <f>DATE(YEAR(B1371),MONTH(B1371),1)</f>
        <v/>
      </c>
    </row>
    <row r="1372">
      <c r="A1372" t="inlineStr">
        <is>
          <t>EM001371</t>
        </is>
      </c>
      <c r="B1372" s="7" t="n">
        <v>46127</v>
      </c>
      <c r="C1372" t="inlineStr">
        <is>
          <t>CR-101</t>
        </is>
      </c>
      <c r="D1372" t="inlineStr">
        <is>
          <t>ISO 7</t>
        </is>
      </c>
      <c r="E1372" t="inlineStr">
        <is>
          <t>Compressed air</t>
        </is>
      </c>
      <c r="F1372" t="n">
        <v>0</v>
      </c>
      <c r="G1372" t="inlineStr">
        <is>
          <t>Tech C</t>
        </is>
      </c>
      <c r="H1372">
        <f>INDEX(Limits!$B$2:$B$5,MATCH(E1372,Limits!$A$2:$A$5,0))</f>
        <v/>
      </c>
      <c r="I1372">
        <f>INDEX(Limits!$C$2:$C$5,MATCH(E1372,Limits!$A$2:$A$5,0))</f>
        <v/>
      </c>
      <c r="J1372">
        <f>IF(F1372&gt;=I1372,"Action",IF(F1372&gt;=H1372,"Alert","Pass"))</f>
        <v/>
      </c>
      <c r="K1372" s="4">
        <f>DATE(YEAR(B1372),MONTH(B1372),1)</f>
        <v/>
      </c>
    </row>
    <row r="1373">
      <c r="A1373" t="inlineStr">
        <is>
          <t>EM001372</t>
        </is>
      </c>
      <c r="B1373" s="7" t="n">
        <v>46127</v>
      </c>
      <c r="C1373" t="inlineStr">
        <is>
          <t>CR-101</t>
        </is>
      </c>
      <c r="D1373" t="inlineStr">
        <is>
          <t>ISO 7</t>
        </is>
      </c>
      <c r="E1373" t="inlineStr">
        <is>
          <t>Personnel glove</t>
        </is>
      </c>
      <c r="F1373" t="n">
        <v>0</v>
      </c>
      <c r="G1373" t="inlineStr">
        <is>
          <t>Tech B</t>
        </is>
      </c>
      <c r="H1373">
        <f>INDEX(Limits!$B$2:$B$5,MATCH(E1373,Limits!$A$2:$A$5,0))</f>
        <v/>
      </c>
      <c r="I1373">
        <f>INDEX(Limits!$C$2:$C$5,MATCH(E1373,Limits!$A$2:$A$5,0))</f>
        <v/>
      </c>
      <c r="J1373">
        <f>IF(F1373&gt;=I1373,"Action",IF(F1373&gt;=H1373,"Alert","Pass"))</f>
        <v/>
      </c>
      <c r="K1373" s="4">
        <f>DATE(YEAR(B1373),MONTH(B1373),1)</f>
        <v/>
      </c>
    </row>
    <row r="1374">
      <c r="A1374" t="inlineStr">
        <is>
          <t>EM001373</t>
        </is>
      </c>
      <c r="B1374" s="7" t="n">
        <v>46127</v>
      </c>
      <c r="C1374" t="inlineStr">
        <is>
          <t>CR-102</t>
        </is>
      </c>
      <c r="D1374" t="inlineStr">
        <is>
          <t>ISO 7</t>
        </is>
      </c>
      <c r="E1374" t="inlineStr">
        <is>
          <t>Active air</t>
        </is>
      </c>
      <c r="F1374" t="n">
        <v>0</v>
      </c>
      <c r="G1374" t="inlineStr">
        <is>
          <t>Tech D</t>
        </is>
      </c>
      <c r="H1374">
        <f>INDEX(Limits!$B$2:$B$5,MATCH(E1374,Limits!$A$2:$A$5,0))</f>
        <v/>
      </c>
      <c r="I1374">
        <f>INDEX(Limits!$C$2:$C$5,MATCH(E1374,Limits!$A$2:$A$5,0))</f>
        <v/>
      </c>
      <c r="J1374">
        <f>IF(F1374&gt;=I1374,"Action",IF(F1374&gt;=H1374,"Alert","Pass"))</f>
        <v/>
      </c>
      <c r="K1374" s="4">
        <f>DATE(YEAR(B1374),MONTH(B1374),1)</f>
        <v/>
      </c>
    </row>
    <row r="1375">
      <c r="A1375" t="inlineStr">
        <is>
          <t>EM001374</t>
        </is>
      </c>
      <c r="B1375" s="7" t="n">
        <v>46127</v>
      </c>
      <c r="C1375" t="inlineStr">
        <is>
          <t>CR-102</t>
        </is>
      </c>
      <c r="D1375" t="inlineStr">
        <is>
          <t>ISO 7</t>
        </is>
      </c>
      <c r="E1375" t="inlineStr">
        <is>
          <t>Surface contact</t>
        </is>
      </c>
      <c r="F1375" t="n">
        <v>0</v>
      </c>
      <c r="G1375" t="inlineStr">
        <is>
          <t>Tech A</t>
        </is>
      </c>
      <c r="H1375">
        <f>INDEX(Limits!$B$2:$B$5,MATCH(E1375,Limits!$A$2:$A$5,0))</f>
        <v/>
      </c>
      <c r="I1375">
        <f>INDEX(Limits!$C$2:$C$5,MATCH(E1375,Limits!$A$2:$A$5,0))</f>
        <v/>
      </c>
      <c r="J1375">
        <f>IF(F1375&gt;=I1375,"Action",IF(F1375&gt;=H1375,"Alert","Pass"))</f>
        <v/>
      </c>
      <c r="K1375" s="4">
        <f>DATE(YEAR(B1375),MONTH(B1375),1)</f>
        <v/>
      </c>
    </row>
    <row r="1376">
      <c r="A1376" t="inlineStr">
        <is>
          <t>EM001375</t>
        </is>
      </c>
      <c r="B1376" s="7" t="n">
        <v>46127</v>
      </c>
      <c r="C1376" t="inlineStr">
        <is>
          <t>CR-102</t>
        </is>
      </c>
      <c r="D1376" t="inlineStr">
        <is>
          <t>ISO 7</t>
        </is>
      </c>
      <c r="E1376" t="inlineStr">
        <is>
          <t>Compressed air</t>
        </is>
      </c>
      <c r="F1376" t="n">
        <v>0</v>
      </c>
      <c r="G1376" t="inlineStr">
        <is>
          <t>Tech B</t>
        </is>
      </c>
      <c r="H1376">
        <f>INDEX(Limits!$B$2:$B$5,MATCH(E1376,Limits!$A$2:$A$5,0))</f>
        <v/>
      </c>
      <c r="I1376">
        <f>INDEX(Limits!$C$2:$C$5,MATCH(E1376,Limits!$A$2:$A$5,0))</f>
        <v/>
      </c>
      <c r="J1376">
        <f>IF(F1376&gt;=I1376,"Action",IF(F1376&gt;=H1376,"Alert","Pass"))</f>
        <v/>
      </c>
      <c r="K1376" s="4">
        <f>DATE(YEAR(B1376),MONTH(B1376),1)</f>
        <v/>
      </c>
    </row>
    <row r="1377">
      <c r="A1377" t="inlineStr">
        <is>
          <t>EM001376</t>
        </is>
      </c>
      <c r="B1377" s="7" t="n">
        <v>46127</v>
      </c>
      <c r="C1377" t="inlineStr">
        <is>
          <t>CR-102</t>
        </is>
      </c>
      <c r="D1377" t="inlineStr">
        <is>
          <t>ISO 7</t>
        </is>
      </c>
      <c r="E1377" t="inlineStr">
        <is>
          <t>Personnel glove</t>
        </is>
      </c>
      <c r="F1377" t="n">
        <v>0</v>
      </c>
      <c r="G1377" t="inlineStr">
        <is>
          <t>Tech C</t>
        </is>
      </c>
      <c r="H1377">
        <f>INDEX(Limits!$B$2:$B$5,MATCH(E1377,Limits!$A$2:$A$5,0))</f>
        <v/>
      </c>
      <c r="I1377">
        <f>INDEX(Limits!$C$2:$C$5,MATCH(E1377,Limits!$A$2:$A$5,0))</f>
        <v/>
      </c>
      <c r="J1377">
        <f>IF(F1377&gt;=I1377,"Action",IF(F1377&gt;=H1377,"Alert","Pass"))</f>
        <v/>
      </c>
      <c r="K1377" s="4">
        <f>DATE(YEAR(B1377),MONTH(B1377),1)</f>
        <v/>
      </c>
    </row>
    <row r="1378">
      <c r="A1378" t="inlineStr">
        <is>
          <t>EM001377</t>
        </is>
      </c>
      <c r="B1378" s="7" t="n">
        <v>46127</v>
      </c>
      <c r="C1378" t="inlineStr">
        <is>
          <t>CR-201</t>
        </is>
      </c>
      <c r="D1378" t="inlineStr">
        <is>
          <t>ISO 8</t>
        </is>
      </c>
      <c r="E1378" t="inlineStr">
        <is>
          <t>Active air</t>
        </is>
      </c>
      <c r="F1378" t="n">
        <v>3</v>
      </c>
      <c r="G1378" t="inlineStr">
        <is>
          <t>Tech A</t>
        </is>
      </c>
      <c r="H1378">
        <f>INDEX(Limits!$B$2:$B$5,MATCH(E1378,Limits!$A$2:$A$5,0))</f>
        <v/>
      </c>
      <c r="I1378">
        <f>INDEX(Limits!$C$2:$C$5,MATCH(E1378,Limits!$A$2:$A$5,0))</f>
        <v/>
      </c>
      <c r="J1378">
        <f>IF(F1378&gt;=I1378,"Action",IF(F1378&gt;=H1378,"Alert","Pass"))</f>
        <v/>
      </c>
      <c r="K1378" s="4">
        <f>DATE(YEAR(B1378),MONTH(B1378),1)</f>
        <v/>
      </c>
    </row>
    <row r="1379">
      <c r="A1379" t="inlineStr">
        <is>
          <t>EM001378</t>
        </is>
      </c>
      <c r="B1379" s="7" t="n">
        <v>46127</v>
      </c>
      <c r="C1379" t="inlineStr">
        <is>
          <t>CR-201</t>
        </is>
      </c>
      <c r="D1379" t="inlineStr">
        <is>
          <t>ISO 8</t>
        </is>
      </c>
      <c r="E1379" t="inlineStr">
        <is>
          <t>Surface contact</t>
        </is>
      </c>
      <c r="F1379" t="n">
        <v>2</v>
      </c>
      <c r="G1379" t="inlineStr">
        <is>
          <t>Tech B</t>
        </is>
      </c>
      <c r="H1379">
        <f>INDEX(Limits!$B$2:$B$5,MATCH(E1379,Limits!$A$2:$A$5,0))</f>
        <v/>
      </c>
      <c r="I1379">
        <f>INDEX(Limits!$C$2:$C$5,MATCH(E1379,Limits!$A$2:$A$5,0))</f>
        <v/>
      </c>
      <c r="J1379">
        <f>IF(F1379&gt;=I1379,"Action",IF(F1379&gt;=H1379,"Alert","Pass"))</f>
        <v/>
      </c>
      <c r="K1379" s="4">
        <f>DATE(YEAR(B1379),MONTH(B1379),1)</f>
        <v/>
      </c>
    </row>
    <row r="1380">
      <c r="A1380" t="inlineStr">
        <is>
          <t>EM001379</t>
        </is>
      </c>
      <c r="B1380" s="7" t="n">
        <v>46127</v>
      </c>
      <c r="C1380" t="inlineStr">
        <is>
          <t>CR-201</t>
        </is>
      </c>
      <c r="D1380" t="inlineStr">
        <is>
          <t>ISO 8</t>
        </is>
      </c>
      <c r="E1380" t="inlineStr">
        <is>
          <t>Compressed air</t>
        </is>
      </c>
      <c r="F1380" t="n">
        <v>0</v>
      </c>
      <c r="G1380" t="inlineStr">
        <is>
          <t>Tech D</t>
        </is>
      </c>
      <c r="H1380">
        <f>INDEX(Limits!$B$2:$B$5,MATCH(E1380,Limits!$A$2:$A$5,0))</f>
        <v/>
      </c>
      <c r="I1380">
        <f>INDEX(Limits!$C$2:$C$5,MATCH(E1380,Limits!$A$2:$A$5,0))</f>
        <v/>
      </c>
      <c r="J1380">
        <f>IF(F1380&gt;=I1380,"Action",IF(F1380&gt;=H1380,"Alert","Pass"))</f>
        <v/>
      </c>
      <c r="K1380" s="4">
        <f>DATE(YEAR(B1380),MONTH(B1380),1)</f>
        <v/>
      </c>
    </row>
    <row r="1381">
      <c r="A1381" t="inlineStr">
        <is>
          <t>EM001380</t>
        </is>
      </c>
      <c r="B1381" s="7" t="n">
        <v>46127</v>
      </c>
      <c r="C1381" t="inlineStr">
        <is>
          <t>CR-201</t>
        </is>
      </c>
      <c r="D1381" t="inlineStr">
        <is>
          <t>ISO 8</t>
        </is>
      </c>
      <c r="E1381" t="inlineStr">
        <is>
          <t>Personnel glove</t>
        </is>
      </c>
      <c r="F1381" t="n">
        <v>0</v>
      </c>
      <c r="G1381" t="inlineStr">
        <is>
          <t>Tech B</t>
        </is>
      </c>
      <c r="H1381">
        <f>INDEX(Limits!$B$2:$B$5,MATCH(E1381,Limits!$A$2:$A$5,0))</f>
        <v/>
      </c>
      <c r="I1381">
        <f>INDEX(Limits!$C$2:$C$5,MATCH(E1381,Limits!$A$2:$A$5,0))</f>
        <v/>
      </c>
      <c r="J1381">
        <f>IF(F1381&gt;=I1381,"Action",IF(F1381&gt;=H1381,"Alert","Pass"))</f>
        <v/>
      </c>
      <c r="K1381" s="4">
        <f>DATE(YEAR(B1381),MONTH(B1381),1)</f>
        <v/>
      </c>
    </row>
    <row r="1382">
      <c r="A1382" t="inlineStr">
        <is>
          <t>EM001381</t>
        </is>
      </c>
      <c r="B1382" s="7" t="n">
        <v>46127</v>
      </c>
      <c r="C1382" t="inlineStr">
        <is>
          <t>CR-202</t>
        </is>
      </c>
      <c r="D1382" t="inlineStr">
        <is>
          <t>ISO 8</t>
        </is>
      </c>
      <c r="E1382" t="inlineStr">
        <is>
          <t>Active air</t>
        </is>
      </c>
      <c r="F1382" t="n">
        <v>2</v>
      </c>
      <c r="G1382" t="inlineStr">
        <is>
          <t>Tech B</t>
        </is>
      </c>
      <c r="H1382">
        <f>INDEX(Limits!$B$2:$B$5,MATCH(E1382,Limits!$A$2:$A$5,0))</f>
        <v/>
      </c>
      <c r="I1382">
        <f>INDEX(Limits!$C$2:$C$5,MATCH(E1382,Limits!$A$2:$A$5,0))</f>
        <v/>
      </c>
      <c r="J1382">
        <f>IF(F1382&gt;=I1382,"Action",IF(F1382&gt;=H1382,"Alert","Pass"))</f>
        <v/>
      </c>
      <c r="K1382" s="4">
        <f>DATE(YEAR(B1382),MONTH(B1382),1)</f>
        <v/>
      </c>
    </row>
    <row r="1383">
      <c r="A1383" t="inlineStr">
        <is>
          <t>EM001382</t>
        </is>
      </c>
      <c r="B1383" s="7" t="n">
        <v>46127</v>
      </c>
      <c r="C1383" t="inlineStr">
        <is>
          <t>CR-202</t>
        </is>
      </c>
      <c r="D1383" t="inlineStr">
        <is>
          <t>ISO 8</t>
        </is>
      </c>
      <c r="E1383" t="inlineStr">
        <is>
          <t>Surface contact</t>
        </is>
      </c>
      <c r="F1383" t="n">
        <v>0</v>
      </c>
      <c r="G1383" t="inlineStr">
        <is>
          <t>Tech C</t>
        </is>
      </c>
      <c r="H1383">
        <f>INDEX(Limits!$B$2:$B$5,MATCH(E1383,Limits!$A$2:$A$5,0))</f>
        <v/>
      </c>
      <c r="I1383">
        <f>INDEX(Limits!$C$2:$C$5,MATCH(E1383,Limits!$A$2:$A$5,0))</f>
        <v/>
      </c>
      <c r="J1383">
        <f>IF(F1383&gt;=I1383,"Action",IF(F1383&gt;=H1383,"Alert","Pass"))</f>
        <v/>
      </c>
      <c r="K1383" s="4">
        <f>DATE(YEAR(B1383),MONTH(B1383),1)</f>
        <v/>
      </c>
    </row>
    <row r="1384">
      <c r="A1384" t="inlineStr">
        <is>
          <t>EM001383</t>
        </is>
      </c>
      <c r="B1384" s="7" t="n">
        <v>46127</v>
      </c>
      <c r="C1384" t="inlineStr">
        <is>
          <t>CR-202</t>
        </is>
      </c>
      <c r="D1384" t="inlineStr">
        <is>
          <t>ISO 8</t>
        </is>
      </c>
      <c r="E1384" t="inlineStr">
        <is>
          <t>Compressed air</t>
        </is>
      </c>
      <c r="F1384" t="n">
        <v>0</v>
      </c>
      <c r="G1384" t="inlineStr">
        <is>
          <t>Tech A</t>
        </is>
      </c>
      <c r="H1384">
        <f>INDEX(Limits!$B$2:$B$5,MATCH(E1384,Limits!$A$2:$A$5,0))</f>
        <v/>
      </c>
      <c r="I1384">
        <f>INDEX(Limits!$C$2:$C$5,MATCH(E1384,Limits!$A$2:$A$5,0))</f>
        <v/>
      </c>
      <c r="J1384">
        <f>IF(F1384&gt;=I1384,"Action",IF(F1384&gt;=H1384,"Alert","Pass"))</f>
        <v/>
      </c>
      <c r="K1384" s="4">
        <f>DATE(YEAR(B1384),MONTH(B1384),1)</f>
        <v/>
      </c>
    </row>
    <row r="1385">
      <c r="A1385" t="inlineStr">
        <is>
          <t>EM001384</t>
        </is>
      </c>
      <c r="B1385" s="7" t="n">
        <v>46127</v>
      </c>
      <c r="C1385" t="inlineStr">
        <is>
          <t>CR-202</t>
        </is>
      </c>
      <c r="D1385" t="inlineStr">
        <is>
          <t>ISO 8</t>
        </is>
      </c>
      <c r="E1385" t="inlineStr">
        <is>
          <t>Personnel glove</t>
        </is>
      </c>
      <c r="F1385" t="n">
        <v>0</v>
      </c>
      <c r="G1385" t="inlineStr">
        <is>
          <t>Tech D</t>
        </is>
      </c>
      <c r="H1385">
        <f>INDEX(Limits!$B$2:$B$5,MATCH(E1385,Limits!$A$2:$A$5,0))</f>
        <v/>
      </c>
      <c r="I1385">
        <f>INDEX(Limits!$C$2:$C$5,MATCH(E1385,Limits!$A$2:$A$5,0))</f>
        <v/>
      </c>
      <c r="J1385">
        <f>IF(F1385&gt;=I1385,"Action",IF(F1385&gt;=H1385,"Alert","Pass"))</f>
        <v/>
      </c>
      <c r="K1385" s="4">
        <f>DATE(YEAR(B1385),MONTH(B1385),1)</f>
        <v/>
      </c>
    </row>
    <row r="1386">
      <c r="A1386" t="inlineStr">
        <is>
          <t>EM001385</t>
        </is>
      </c>
      <c r="B1386" s="7" t="n">
        <v>46127</v>
      </c>
      <c r="C1386" t="inlineStr">
        <is>
          <t>Gowning</t>
        </is>
      </c>
      <c r="D1386" t="inlineStr">
        <is>
          <t>ISO 8</t>
        </is>
      </c>
      <c r="E1386" t="inlineStr">
        <is>
          <t>Active air</t>
        </is>
      </c>
      <c r="F1386" t="n">
        <v>1</v>
      </c>
      <c r="G1386" t="inlineStr">
        <is>
          <t>Tech C</t>
        </is>
      </c>
      <c r="H1386">
        <f>INDEX(Limits!$B$2:$B$5,MATCH(E1386,Limits!$A$2:$A$5,0))</f>
        <v/>
      </c>
      <c r="I1386">
        <f>INDEX(Limits!$C$2:$C$5,MATCH(E1386,Limits!$A$2:$A$5,0))</f>
        <v/>
      </c>
      <c r="J1386">
        <f>IF(F1386&gt;=I1386,"Action",IF(F1386&gt;=H1386,"Alert","Pass"))</f>
        <v/>
      </c>
      <c r="K1386" s="4">
        <f>DATE(YEAR(B1386),MONTH(B1386),1)</f>
        <v/>
      </c>
    </row>
    <row r="1387">
      <c r="A1387" t="inlineStr">
        <is>
          <t>EM001386</t>
        </is>
      </c>
      <c r="B1387" s="7" t="n">
        <v>46127</v>
      </c>
      <c r="C1387" t="inlineStr">
        <is>
          <t>Gowning</t>
        </is>
      </c>
      <c r="D1387" t="inlineStr">
        <is>
          <t>ISO 8</t>
        </is>
      </c>
      <c r="E1387" t="inlineStr">
        <is>
          <t>Surface contact</t>
        </is>
      </c>
      <c r="F1387" t="n">
        <v>2</v>
      </c>
      <c r="G1387" t="inlineStr">
        <is>
          <t>Tech A</t>
        </is>
      </c>
      <c r="H1387">
        <f>INDEX(Limits!$B$2:$B$5,MATCH(E1387,Limits!$A$2:$A$5,0))</f>
        <v/>
      </c>
      <c r="I1387">
        <f>INDEX(Limits!$C$2:$C$5,MATCH(E1387,Limits!$A$2:$A$5,0))</f>
        <v/>
      </c>
      <c r="J1387">
        <f>IF(F1387&gt;=I1387,"Action",IF(F1387&gt;=H1387,"Alert","Pass"))</f>
        <v/>
      </c>
      <c r="K1387" s="4">
        <f>DATE(YEAR(B1387),MONTH(B1387),1)</f>
        <v/>
      </c>
    </row>
    <row r="1388">
      <c r="A1388" t="inlineStr">
        <is>
          <t>EM001387</t>
        </is>
      </c>
      <c r="B1388" s="7" t="n">
        <v>46127</v>
      </c>
      <c r="C1388" t="inlineStr">
        <is>
          <t>Gowning</t>
        </is>
      </c>
      <c r="D1388" t="inlineStr">
        <is>
          <t>ISO 8</t>
        </is>
      </c>
      <c r="E1388" t="inlineStr">
        <is>
          <t>Personnel glove</t>
        </is>
      </c>
      <c r="F1388" t="n">
        <v>0</v>
      </c>
      <c r="G1388" t="inlineStr">
        <is>
          <t>Tech C</t>
        </is>
      </c>
      <c r="H1388">
        <f>INDEX(Limits!$B$2:$B$5,MATCH(E1388,Limits!$A$2:$A$5,0))</f>
        <v/>
      </c>
      <c r="I1388">
        <f>INDEX(Limits!$C$2:$C$5,MATCH(E1388,Limits!$A$2:$A$5,0))</f>
        <v/>
      </c>
      <c r="J1388">
        <f>IF(F1388&gt;=I1388,"Action",IF(F1388&gt;=H1388,"Alert","Pass"))</f>
        <v/>
      </c>
      <c r="K1388" s="4">
        <f>DATE(YEAR(B1388),MONTH(B1388),1)</f>
        <v/>
      </c>
    </row>
    <row r="1389">
      <c r="A1389" t="inlineStr">
        <is>
          <t>EM001388</t>
        </is>
      </c>
      <c r="B1389" s="7" t="n">
        <v>46128</v>
      </c>
      <c r="C1389" t="inlineStr">
        <is>
          <t>CR-101</t>
        </is>
      </c>
      <c r="D1389" t="inlineStr">
        <is>
          <t>ISO 7</t>
        </is>
      </c>
      <c r="E1389" t="inlineStr">
        <is>
          <t>Active air</t>
        </is>
      </c>
      <c r="F1389" t="n">
        <v>1</v>
      </c>
      <c r="G1389" t="inlineStr">
        <is>
          <t>Tech B</t>
        </is>
      </c>
      <c r="H1389">
        <f>INDEX(Limits!$B$2:$B$5,MATCH(E1389,Limits!$A$2:$A$5,0))</f>
        <v/>
      </c>
      <c r="I1389">
        <f>INDEX(Limits!$C$2:$C$5,MATCH(E1389,Limits!$A$2:$A$5,0))</f>
        <v/>
      </c>
      <c r="J1389">
        <f>IF(F1389&gt;=I1389,"Action",IF(F1389&gt;=H1389,"Alert","Pass"))</f>
        <v/>
      </c>
      <c r="K1389" s="4">
        <f>DATE(YEAR(B1389),MONTH(B1389),1)</f>
        <v/>
      </c>
    </row>
    <row r="1390">
      <c r="A1390" t="inlineStr">
        <is>
          <t>EM001389</t>
        </is>
      </c>
      <c r="B1390" s="7" t="n">
        <v>46128</v>
      </c>
      <c r="C1390" t="inlineStr">
        <is>
          <t>CR-101</t>
        </is>
      </c>
      <c r="D1390" t="inlineStr">
        <is>
          <t>ISO 7</t>
        </is>
      </c>
      <c r="E1390" t="inlineStr">
        <is>
          <t>Surface contact</t>
        </is>
      </c>
      <c r="F1390" t="n">
        <v>0</v>
      </c>
      <c r="G1390" t="inlineStr">
        <is>
          <t>Tech A</t>
        </is>
      </c>
      <c r="H1390">
        <f>INDEX(Limits!$B$2:$B$5,MATCH(E1390,Limits!$A$2:$A$5,0))</f>
        <v/>
      </c>
      <c r="I1390">
        <f>INDEX(Limits!$C$2:$C$5,MATCH(E1390,Limits!$A$2:$A$5,0))</f>
        <v/>
      </c>
      <c r="J1390">
        <f>IF(F1390&gt;=I1390,"Action",IF(F1390&gt;=H1390,"Alert","Pass"))</f>
        <v/>
      </c>
      <c r="K1390" s="4">
        <f>DATE(YEAR(B1390),MONTH(B1390),1)</f>
        <v/>
      </c>
    </row>
    <row r="1391">
      <c r="A1391" t="inlineStr">
        <is>
          <t>EM001390</t>
        </is>
      </c>
      <c r="B1391" s="7" t="n">
        <v>46128</v>
      </c>
      <c r="C1391" t="inlineStr">
        <is>
          <t>CR-101</t>
        </is>
      </c>
      <c r="D1391" t="inlineStr">
        <is>
          <t>ISO 7</t>
        </is>
      </c>
      <c r="E1391" t="inlineStr">
        <is>
          <t>Compressed air</t>
        </is>
      </c>
      <c r="F1391" t="n">
        <v>0</v>
      </c>
      <c r="G1391" t="inlineStr">
        <is>
          <t>Tech C</t>
        </is>
      </c>
      <c r="H1391">
        <f>INDEX(Limits!$B$2:$B$5,MATCH(E1391,Limits!$A$2:$A$5,0))</f>
        <v/>
      </c>
      <c r="I1391">
        <f>INDEX(Limits!$C$2:$C$5,MATCH(E1391,Limits!$A$2:$A$5,0))</f>
        <v/>
      </c>
      <c r="J1391">
        <f>IF(F1391&gt;=I1391,"Action",IF(F1391&gt;=H1391,"Alert","Pass"))</f>
        <v/>
      </c>
      <c r="K1391" s="4">
        <f>DATE(YEAR(B1391),MONTH(B1391),1)</f>
        <v/>
      </c>
    </row>
    <row r="1392">
      <c r="A1392" t="inlineStr">
        <is>
          <t>EM001391</t>
        </is>
      </c>
      <c r="B1392" s="7" t="n">
        <v>46128</v>
      </c>
      <c r="C1392" t="inlineStr">
        <is>
          <t>CR-101</t>
        </is>
      </c>
      <c r="D1392" t="inlineStr">
        <is>
          <t>ISO 7</t>
        </is>
      </c>
      <c r="E1392" t="inlineStr">
        <is>
          <t>Personnel glove</t>
        </is>
      </c>
      <c r="F1392" t="n">
        <v>0</v>
      </c>
      <c r="G1392" t="inlineStr">
        <is>
          <t>Tech D</t>
        </is>
      </c>
      <c r="H1392">
        <f>INDEX(Limits!$B$2:$B$5,MATCH(E1392,Limits!$A$2:$A$5,0))</f>
        <v/>
      </c>
      <c r="I1392">
        <f>INDEX(Limits!$C$2:$C$5,MATCH(E1392,Limits!$A$2:$A$5,0))</f>
        <v/>
      </c>
      <c r="J1392">
        <f>IF(F1392&gt;=I1392,"Action",IF(F1392&gt;=H1392,"Alert","Pass"))</f>
        <v/>
      </c>
      <c r="K1392" s="4">
        <f>DATE(YEAR(B1392),MONTH(B1392),1)</f>
        <v/>
      </c>
    </row>
    <row r="1393">
      <c r="A1393" t="inlineStr">
        <is>
          <t>EM001392</t>
        </is>
      </c>
      <c r="B1393" s="7" t="n">
        <v>46128</v>
      </c>
      <c r="C1393" t="inlineStr">
        <is>
          <t>CR-102</t>
        </is>
      </c>
      <c r="D1393" t="inlineStr">
        <is>
          <t>ISO 7</t>
        </is>
      </c>
      <c r="E1393" t="inlineStr">
        <is>
          <t>Active air</t>
        </is>
      </c>
      <c r="F1393" t="n">
        <v>1</v>
      </c>
      <c r="G1393" t="inlineStr">
        <is>
          <t>Tech C</t>
        </is>
      </c>
      <c r="H1393">
        <f>INDEX(Limits!$B$2:$B$5,MATCH(E1393,Limits!$A$2:$A$5,0))</f>
        <v/>
      </c>
      <c r="I1393">
        <f>INDEX(Limits!$C$2:$C$5,MATCH(E1393,Limits!$A$2:$A$5,0))</f>
        <v/>
      </c>
      <c r="J1393">
        <f>IF(F1393&gt;=I1393,"Action",IF(F1393&gt;=H1393,"Alert","Pass"))</f>
        <v/>
      </c>
      <c r="K1393" s="4">
        <f>DATE(YEAR(B1393),MONTH(B1393),1)</f>
        <v/>
      </c>
    </row>
    <row r="1394">
      <c r="A1394" t="inlineStr">
        <is>
          <t>EM001393</t>
        </is>
      </c>
      <c r="B1394" s="7" t="n">
        <v>46128</v>
      </c>
      <c r="C1394" t="inlineStr">
        <is>
          <t>CR-102</t>
        </is>
      </c>
      <c r="D1394" t="inlineStr">
        <is>
          <t>ISO 7</t>
        </is>
      </c>
      <c r="E1394" t="inlineStr">
        <is>
          <t>Surface contact</t>
        </is>
      </c>
      <c r="F1394" t="n">
        <v>2</v>
      </c>
      <c r="G1394" t="inlineStr">
        <is>
          <t>Tech C</t>
        </is>
      </c>
      <c r="H1394">
        <f>INDEX(Limits!$B$2:$B$5,MATCH(E1394,Limits!$A$2:$A$5,0))</f>
        <v/>
      </c>
      <c r="I1394">
        <f>INDEX(Limits!$C$2:$C$5,MATCH(E1394,Limits!$A$2:$A$5,0))</f>
        <v/>
      </c>
      <c r="J1394">
        <f>IF(F1394&gt;=I1394,"Action",IF(F1394&gt;=H1394,"Alert","Pass"))</f>
        <v/>
      </c>
      <c r="K1394" s="4">
        <f>DATE(YEAR(B1394),MONTH(B1394),1)</f>
        <v/>
      </c>
    </row>
    <row r="1395">
      <c r="A1395" t="inlineStr">
        <is>
          <t>EM001394</t>
        </is>
      </c>
      <c r="B1395" s="7" t="n">
        <v>46128</v>
      </c>
      <c r="C1395" t="inlineStr">
        <is>
          <t>CR-102</t>
        </is>
      </c>
      <c r="D1395" t="inlineStr">
        <is>
          <t>ISO 7</t>
        </is>
      </c>
      <c r="E1395" t="inlineStr">
        <is>
          <t>Compressed air</t>
        </is>
      </c>
      <c r="F1395" t="n">
        <v>0</v>
      </c>
      <c r="G1395" t="inlineStr">
        <is>
          <t>Tech C</t>
        </is>
      </c>
      <c r="H1395">
        <f>INDEX(Limits!$B$2:$B$5,MATCH(E1395,Limits!$A$2:$A$5,0))</f>
        <v/>
      </c>
      <c r="I1395">
        <f>INDEX(Limits!$C$2:$C$5,MATCH(E1395,Limits!$A$2:$A$5,0))</f>
        <v/>
      </c>
      <c r="J1395">
        <f>IF(F1395&gt;=I1395,"Action",IF(F1395&gt;=H1395,"Alert","Pass"))</f>
        <v/>
      </c>
      <c r="K1395" s="4">
        <f>DATE(YEAR(B1395),MONTH(B1395),1)</f>
        <v/>
      </c>
    </row>
    <row r="1396">
      <c r="A1396" t="inlineStr">
        <is>
          <t>EM001395</t>
        </is>
      </c>
      <c r="B1396" s="7" t="n">
        <v>46128</v>
      </c>
      <c r="C1396" t="inlineStr">
        <is>
          <t>CR-102</t>
        </is>
      </c>
      <c r="D1396" t="inlineStr">
        <is>
          <t>ISO 7</t>
        </is>
      </c>
      <c r="E1396" t="inlineStr">
        <is>
          <t>Personnel glove</t>
        </is>
      </c>
      <c r="F1396" t="n">
        <v>0</v>
      </c>
      <c r="G1396" t="inlineStr">
        <is>
          <t>Tech A</t>
        </is>
      </c>
      <c r="H1396">
        <f>INDEX(Limits!$B$2:$B$5,MATCH(E1396,Limits!$A$2:$A$5,0))</f>
        <v/>
      </c>
      <c r="I1396">
        <f>INDEX(Limits!$C$2:$C$5,MATCH(E1396,Limits!$A$2:$A$5,0))</f>
        <v/>
      </c>
      <c r="J1396">
        <f>IF(F1396&gt;=I1396,"Action",IF(F1396&gt;=H1396,"Alert","Pass"))</f>
        <v/>
      </c>
      <c r="K1396" s="4">
        <f>DATE(YEAR(B1396),MONTH(B1396),1)</f>
        <v/>
      </c>
    </row>
    <row r="1397">
      <c r="A1397" t="inlineStr">
        <is>
          <t>EM001396</t>
        </is>
      </c>
      <c r="B1397" s="7" t="n">
        <v>46128</v>
      </c>
      <c r="C1397" t="inlineStr">
        <is>
          <t>CR-201</t>
        </is>
      </c>
      <c r="D1397" t="inlineStr">
        <is>
          <t>ISO 8</t>
        </is>
      </c>
      <c r="E1397" t="inlineStr">
        <is>
          <t>Active air</t>
        </is>
      </c>
      <c r="F1397" t="n">
        <v>4</v>
      </c>
      <c r="G1397" t="inlineStr">
        <is>
          <t>Tech C</t>
        </is>
      </c>
      <c r="H1397">
        <f>INDEX(Limits!$B$2:$B$5,MATCH(E1397,Limits!$A$2:$A$5,0))</f>
        <v/>
      </c>
      <c r="I1397">
        <f>INDEX(Limits!$C$2:$C$5,MATCH(E1397,Limits!$A$2:$A$5,0))</f>
        <v/>
      </c>
      <c r="J1397">
        <f>IF(F1397&gt;=I1397,"Action",IF(F1397&gt;=H1397,"Alert","Pass"))</f>
        <v/>
      </c>
      <c r="K1397" s="4">
        <f>DATE(YEAR(B1397),MONTH(B1397),1)</f>
        <v/>
      </c>
    </row>
    <row r="1398">
      <c r="A1398" t="inlineStr">
        <is>
          <t>EM001397</t>
        </is>
      </c>
      <c r="B1398" s="7" t="n">
        <v>46128</v>
      </c>
      <c r="C1398" t="inlineStr">
        <is>
          <t>CR-201</t>
        </is>
      </c>
      <c r="D1398" t="inlineStr">
        <is>
          <t>ISO 8</t>
        </is>
      </c>
      <c r="E1398" t="inlineStr">
        <is>
          <t>Surface contact</t>
        </is>
      </c>
      <c r="F1398" t="n">
        <v>1</v>
      </c>
      <c r="G1398" t="inlineStr">
        <is>
          <t>Tech A</t>
        </is>
      </c>
      <c r="H1398">
        <f>INDEX(Limits!$B$2:$B$5,MATCH(E1398,Limits!$A$2:$A$5,0))</f>
        <v/>
      </c>
      <c r="I1398">
        <f>INDEX(Limits!$C$2:$C$5,MATCH(E1398,Limits!$A$2:$A$5,0))</f>
        <v/>
      </c>
      <c r="J1398">
        <f>IF(F1398&gt;=I1398,"Action",IF(F1398&gt;=H1398,"Alert","Pass"))</f>
        <v/>
      </c>
      <c r="K1398" s="4">
        <f>DATE(YEAR(B1398),MONTH(B1398),1)</f>
        <v/>
      </c>
    </row>
    <row r="1399">
      <c r="A1399" t="inlineStr">
        <is>
          <t>EM001398</t>
        </is>
      </c>
      <c r="B1399" s="7" t="n">
        <v>46128</v>
      </c>
      <c r="C1399" t="inlineStr">
        <is>
          <t>CR-201</t>
        </is>
      </c>
      <c r="D1399" t="inlineStr">
        <is>
          <t>ISO 8</t>
        </is>
      </c>
      <c r="E1399" t="inlineStr">
        <is>
          <t>Compressed air</t>
        </is>
      </c>
      <c r="F1399" t="n">
        <v>0</v>
      </c>
      <c r="G1399" t="inlineStr">
        <is>
          <t>Tech A</t>
        </is>
      </c>
      <c r="H1399">
        <f>INDEX(Limits!$B$2:$B$5,MATCH(E1399,Limits!$A$2:$A$5,0))</f>
        <v/>
      </c>
      <c r="I1399">
        <f>INDEX(Limits!$C$2:$C$5,MATCH(E1399,Limits!$A$2:$A$5,0))</f>
        <v/>
      </c>
      <c r="J1399">
        <f>IF(F1399&gt;=I1399,"Action",IF(F1399&gt;=H1399,"Alert","Pass"))</f>
        <v/>
      </c>
      <c r="K1399" s="4">
        <f>DATE(YEAR(B1399),MONTH(B1399),1)</f>
        <v/>
      </c>
    </row>
    <row r="1400">
      <c r="A1400" t="inlineStr">
        <is>
          <t>EM001399</t>
        </is>
      </c>
      <c r="B1400" s="7" t="n">
        <v>46128</v>
      </c>
      <c r="C1400" t="inlineStr">
        <is>
          <t>CR-201</t>
        </is>
      </c>
      <c r="D1400" t="inlineStr">
        <is>
          <t>ISO 8</t>
        </is>
      </c>
      <c r="E1400" t="inlineStr">
        <is>
          <t>Personnel glove</t>
        </is>
      </c>
      <c r="F1400" t="n">
        <v>0</v>
      </c>
      <c r="G1400" t="inlineStr">
        <is>
          <t>Tech A</t>
        </is>
      </c>
      <c r="H1400">
        <f>INDEX(Limits!$B$2:$B$5,MATCH(E1400,Limits!$A$2:$A$5,0))</f>
        <v/>
      </c>
      <c r="I1400">
        <f>INDEX(Limits!$C$2:$C$5,MATCH(E1400,Limits!$A$2:$A$5,0))</f>
        <v/>
      </c>
      <c r="J1400">
        <f>IF(F1400&gt;=I1400,"Action",IF(F1400&gt;=H1400,"Alert","Pass"))</f>
        <v/>
      </c>
      <c r="K1400" s="4">
        <f>DATE(YEAR(B1400),MONTH(B1400),1)</f>
        <v/>
      </c>
    </row>
    <row r="1401">
      <c r="A1401" t="inlineStr">
        <is>
          <t>EM001400</t>
        </is>
      </c>
      <c r="B1401" s="7" t="n">
        <v>46128</v>
      </c>
      <c r="C1401" t="inlineStr">
        <is>
          <t>CR-202</t>
        </is>
      </c>
      <c r="D1401" t="inlineStr">
        <is>
          <t>ISO 8</t>
        </is>
      </c>
      <c r="E1401" t="inlineStr">
        <is>
          <t>Active air</t>
        </is>
      </c>
      <c r="F1401" t="n">
        <v>2</v>
      </c>
      <c r="G1401" t="inlineStr">
        <is>
          <t>Tech C</t>
        </is>
      </c>
      <c r="H1401">
        <f>INDEX(Limits!$B$2:$B$5,MATCH(E1401,Limits!$A$2:$A$5,0))</f>
        <v/>
      </c>
      <c r="I1401">
        <f>INDEX(Limits!$C$2:$C$5,MATCH(E1401,Limits!$A$2:$A$5,0))</f>
        <v/>
      </c>
      <c r="J1401">
        <f>IF(F1401&gt;=I1401,"Action",IF(F1401&gt;=H1401,"Alert","Pass"))</f>
        <v/>
      </c>
      <c r="K1401" s="4">
        <f>DATE(YEAR(B1401),MONTH(B1401),1)</f>
        <v/>
      </c>
    </row>
    <row r="1402">
      <c r="A1402" t="inlineStr">
        <is>
          <t>EM001401</t>
        </is>
      </c>
      <c r="B1402" s="7" t="n">
        <v>46128</v>
      </c>
      <c r="C1402" t="inlineStr">
        <is>
          <t>CR-202</t>
        </is>
      </c>
      <c r="D1402" t="inlineStr">
        <is>
          <t>ISO 8</t>
        </is>
      </c>
      <c r="E1402" t="inlineStr">
        <is>
          <t>Surface contact</t>
        </is>
      </c>
      <c r="F1402" t="n">
        <v>1</v>
      </c>
      <c r="G1402" t="inlineStr">
        <is>
          <t>Tech C</t>
        </is>
      </c>
      <c r="H1402">
        <f>INDEX(Limits!$B$2:$B$5,MATCH(E1402,Limits!$A$2:$A$5,0))</f>
        <v/>
      </c>
      <c r="I1402">
        <f>INDEX(Limits!$C$2:$C$5,MATCH(E1402,Limits!$A$2:$A$5,0))</f>
        <v/>
      </c>
      <c r="J1402">
        <f>IF(F1402&gt;=I1402,"Action",IF(F1402&gt;=H1402,"Alert","Pass"))</f>
        <v/>
      </c>
      <c r="K1402" s="4">
        <f>DATE(YEAR(B1402),MONTH(B1402),1)</f>
        <v/>
      </c>
    </row>
    <row r="1403">
      <c r="A1403" t="inlineStr">
        <is>
          <t>EM001402</t>
        </is>
      </c>
      <c r="B1403" s="7" t="n">
        <v>46128</v>
      </c>
      <c r="C1403" t="inlineStr">
        <is>
          <t>CR-202</t>
        </is>
      </c>
      <c r="D1403" t="inlineStr">
        <is>
          <t>ISO 8</t>
        </is>
      </c>
      <c r="E1403" t="inlineStr">
        <is>
          <t>Compressed air</t>
        </is>
      </c>
      <c r="F1403" t="n">
        <v>0</v>
      </c>
      <c r="G1403" t="inlineStr">
        <is>
          <t>Tech D</t>
        </is>
      </c>
      <c r="H1403">
        <f>INDEX(Limits!$B$2:$B$5,MATCH(E1403,Limits!$A$2:$A$5,0))</f>
        <v/>
      </c>
      <c r="I1403">
        <f>INDEX(Limits!$C$2:$C$5,MATCH(E1403,Limits!$A$2:$A$5,0))</f>
        <v/>
      </c>
      <c r="J1403">
        <f>IF(F1403&gt;=I1403,"Action",IF(F1403&gt;=H1403,"Alert","Pass"))</f>
        <v/>
      </c>
      <c r="K1403" s="4">
        <f>DATE(YEAR(B1403),MONTH(B1403),1)</f>
        <v/>
      </c>
    </row>
    <row r="1404">
      <c r="A1404" t="inlineStr">
        <is>
          <t>EM001403</t>
        </is>
      </c>
      <c r="B1404" s="7" t="n">
        <v>46128</v>
      </c>
      <c r="C1404" t="inlineStr">
        <is>
          <t>CR-202</t>
        </is>
      </c>
      <c r="D1404" t="inlineStr">
        <is>
          <t>ISO 8</t>
        </is>
      </c>
      <c r="E1404" t="inlineStr">
        <is>
          <t>Personnel glove</t>
        </is>
      </c>
      <c r="F1404" t="n">
        <v>0</v>
      </c>
      <c r="G1404" t="inlineStr">
        <is>
          <t>Tech D</t>
        </is>
      </c>
      <c r="H1404">
        <f>INDEX(Limits!$B$2:$B$5,MATCH(E1404,Limits!$A$2:$A$5,0))</f>
        <v/>
      </c>
      <c r="I1404">
        <f>INDEX(Limits!$C$2:$C$5,MATCH(E1404,Limits!$A$2:$A$5,0))</f>
        <v/>
      </c>
      <c r="J1404">
        <f>IF(F1404&gt;=I1404,"Action",IF(F1404&gt;=H1404,"Alert","Pass"))</f>
        <v/>
      </c>
      <c r="K1404" s="4">
        <f>DATE(YEAR(B1404),MONTH(B1404),1)</f>
        <v/>
      </c>
    </row>
    <row r="1405">
      <c r="A1405" t="inlineStr">
        <is>
          <t>EM001404</t>
        </is>
      </c>
      <c r="B1405" s="7" t="n">
        <v>46128</v>
      </c>
      <c r="C1405" t="inlineStr">
        <is>
          <t>Gowning</t>
        </is>
      </c>
      <c r="D1405" t="inlineStr">
        <is>
          <t>ISO 8</t>
        </is>
      </c>
      <c r="E1405" t="inlineStr">
        <is>
          <t>Active air</t>
        </is>
      </c>
      <c r="F1405" t="n">
        <v>0</v>
      </c>
      <c r="G1405" t="inlineStr">
        <is>
          <t>Tech D</t>
        </is>
      </c>
      <c r="H1405">
        <f>INDEX(Limits!$B$2:$B$5,MATCH(E1405,Limits!$A$2:$A$5,0))</f>
        <v/>
      </c>
      <c r="I1405">
        <f>INDEX(Limits!$C$2:$C$5,MATCH(E1405,Limits!$A$2:$A$5,0))</f>
        <v/>
      </c>
      <c r="J1405">
        <f>IF(F1405&gt;=I1405,"Action",IF(F1405&gt;=H1405,"Alert","Pass"))</f>
        <v/>
      </c>
      <c r="K1405" s="4">
        <f>DATE(YEAR(B1405),MONTH(B1405),1)</f>
        <v/>
      </c>
    </row>
    <row r="1406">
      <c r="A1406" t="inlineStr">
        <is>
          <t>EM001405</t>
        </is>
      </c>
      <c r="B1406" s="7" t="n">
        <v>46128</v>
      </c>
      <c r="C1406" t="inlineStr">
        <is>
          <t>Gowning</t>
        </is>
      </c>
      <c r="D1406" t="inlineStr">
        <is>
          <t>ISO 8</t>
        </is>
      </c>
      <c r="E1406" t="inlineStr">
        <is>
          <t>Surface contact</t>
        </is>
      </c>
      <c r="F1406" t="n">
        <v>0</v>
      </c>
      <c r="G1406" t="inlineStr">
        <is>
          <t>Tech D</t>
        </is>
      </c>
      <c r="H1406">
        <f>INDEX(Limits!$B$2:$B$5,MATCH(E1406,Limits!$A$2:$A$5,0))</f>
        <v/>
      </c>
      <c r="I1406">
        <f>INDEX(Limits!$C$2:$C$5,MATCH(E1406,Limits!$A$2:$A$5,0))</f>
        <v/>
      </c>
      <c r="J1406">
        <f>IF(F1406&gt;=I1406,"Action",IF(F1406&gt;=H1406,"Alert","Pass"))</f>
        <v/>
      </c>
      <c r="K1406" s="4">
        <f>DATE(YEAR(B1406),MONTH(B1406),1)</f>
        <v/>
      </c>
    </row>
    <row r="1407">
      <c r="A1407" t="inlineStr">
        <is>
          <t>EM001406</t>
        </is>
      </c>
      <c r="B1407" s="7" t="n">
        <v>46128</v>
      </c>
      <c r="C1407" t="inlineStr">
        <is>
          <t>Gowning</t>
        </is>
      </c>
      <c r="D1407" t="inlineStr">
        <is>
          <t>ISO 8</t>
        </is>
      </c>
      <c r="E1407" t="inlineStr">
        <is>
          <t>Personnel glove</t>
        </is>
      </c>
      <c r="F1407" t="n">
        <v>0</v>
      </c>
      <c r="G1407" t="inlineStr">
        <is>
          <t>Tech A</t>
        </is>
      </c>
      <c r="H1407">
        <f>INDEX(Limits!$B$2:$B$5,MATCH(E1407,Limits!$A$2:$A$5,0))</f>
        <v/>
      </c>
      <c r="I1407">
        <f>INDEX(Limits!$C$2:$C$5,MATCH(E1407,Limits!$A$2:$A$5,0))</f>
        <v/>
      </c>
      <c r="J1407">
        <f>IF(F1407&gt;=I1407,"Action",IF(F1407&gt;=H1407,"Alert","Pass"))</f>
        <v/>
      </c>
      <c r="K1407" s="4">
        <f>DATE(YEAR(B1407),MONTH(B1407),1)</f>
        <v/>
      </c>
    </row>
    <row r="1408">
      <c r="A1408" t="inlineStr">
        <is>
          <t>EM001407</t>
        </is>
      </c>
      <c r="B1408" s="7" t="n">
        <v>46129</v>
      </c>
      <c r="C1408" t="inlineStr">
        <is>
          <t>CR-101</t>
        </is>
      </c>
      <c r="D1408" t="inlineStr">
        <is>
          <t>ISO 7</t>
        </is>
      </c>
      <c r="E1408" t="inlineStr">
        <is>
          <t>Active air</t>
        </is>
      </c>
      <c r="F1408" t="n">
        <v>4</v>
      </c>
      <c r="G1408" t="inlineStr">
        <is>
          <t>Tech B</t>
        </is>
      </c>
      <c r="H1408">
        <f>INDEX(Limits!$B$2:$B$5,MATCH(E1408,Limits!$A$2:$A$5,0))</f>
        <v/>
      </c>
      <c r="I1408">
        <f>INDEX(Limits!$C$2:$C$5,MATCH(E1408,Limits!$A$2:$A$5,0))</f>
        <v/>
      </c>
      <c r="J1408">
        <f>IF(F1408&gt;=I1408,"Action",IF(F1408&gt;=H1408,"Alert","Pass"))</f>
        <v/>
      </c>
      <c r="K1408" s="4">
        <f>DATE(YEAR(B1408),MONTH(B1408),1)</f>
        <v/>
      </c>
    </row>
    <row r="1409">
      <c r="A1409" t="inlineStr">
        <is>
          <t>EM001408</t>
        </is>
      </c>
      <c r="B1409" s="7" t="n">
        <v>46129</v>
      </c>
      <c r="C1409" t="inlineStr">
        <is>
          <t>CR-101</t>
        </is>
      </c>
      <c r="D1409" t="inlineStr">
        <is>
          <t>ISO 7</t>
        </is>
      </c>
      <c r="E1409" t="inlineStr">
        <is>
          <t>Surface contact</t>
        </is>
      </c>
      <c r="F1409" t="n">
        <v>0</v>
      </c>
      <c r="G1409" t="inlineStr">
        <is>
          <t>Tech B</t>
        </is>
      </c>
      <c r="H1409">
        <f>INDEX(Limits!$B$2:$B$5,MATCH(E1409,Limits!$A$2:$A$5,0))</f>
        <v/>
      </c>
      <c r="I1409">
        <f>INDEX(Limits!$C$2:$C$5,MATCH(E1409,Limits!$A$2:$A$5,0))</f>
        <v/>
      </c>
      <c r="J1409">
        <f>IF(F1409&gt;=I1409,"Action",IF(F1409&gt;=H1409,"Alert","Pass"))</f>
        <v/>
      </c>
      <c r="K1409" s="4">
        <f>DATE(YEAR(B1409),MONTH(B1409),1)</f>
        <v/>
      </c>
    </row>
    <row r="1410">
      <c r="A1410" t="inlineStr">
        <is>
          <t>EM001409</t>
        </is>
      </c>
      <c r="B1410" s="7" t="n">
        <v>46129</v>
      </c>
      <c r="C1410" t="inlineStr">
        <is>
          <t>CR-101</t>
        </is>
      </c>
      <c r="D1410" t="inlineStr">
        <is>
          <t>ISO 7</t>
        </is>
      </c>
      <c r="E1410" t="inlineStr">
        <is>
          <t>Compressed air</t>
        </is>
      </c>
      <c r="F1410" t="n">
        <v>0</v>
      </c>
      <c r="G1410" t="inlineStr">
        <is>
          <t>Tech C</t>
        </is>
      </c>
      <c r="H1410">
        <f>INDEX(Limits!$B$2:$B$5,MATCH(E1410,Limits!$A$2:$A$5,0))</f>
        <v/>
      </c>
      <c r="I1410">
        <f>INDEX(Limits!$C$2:$C$5,MATCH(E1410,Limits!$A$2:$A$5,0))</f>
        <v/>
      </c>
      <c r="J1410">
        <f>IF(F1410&gt;=I1410,"Action",IF(F1410&gt;=H1410,"Alert","Pass"))</f>
        <v/>
      </c>
      <c r="K1410" s="4">
        <f>DATE(YEAR(B1410),MONTH(B1410),1)</f>
        <v/>
      </c>
    </row>
    <row r="1411">
      <c r="A1411" t="inlineStr">
        <is>
          <t>EM001410</t>
        </is>
      </c>
      <c r="B1411" s="7" t="n">
        <v>46129</v>
      </c>
      <c r="C1411" t="inlineStr">
        <is>
          <t>CR-101</t>
        </is>
      </c>
      <c r="D1411" t="inlineStr">
        <is>
          <t>ISO 7</t>
        </is>
      </c>
      <c r="E1411" t="inlineStr">
        <is>
          <t>Personnel glove</t>
        </is>
      </c>
      <c r="F1411" t="n">
        <v>0</v>
      </c>
      <c r="G1411" t="inlineStr">
        <is>
          <t>Tech D</t>
        </is>
      </c>
      <c r="H1411">
        <f>INDEX(Limits!$B$2:$B$5,MATCH(E1411,Limits!$A$2:$A$5,0))</f>
        <v/>
      </c>
      <c r="I1411">
        <f>INDEX(Limits!$C$2:$C$5,MATCH(E1411,Limits!$A$2:$A$5,0))</f>
        <v/>
      </c>
      <c r="J1411">
        <f>IF(F1411&gt;=I1411,"Action",IF(F1411&gt;=H1411,"Alert","Pass"))</f>
        <v/>
      </c>
      <c r="K1411" s="4">
        <f>DATE(YEAR(B1411),MONTH(B1411),1)</f>
        <v/>
      </c>
    </row>
    <row r="1412">
      <c r="A1412" t="inlineStr">
        <is>
          <t>EM001411</t>
        </is>
      </c>
      <c r="B1412" s="7" t="n">
        <v>46129</v>
      </c>
      <c r="C1412" t="inlineStr">
        <is>
          <t>CR-102</t>
        </is>
      </c>
      <c r="D1412" t="inlineStr">
        <is>
          <t>ISO 7</t>
        </is>
      </c>
      <c r="E1412" t="inlineStr">
        <is>
          <t>Active air</t>
        </is>
      </c>
      <c r="F1412" t="n">
        <v>1</v>
      </c>
      <c r="G1412" t="inlineStr">
        <is>
          <t>Tech D</t>
        </is>
      </c>
      <c r="H1412">
        <f>INDEX(Limits!$B$2:$B$5,MATCH(E1412,Limits!$A$2:$A$5,0))</f>
        <v/>
      </c>
      <c r="I1412">
        <f>INDEX(Limits!$C$2:$C$5,MATCH(E1412,Limits!$A$2:$A$5,0))</f>
        <v/>
      </c>
      <c r="J1412">
        <f>IF(F1412&gt;=I1412,"Action",IF(F1412&gt;=H1412,"Alert","Pass"))</f>
        <v/>
      </c>
      <c r="K1412" s="4">
        <f>DATE(YEAR(B1412),MONTH(B1412),1)</f>
        <v/>
      </c>
    </row>
    <row r="1413">
      <c r="A1413" t="inlineStr">
        <is>
          <t>EM001412</t>
        </is>
      </c>
      <c r="B1413" s="7" t="n">
        <v>46129</v>
      </c>
      <c r="C1413" t="inlineStr">
        <is>
          <t>CR-102</t>
        </is>
      </c>
      <c r="D1413" t="inlineStr">
        <is>
          <t>ISO 7</t>
        </is>
      </c>
      <c r="E1413" t="inlineStr">
        <is>
          <t>Surface contact</t>
        </is>
      </c>
      <c r="F1413" t="n">
        <v>0</v>
      </c>
      <c r="G1413" t="inlineStr">
        <is>
          <t>Tech C</t>
        </is>
      </c>
      <c r="H1413">
        <f>INDEX(Limits!$B$2:$B$5,MATCH(E1413,Limits!$A$2:$A$5,0))</f>
        <v/>
      </c>
      <c r="I1413">
        <f>INDEX(Limits!$C$2:$C$5,MATCH(E1413,Limits!$A$2:$A$5,0))</f>
        <v/>
      </c>
      <c r="J1413">
        <f>IF(F1413&gt;=I1413,"Action",IF(F1413&gt;=H1413,"Alert","Pass"))</f>
        <v/>
      </c>
      <c r="K1413" s="4">
        <f>DATE(YEAR(B1413),MONTH(B1413),1)</f>
        <v/>
      </c>
    </row>
    <row r="1414">
      <c r="A1414" t="inlineStr">
        <is>
          <t>EM001413</t>
        </is>
      </c>
      <c r="B1414" s="7" t="n">
        <v>46129</v>
      </c>
      <c r="C1414" t="inlineStr">
        <is>
          <t>CR-102</t>
        </is>
      </c>
      <c r="D1414" t="inlineStr">
        <is>
          <t>ISO 7</t>
        </is>
      </c>
      <c r="E1414" t="inlineStr">
        <is>
          <t>Compressed air</t>
        </is>
      </c>
      <c r="F1414" t="n">
        <v>0</v>
      </c>
      <c r="G1414" t="inlineStr">
        <is>
          <t>Tech D</t>
        </is>
      </c>
      <c r="H1414">
        <f>INDEX(Limits!$B$2:$B$5,MATCH(E1414,Limits!$A$2:$A$5,0))</f>
        <v/>
      </c>
      <c r="I1414">
        <f>INDEX(Limits!$C$2:$C$5,MATCH(E1414,Limits!$A$2:$A$5,0))</f>
        <v/>
      </c>
      <c r="J1414">
        <f>IF(F1414&gt;=I1414,"Action",IF(F1414&gt;=H1414,"Alert","Pass"))</f>
        <v/>
      </c>
      <c r="K1414" s="4">
        <f>DATE(YEAR(B1414),MONTH(B1414),1)</f>
        <v/>
      </c>
    </row>
    <row r="1415">
      <c r="A1415" t="inlineStr">
        <is>
          <t>EM001414</t>
        </is>
      </c>
      <c r="B1415" s="7" t="n">
        <v>46129</v>
      </c>
      <c r="C1415" t="inlineStr">
        <is>
          <t>CR-102</t>
        </is>
      </c>
      <c r="D1415" t="inlineStr">
        <is>
          <t>ISO 7</t>
        </is>
      </c>
      <c r="E1415" t="inlineStr">
        <is>
          <t>Personnel glove</t>
        </is>
      </c>
      <c r="F1415" t="n">
        <v>0</v>
      </c>
      <c r="G1415" t="inlineStr">
        <is>
          <t>Tech D</t>
        </is>
      </c>
      <c r="H1415">
        <f>INDEX(Limits!$B$2:$B$5,MATCH(E1415,Limits!$A$2:$A$5,0))</f>
        <v/>
      </c>
      <c r="I1415">
        <f>INDEX(Limits!$C$2:$C$5,MATCH(E1415,Limits!$A$2:$A$5,0))</f>
        <v/>
      </c>
      <c r="J1415">
        <f>IF(F1415&gt;=I1415,"Action",IF(F1415&gt;=H1415,"Alert","Pass"))</f>
        <v/>
      </c>
      <c r="K1415" s="4">
        <f>DATE(YEAR(B1415),MONTH(B1415),1)</f>
        <v/>
      </c>
    </row>
    <row r="1416">
      <c r="A1416" t="inlineStr">
        <is>
          <t>EM001415</t>
        </is>
      </c>
      <c r="B1416" s="7" t="n">
        <v>46129</v>
      </c>
      <c r="C1416" t="inlineStr">
        <is>
          <t>CR-201</t>
        </is>
      </c>
      <c r="D1416" t="inlineStr">
        <is>
          <t>ISO 8</t>
        </is>
      </c>
      <c r="E1416" t="inlineStr">
        <is>
          <t>Active air</t>
        </is>
      </c>
      <c r="F1416" t="n">
        <v>2</v>
      </c>
      <c r="G1416" t="inlineStr">
        <is>
          <t>Tech B</t>
        </is>
      </c>
      <c r="H1416">
        <f>INDEX(Limits!$B$2:$B$5,MATCH(E1416,Limits!$A$2:$A$5,0))</f>
        <v/>
      </c>
      <c r="I1416">
        <f>INDEX(Limits!$C$2:$C$5,MATCH(E1416,Limits!$A$2:$A$5,0))</f>
        <v/>
      </c>
      <c r="J1416">
        <f>IF(F1416&gt;=I1416,"Action",IF(F1416&gt;=H1416,"Alert","Pass"))</f>
        <v/>
      </c>
      <c r="K1416" s="4">
        <f>DATE(YEAR(B1416),MONTH(B1416),1)</f>
        <v/>
      </c>
    </row>
    <row r="1417">
      <c r="A1417" t="inlineStr">
        <is>
          <t>EM001416</t>
        </is>
      </c>
      <c r="B1417" s="7" t="n">
        <v>46129</v>
      </c>
      <c r="C1417" t="inlineStr">
        <is>
          <t>CR-201</t>
        </is>
      </c>
      <c r="D1417" t="inlineStr">
        <is>
          <t>ISO 8</t>
        </is>
      </c>
      <c r="E1417" t="inlineStr">
        <is>
          <t>Surface contact</t>
        </is>
      </c>
      <c r="F1417" t="n">
        <v>1</v>
      </c>
      <c r="G1417" t="inlineStr">
        <is>
          <t>Tech D</t>
        </is>
      </c>
      <c r="H1417">
        <f>INDEX(Limits!$B$2:$B$5,MATCH(E1417,Limits!$A$2:$A$5,0))</f>
        <v/>
      </c>
      <c r="I1417">
        <f>INDEX(Limits!$C$2:$C$5,MATCH(E1417,Limits!$A$2:$A$5,0))</f>
        <v/>
      </c>
      <c r="J1417">
        <f>IF(F1417&gt;=I1417,"Action",IF(F1417&gt;=H1417,"Alert","Pass"))</f>
        <v/>
      </c>
      <c r="K1417" s="4">
        <f>DATE(YEAR(B1417),MONTH(B1417),1)</f>
        <v/>
      </c>
    </row>
    <row r="1418">
      <c r="A1418" t="inlineStr">
        <is>
          <t>EM001417</t>
        </is>
      </c>
      <c r="B1418" s="7" t="n">
        <v>46129</v>
      </c>
      <c r="C1418" t="inlineStr">
        <is>
          <t>CR-201</t>
        </is>
      </c>
      <c r="D1418" t="inlineStr">
        <is>
          <t>ISO 8</t>
        </is>
      </c>
      <c r="E1418" t="inlineStr">
        <is>
          <t>Compressed air</t>
        </is>
      </c>
      <c r="F1418" t="n">
        <v>0</v>
      </c>
      <c r="G1418" t="inlineStr">
        <is>
          <t>Tech B</t>
        </is>
      </c>
      <c r="H1418">
        <f>INDEX(Limits!$B$2:$B$5,MATCH(E1418,Limits!$A$2:$A$5,0))</f>
        <v/>
      </c>
      <c r="I1418">
        <f>INDEX(Limits!$C$2:$C$5,MATCH(E1418,Limits!$A$2:$A$5,0))</f>
        <v/>
      </c>
      <c r="J1418">
        <f>IF(F1418&gt;=I1418,"Action",IF(F1418&gt;=H1418,"Alert","Pass"))</f>
        <v/>
      </c>
      <c r="K1418" s="4">
        <f>DATE(YEAR(B1418),MONTH(B1418),1)</f>
        <v/>
      </c>
    </row>
    <row r="1419">
      <c r="A1419" t="inlineStr">
        <is>
          <t>EM001418</t>
        </is>
      </c>
      <c r="B1419" s="7" t="n">
        <v>46129</v>
      </c>
      <c r="C1419" t="inlineStr">
        <is>
          <t>CR-201</t>
        </is>
      </c>
      <c r="D1419" t="inlineStr">
        <is>
          <t>ISO 8</t>
        </is>
      </c>
      <c r="E1419" t="inlineStr">
        <is>
          <t>Personnel glove</t>
        </is>
      </c>
      <c r="F1419" t="n">
        <v>0</v>
      </c>
      <c r="G1419" t="inlineStr">
        <is>
          <t>Tech B</t>
        </is>
      </c>
      <c r="H1419">
        <f>INDEX(Limits!$B$2:$B$5,MATCH(E1419,Limits!$A$2:$A$5,0))</f>
        <v/>
      </c>
      <c r="I1419">
        <f>INDEX(Limits!$C$2:$C$5,MATCH(E1419,Limits!$A$2:$A$5,0))</f>
        <v/>
      </c>
      <c r="J1419">
        <f>IF(F1419&gt;=I1419,"Action",IF(F1419&gt;=H1419,"Alert","Pass"))</f>
        <v/>
      </c>
      <c r="K1419" s="4">
        <f>DATE(YEAR(B1419),MONTH(B1419),1)</f>
        <v/>
      </c>
    </row>
    <row r="1420">
      <c r="A1420" t="inlineStr">
        <is>
          <t>EM001419</t>
        </is>
      </c>
      <c r="B1420" s="7" t="n">
        <v>46129</v>
      </c>
      <c r="C1420" t="inlineStr">
        <is>
          <t>CR-202</t>
        </is>
      </c>
      <c r="D1420" t="inlineStr">
        <is>
          <t>ISO 8</t>
        </is>
      </c>
      <c r="E1420" t="inlineStr">
        <is>
          <t>Active air</t>
        </is>
      </c>
      <c r="F1420" t="n">
        <v>3</v>
      </c>
      <c r="G1420" t="inlineStr">
        <is>
          <t>Tech A</t>
        </is>
      </c>
      <c r="H1420">
        <f>INDEX(Limits!$B$2:$B$5,MATCH(E1420,Limits!$A$2:$A$5,0))</f>
        <v/>
      </c>
      <c r="I1420">
        <f>INDEX(Limits!$C$2:$C$5,MATCH(E1420,Limits!$A$2:$A$5,0))</f>
        <v/>
      </c>
      <c r="J1420">
        <f>IF(F1420&gt;=I1420,"Action",IF(F1420&gt;=H1420,"Alert","Pass"))</f>
        <v/>
      </c>
      <c r="K1420" s="4">
        <f>DATE(YEAR(B1420),MONTH(B1420),1)</f>
        <v/>
      </c>
    </row>
    <row r="1421">
      <c r="A1421" t="inlineStr">
        <is>
          <t>EM001420</t>
        </is>
      </c>
      <c r="B1421" s="7" t="n">
        <v>46129</v>
      </c>
      <c r="C1421" t="inlineStr">
        <is>
          <t>CR-202</t>
        </is>
      </c>
      <c r="D1421" t="inlineStr">
        <is>
          <t>ISO 8</t>
        </is>
      </c>
      <c r="E1421" t="inlineStr">
        <is>
          <t>Surface contact</t>
        </is>
      </c>
      <c r="F1421" t="n">
        <v>1</v>
      </c>
      <c r="G1421" t="inlineStr">
        <is>
          <t>Tech A</t>
        </is>
      </c>
      <c r="H1421">
        <f>INDEX(Limits!$B$2:$B$5,MATCH(E1421,Limits!$A$2:$A$5,0))</f>
        <v/>
      </c>
      <c r="I1421">
        <f>INDEX(Limits!$C$2:$C$5,MATCH(E1421,Limits!$A$2:$A$5,0))</f>
        <v/>
      </c>
      <c r="J1421">
        <f>IF(F1421&gt;=I1421,"Action",IF(F1421&gt;=H1421,"Alert","Pass"))</f>
        <v/>
      </c>
      <c r="K1421" s="4">
        <f>DATE(YEAR(B1421),MONTH(B1421),1)</f>
        <v/>
      </c>
    </row>
    <row r="1422">
      <c r="A1422" t="inlineStr">
        <is>
          <t>EM001421</t>
        </is>
      </c>
      <c r="B1422" s="7" t="n">
        <v>46129</v>
      </c>
      <c r="C1422" t="inlineStr">
        <is>
          <t>CR-202</t>
        </is>
      </c>
      <c r="D1422" t="inlineStr">
        <is>
          <t>ISO 8</t>
        </is>
      </c>
      <c r="E1422" t="inlineStr">
        <is>
          <t>Compressed air</t>
        </is>
      </c>
      <c r="F1422" t="n">
        <v>0</v>
      </c>
      <c r="G1422" t="inlineStr">
        <is>
          <t>Tech D</t>
        </is>
      </c>
      <c r="H1422">
        <f>INDEX(Limits!$B$2:$B$5,MATCH(E1422,Limits!$A$2:$A$5,0))</f>
        <v/>
      </c>
      <c r="I1422">
        <f>INDEX(Limits!$C$2:$C$5,MATCH(E1422,Limits!$A$2:$A$5,0))</f>
        <v/>
      </c>
      <c r="J1422">
        <f>IF(F1422&gt;=I1422,"Action",IF(F1422&gt;=H1422,"Alert","Pass"))</f>
        <v/>
      </c>
      <c r="K1422" s="4">
        <f>DATE(YEAR(B1422),MONTH(B1422),1)</f>
        <v/>
      </c>
    </row>
    <row r="1423">
      <c r="A1423" t="inlineStr">
        <is>
          <t>EM001422</t>
        </is>
      </c>
      <c r="B1423" s="7" t="n">
        <v>46129</v>
      </c>
      <c r="C1423" t="inlineStr">
        <is>
          <t>CR-202</t>
        </is>
      </c>
      <c r="D1423" t="inlineStr">
        <is>
          <t>ISO 8</t>
        </is>
      </c>
      <c r="E1423" t="inlineStr">
        <is>
          <t>Personnel glove</t>
        </is>
      </c>
      <c r="F1423" t="n">
        <v>0</v>
      </c>
      <c r="G1423" t="inlineStr">
        <is>
          <t>Tech A</t>
        </is>
      </c>
      <c r="H1423">
        <f>INDEX(Limits!$B$2:$B$5,MATCH(E1423,Limits!$A$2:$A$5,0))</f>
        <v/>
      </c>
      <c r="I1423">
        <f>INDEX(Limits!$C$2:$C$5,MATCH(E1423,Limits!$A$2:$A$5,0))</f>
        <v/>
      </c>
      <c r="J1423">
        <f>IF(F1423&gt;=I1423,"Action",IF(F1423&gt;=H1423,"Alert","Pass"))</f>
        <v/>
      </c>
      <c r="K1423" s="4">
        <f>DATE(YEAR(B1423),MONTH(B1423),1)</f>
        <v/>
      </c>
    </row>
    <row r="1424">
      <c r="A1424" t="inlineStr">
        <is>
          <t>EM001423</t>
        </is>
      </c>
      <c r="B1424" s="7" t="n">
        <v>46129</v>
      </c>
      <c r="C1424" t="inlineStr">
        <is>
          <t>Gowning</t>
        </is>
      </c>
      <c r="D1424" t="inlineStr">
        <is>
          <t>ISO 8</t>
        </is>
      </c>
      <c r="E1424" t="inlineStr">
        <is>
          <t>Active air</t>
        </is>
      </c>
      <c r="F1424" t="n">
        <v>1</v>
      </c>
      <c r="G1424" t="inlineStr">
        <is>
          <t>Tech B</t>
        </is>
      </c>
      <c r="H1424">
        <f>INDEX(Limits!$B$2:$B$5,MATCH(E1424,Limits!$A$2:$A$5,0))</f>
        <v/>
      </c>
      <c r="I1424">
        <f>INDEX(Limits!$C$2:$C$5,MATCH(E1424,Limits!$A$2:$A$5,0))</f>
        <v/>
      </c>
      <c r="J1424">
        <f>IF(F1424&gt;=I1424,"Action",IF(F1424&gt;=H1424,"Alert","Pass"))</f>
        <v/>
      </c>
      <c r="K1424" s="4">
        <f>DATE(YEAR(B1424),MONTH(B1424),1)</f>
        <v/>
      </c>
    </row>
    <row r="1425">
      <c r="A1425" t="inlineStr">
        <is>
          <t>EM001424</t>
        </is>
      </c>
      <c r="B1425" s="7" t="n">
        <v>46129</v>
      </c>
      <c r="C1425" t="inlineStr">
        <is>
          <t>Gowning</t>
        </is>
      </c>
      <c r="D1425" t="inlineStr">
        <is>
          <t>ISO 8</t>
        </is>
      </c>
      <c r="E1425" t="inlineStr">
        <is>
          <t>Surface contact</t>
        </is>
      </c>
      <c r="F1425" t="n">
        <v>0</v>
      </c>
      <c r="G1425" t="inlineStr">
        <is>
          <t>Tech A</t>
        </is>
      </c>
      <c r="H1425">
        <f>INDEX(Limits!$B$2:$B$5,MATCH(E1425,Limits!$A$2:$A$5,0))</f>
        <v/>
      </c>
      <c r="I1425">
        <f>INDEX(Limits!$C$2:$C$5,MATCH(E1425,Limits!$A$2:$A$5,0))</f>
        <v/>
      </c>
      <c r="J1425">
        <f>IF(F1425&gt;=I1425,"Action",IF(F1425&gt;=H1425,"Alert","Pass"))</f>
        <v/>
      </c>
      <c r="K1425" s="4">
        <f>DATE(YEAR(B1425),MONTH(B1425),1)</f>
        <v/>
      </c>
    </row>
    <row r="1426">
      <c r="A1426" t="inlineStr">
        <is>
          <t>EM001425</t>
        </is>
      </c>
      <c r="B1426" s="7" t="n">
        <v>46129</v>
      </c>
      <c r="C1426" t="inlineStr">
        <is>
          <t>Gowning</t>
        </is>
      </c>
      <c r="D1426" t="inlineStr">
        <is>
          <t>ISO 8</t>
        </is>
      </c>
      <c r="E1426" t="inlineStr">
        <is>
          <t>Personnel glove</t>
        </is>
      </c>
      <c r="F1426" t="n">
        <v>0</v>
      </c>
      <c r="G1426" t="inlineStr">
        <is>
          <t>Tech C</t>
        </is>
      </c>
      <c r="H1426">
        <f>INDEX(Limits!$B$2:$B$5,MATCH(E1426,Limits!$A$2:$A$5,0))</f>
        <v/>
      </c>
      <c r="I1426">
        <f>INDEX(Limits!$C$2:$C$5,MATCH(E1426,Limits!$A$2:$A$5,0))</f>
        <v/>
      </c>
      <c r="J1426">
        <f>IF(F1426&gt;=I1426,"Action",IF(F1426&gt;=H1426,"Alert","Pass"))</f>
        <v/>
      </c>
      <c r="K1426" s="4">
        <f>DATE(YEAR(B1426),MONTH(B1426),1)</f>
        <v/>
      </c>
    </row>
    <row r="1427">
      <c r="A1427" t="inlineStr">
        <is>
          <t>EM001426</t>
        </is>
      </c>
      <c r="B1427" s="7" t="n">
        <v>46132</v>
      </c>
      <c r="C1427" t="inlineStr">
        <is>
          <t>CR-101</t>
        </is>
      </c>
      <c r="D1427" t="inlineStr">
        <is>
          <t>ISO 7</t>
        </is>
      </c>
      <c r="E1427" t="inlineStr">
        <is>
          <t>Active air</t>
        </is>
      </c>
      <c r="F1427" t="n">
        <v>0</v>
      </c>
      <c r="G1427" t="inlineStr">
        <is>
          <t>Tech C</t>
        </is>
      </c>
      <c r="H1427">
        <f>INDEX(Limits!$B$2:$B$5,MATCH(E1427,Limits!$A$2:$A$5,0))</f>
        <v/>
      </c>
      <c r="I1427">
        <f>INDEX(Limits!$C$2:$C$5,MATCH(E1427,Limits!$A$2:$A$5,0))</f>
        <v/>
      </c>
      <c r="J1427">
        <f>IF(F1427&gt;=I1427,"Action",IF(F1427&gt;=H1427,"Alert","Pass"))</f>
        <v/>
      </c>
      <c r="K1427" s="4">
        <f>DATE(YEAR(B1427),MONTH(B1427),1)</f>
        <v/>
      </c>
    </row>
    <row r="1428">
      <c r="A1428" t="inlineStr">
        <is>
          <t>EM001427</t>
        </is>
      </c>
      <c r="B1428" s="7" t="n">
        <v>46132</v>
      </c>
      <c r="C1428" t="inlineStr">
        <is>
          <t>CR-101</t>
        </is>
      </c>
      <c r="D1428" t="inlineStr">
        <is>
          <t>ISO 7</t>
        </is>
      </c>
      <c r="E1428" t="inlineStr">
        <is>
          <t>Surface contact</t>
        </is>
      </c>
      <c r="F1428" t="n">
        <v>0</v>
      </c>
      <c r="G1428" t="inlineStr">
        <is>
          <t>Tech D</t>
        </is>
      </c>
      <c r="H1428">
        <f>INDEX(Limits!$B$2:$B$5,MATCH(E1428,Limits!$A$2:$A$5,0))</f>
        <v/>
      </c>
      <c r="I1428">
        <f>INDEX(Limits!$C$2:$C$5,MATCH(E1428,Limits!$A$2:$A$5,0))</f>
        <v/>
      </c>
      <c r="J1428">
        <f>IF(F1428&gt;=I1428,"Action",IF(F1428&gt;=H1428,"Alert","Pass"))</f>
        <v/>
      </c>
      <c r="K1428" s="4">
        <f>DATE(YEAR(B1428),MONTH(B1428),1)</f>
        <v/>
      </c>
    </row>
    <row r="1429">
      <c r="A1429" t="inlineStr">
        <is>
          <t>EM001428</t>
        </is>
      </c>
      <c r="B1429" s="7" t="n">
        <v>46132</v>
      </c>
      <c r="C1429" t="inlineStr">
        <is>
          <t>CR-101</t>
        </is>
      </c>
      <c r="D1429" t="inlineStr">
        <is>
          <t>ISO 7</t>
        </is>
      </c>
      <c r="E1429" t="inlineStr">
        <is>
          <t>Compressed air</t>
        </is>
      </c>
      <c r="F1429" t="n">
        <v>0</v>
      </c>
      <c r="G1429" t="inlineStr">
        <is>
          <t>Tech B</t>
        </is>
      </c>
      <c r="H1429">
        <f>INDEX(Limits!$B$2:$B$5,MATCH(E1429,Limits!$A$2:$A$5,0))</f>
        <v/>
      </c>
      <c r="I1429">
        <f>INDEX(Limits!$C$2:$C$5,MATCH(E1429,Limits!$A$2:$A$5,0))</f>
        <v/>
      </c>
      <c r="J1429">
        <f>IF(F1429&gt;=I1429,"Action",IF(F1429&gt;=H1429,"Alert","Pass"))</f>
        <v/>
      </c>
      <c r="K1429" s="4">
        <f>DATE(YEAR(B1429),MONTH(B1429),1)</f>
        <v/>
      </c>
    </row>
    <row r="1430">
      <c r="A1430" t="inlineStr">
        <is>
          <t>EM001429</t>
        </is>
      </c>
      <c r="B1430" s="7" t="n">
        <v>46132</v>
      </c>
      <c r="C1430" t="inlineStr">
        <is>
          <t>CR-101</t>
        </is>
      </c>
      <c r="D1430" t="inlineStr">
        <is>
          <t>ISO 7</t>
        </is>
      </c>
      <c r="E1430" t="inlineStr">
        <is>
          <t>Personnel glove</t>
        </is>
      </c>
      <c r="F1430" t="n">
        <v>0</v>
      </c>
      <c r="G1430" t="inlineStr">
        <is>
          <t>Tech B</t>
        </is>
      </c>
      <c r="H1430">
        <f>INDEX(Limits!$B$2:$B$5,MATCH(E1430,Limits!$A$2:$A$5,0))</f>
        <v/>
      </c>
      <c r="I1430">
        <f>INDEX(Limits!$C$2:$C$5,MATCH(E1430,Limits!$A$2:$A$5,0))</f>
        <v/>
      </c>
      <c r="J1430">
        <f>IF(F1430&gt;=I1430,"Action",IF(F1430&gt;=H1430,"Alert","Pass"))</f>
        <v/>
      </c>
      <c r="K1430" s="4">
        <f>DATE(YEAR(B1430),MONTH(B1430),1)</f>
        <v/>
      </c>
    </row>
    <row r="1431">
      <c r="A1431" t="inlineStr">
        <is>
          <t>EM001430</t>
        </is>
      </c>
      <c r="B1431" s="7" t="n">
        <v>46132</v>
      </c>
      <c r="C1431" t="inlineStr">
        <is>
          <t>CR-102</t>
        </is>
      </c>
      <c r="D1431" t="inlineStr">
        <is>
          <t>ISO 7</t>
        </is>
      </c>
      <c r="E1431" t="inlineStr">
        <is>
          <t>Active air</t>
        </is>
      </c>
      <c r="F1431" t="n">
        <v>2</v>
      </c>
      <c r="G1431" t="inlineStr">
        <is>
          <t>Tech C</t>
        </is>
      </c>
      <c r="H1431">
        <f>INDEX(Limits!$B$2:$B$5,MATCH(E1431,Limits!$A$2:$A$5,0))</f>
        <v/>
      </c>
      <c r="I1431">
        <f>INDEX(Limits!$C$2:$C$5,MATCH(E1431,Limits!$A$2:$A$5,0))</f>
        <v/>
      </c>
      <c r="J1431">
        <f>IF(F1431&gt;=I1431,"Action",IF(F1431&gt;=H1431,"Alert","Pass"))</f>
        <v/>
      </c>
      <c r="K1431" s="4">
        <f>DATE(YEAR(B1431),MONTH(B1431),1)</f>
        <v/>
      </c>
    </row>
    <row r="1432">
      <c r="A1432" t="inlineStr">
        <is>
          <t>EM001431</t>
        </is>
      </c>
      <c r="B1432" s="7" t="n">
        <v>46132</v>
      </c>
      <c r="C1432" t="inlineStr">
        <is>
          <t>CR-102</t>
        </is>
      </c>
      <c r="D1432" t="inlineStr">
        <is>
          <t>ISO 7</t>
        </is>
      </c>
      <c r="E1432" t="inlineStr">
        <is>
          <t>Surface contact</t>
        </is>
      </c>
      <c r="F1432" t="n">
        <v>1</v>
      </c>
      <c r="G1432" t="inlineStr">
        <is>
          <t>Tech C</t>
        </is>
      </c>
      <c r="H1432">
        <f>INDEX(Limits!$B$2:$B$5,MATCH(E1432,Limits!$A$2:$A$5,0))</f>
        <v/>
      </c>
      <c r="I1432">
        <f>INDEX(Limits!$C$2:$C$5,MATCH(E1432,Limits!$A$2:$A$5,0))</f>
        <v/>
      </c>
      <c r="J1432">
        <f>IF(F1432&gt;=I1432,"Action",IF(F1432&gt;=H1432,"Alert","Pass"))</f>
        <v/>
      </c>
      <c r="K1432" s="4">
        <f>DATE(YEAR(B1432),MONTH(B1432),1)</f>
        <v/>
      </c>
    </row>
    <row r="1433">
      <c r="A1433" t="inlineStr">
        <is>
          <t>EM001432</t>
        </is>
      </c>
      <c r="B1433" s="7" t="n">
        <v>46132</v>
      </c>
      <c r="C1433" t="inlineStr">
        <is>
          <t>CR-102</t>
        </is>
      </c>
      <c r="D1433" t="inlineStr">
        <is>
          <t>ISO 7</t>
        </is>
      </c>
      <c r="E1433" t="inlineStr">
        <is>
          <t>Compressed air</t>
        </is>
      </c>
      <c r="F1433" t="n">
        <v>0</v>
      </c>
      <c r="G1433" t="inlineStr">
        <is>
          <t>Tech C</t>
        </is>
      </c>
      <c r="H1433">
        <f>INDEX(Limits!$B$2:$B$5,MATCH(E1433,Limits!$A$2:$A$5,0))</f>
        <v/>
      </c>
      <c r="I1433">
        <f>INDEX(Limits!$C$2:$C$5,MATCH(E1433,Limits!$A$2:$A$5,0))</f>
        <v/>
      </c>
      <c r="J1433">
        <f>IF(F1433&gt;=I1433,"Action",IF(F1433&gt;=H1433,"Alert","Pass"))</f>
        <v/>
      </c>
      <c r="K1433" s="4">
        <f>DATE(YEAR(B1433),MONTH(B1433),1)</f>
        <v/>
      </c>
    </row>
    <row r="1434">
      <c r="A1434" t="inlineStr">
        <is>
          <t>EM001433</t>
        </is>
      </c>
      <c r="B1434" s="7" t="n">
        <v>46132</v>
      </c>
      <c r="C1434" t="inlineStr">
        <is>
          <t>CR-102</t>
        </is>
      </c>
      <c r="D1434" t="inlineStr">
        <is>
          <t>ISO 7</t>
        </is>
      </c>
      <c r="E1434" t="inlineStr">
        <is>
          <t>Personnel glove</t>
        </is>
      </c>
      <c r="F1434" t="n">
        <v>1</v>
      </c>
      <c r="G1434" t="inlineStr">
        <is>
          <t>Tech A</t>
        </is>
      </c>
      <c r="H1434">
        <f>INDEX(Limits!$B$2:$B$5,MATCH(E1434,Limits!$A$2:$A$5,0))</f>
        <v/>
      </c>
      <c r="I1434">
        <f>INDEX(Limits!$C$2:$C$5,MATCH(E1434,Limits!$A$2:$A$5,0))</f>
        <v/>
      </c>
      <c r="J1434">
        <f>IF(F1434&gt;=I1434,"Action",IF(F1434&gt;=H1434,"Alert","Pass"))</f>
        <v/>
      </c>
      <c r="K1434" s="4">
        <f>DATE(YEAR(B1434),MONTH(B1434),1)</f>
        <v/>
      </c>
    </row>
    <row r="1435">
      <c r="A1435" t="inlineStr">
        <is>
          <t>EM001434</t>
        </is>
      </c>
      <c r="B1435" s="7" t="n">
        <v>46132</v>
      </c>
      <c r="C1435" t="inlineStr">
        <is>
          <t>CR-201</t>
        </is>
      </c>
      <c r="D1435" t="inlineStr">
        <is>
          <t>ISO 8</t>
        </is>
      </c>
      <c r="E1435" t="inlineStr">
        <is>
          <t>Active air</t>
        </is>
      </c>
      <c r="F1435" t="n">
        <v>1</v>
      </c>
      <c r="G1435" t="inlineStr">
        <is>
          <t>Tech D</t>
        </is>
      </c>
      <c r="H1435">
        <f>INDEX(Limits!$B$2:$B$5,MATCH(E1435,Limits!$A$2:$A$5,0))</f>
        <v/>
      </c>
      <c r="I1435">
        <f>INDEX(Limits!$C$2:$C$5,MATCH(E1435,Limits!$A$2:$A$5,0))</f>
        <v/>
      </c>
      <c r="J1435">
        <f>IF(F1435&gt;=I1435,"Action",IF(F1435&gt;=H1435,"Alert","Pass"))</f>
        <v/>
      </c>
      <c r="K1435" s="4">
        <f>DATE(YEAR(B1435),MONTH(B1435),1)</f>
        <v/>
      </c>
    </row>
    <row r="1436">
      <c r="A1436" t="inlineStr">
        <is>
          <t>EM001435</t>
        </is>
      </c>
      <c r="B1436" s="7" t="n">
        <v>46132</v>
      </c>
      <c r="C1436" t="inlineStr">
        <is>
          <t>CR-201</t>
        </is>
      </c>
      <c r="D1436" t="inlineStr">
        <is>
          <t>ISO 8</t>
        </is>
      </c>
      <c r="E1436" t="inlineStr">
        <is>
          <t>Surface contact</t>
        </is>
      </c>
      <c r="F1436" t="n">
        <v>2</v>
      </c>
      <c r="G1436" t="inlineStr">
        <is>
          <t>Tech A</t>
        </is>
      </c>
      <c r="H1436">
        <f>INDEX(Limits!$B$2:$B$5,MATCH(E1436,Limits!$A$2:$A$5,0))</f>
        <v/>
      </c>
      <c r="I1436">
        <f>INDEX(Limits!$C$2:$C$5,MATCH(E1436,Limits!$A$2:$A$5,0))</f>
        <v/>
      </c>
      <c r="J1436">
        <f>IF(F1436&gt;=I1436,"Action",IF(F1436&gt;=H1436,"Alert","Pass"))</f>
        <v/>
      </c>
      <c r="K1436" s="4">
        <f>DATE(YEAR(B1436),MONTH(B1436),1)</f>
        <v/>
      </c>
    </row>
    <row r="1437">
      <c r="A1437" t="inlineStr">
        <is>
          <t>EM001436</t>
        </is>
      </c>
      <c r="B1437" s="7" t="n">
        <v>46132</v>
      </c>
      <c r="C1437" t="inlineStr">
        <is>
          <t>CR-201</t>
        </is>
      </c>
      <c r="D1437" t="inlineStr">
        <is>
          <t>ISO 8</t>
        </is>
      </c>
      <c r="E1437" t="inlineStr">
        <is>
          <t>Compressed air</t>
        </is>
      </c>
      <c r="F1437" t="n">
        <v>0</v>
      </c>
      <c r="G1437" t="inlineStr">
        <is>
          <t>Tech C</t>
        </is>
      </c>
      <c r="H1437">
        <f>INDEX(Limits!$B$2:$B$5,MATCH(E1437,Limits!$A$2:$A$5,0))</f>
        <v/>
      </c>
      <c r="I1437">
        <f>INDEX(Limits!$C$2:$C$5,MATCH(E1437,Limits!$A$2:$A$5,0))</f>
        <v/>
      </c>
      <c r="J1437">
        <f>IF(F1437&gt;=I1437,"Action",IF(F1437&gt;=H1437,"Alert","Pass"))</f>
        <v/>
      </c>
      <c r="K1437" s="4">
        <f>DATE(YEAR(B1437),MONTH(B1437),1)</f>
        <v/>
      </c>
    </row>
    <row r="1438">
      <c r="A1438" t="inlineStr">
        <is>
          <t>EM001437</t>
        </is>
      </c>
      <c r="B1438" s="7" t="n">
        <v>46132</v>
      </c>
      <c r="C1438" t="inlineStr">
        <is>
          <t>CR-201</t>
        </is>
      </c>
      <c r="D1438" t="inlineStr">
        <is>
          <t>ISO 8</t>
        </is>
      </c>
      <c r="E1438" t="inlineStr">
        <is>
          <t>Personnel glove</t>
        </is>
      </c>
      <c r="F1438" t="n">
        <v>1</v>
      </c>
      <c r="G1438" t="inlineStr">
        <is>
          <t>Tech C</t>
        </is>
      </c>
      <c r="H1438">
        <f>INDEX(Limits!$B$2:$B$5,MATCH(E1438,Limits!$A$2:$A$5,0))</f>
        <v/>
      </c>
      <c r="I1438">
        <f>INDEX(Limits!$C$2:$C$5,MATCH(E1438,Limits!$A$2:$A$5,0))</f>
        <v/>
      </c>
      <c r="J1438">
        <f>IF(F1438&gt;=I1438,"Action",IF(F1438&gt;=H1438,"Alert","Pass"))</f>
        <v/>
      </c>
      <c r="K1438" s="4">
        <f>DATE(YEAR(B1438),MONTH(B1438),1)</f>
        <v/>
      </c>
    </row>
    <row r="1439">
      <c r="A1439" t="inlineStr">
        <is>
          <t>EM001438</t>
        </is>
      </c>
      <c r="B1439" s="7" t="n">
        <v>46132</v>
      </c>
      <c r="C1439" t="inlineStr">
        <is>
          <t>CR-202</t>
        </is>
      </c>
      <c r="D1439" t="inlineStr">
        <is>
          <t>ISO 8</t>
        </is>
      </c>
      <c r="E1439" t="inlineStr">
        <is>
          <t>Active air</t>
        </is>
      </c>
      <c r="F1439" t="n">
        <v>2</v>
      </c>
      <c r="G1439" t="inlineStr">
        <is>
          <t>Tech A</t>
        </is>
      </c>
      <c r="H1439">
        <f>INDEX(Limits!$B$2:$B$5,MATCH(E1439,Limits!$A$2:$A$5,0))</f>
        <v/>
      </c>
      <c r="I1439">
        <f>INDEX(Limits!$C$2:$C$5,MATCH(E1439,Limits!$A$2:$A$5,0))</f>
        <v/>
      </c>
      <c r="J1439">
        <f>IF(F1439&gt;=I1439,"Action",IF(F1439&gt;=H1439,"Alert","Pass"))</f>
        <v/>
      </c>
      <c r="K1439" s="4">
        <f>DATE(YEAR(B1439),MONTH(B1439),1)</f>
        <v/>
      </c>
    </row>
    <row r="1440">
      <c r="A1440" t="inlineStr">
        <is>
          <t>EM001439</t>
        </is>
      </c>
      <c r="B1440" s="7" t="n">
        <v>46132</v>
      </c>
      <c r="C1440" t="inlineStr">
        <is>
          <t>CR-202</t>
        </is>
      </c>
      <c r="D1440" t="inlineStr">
        <is>
          <t>ISO 8</t>
        </is>
      </c>
      <c r="E1440" t="inlineStr">
        <is>
          <t>Surface contact</t>
        </is>
      </c>
      <c r="F1440" t="n">
        <v>0</v>
      </c>
      <c r="G1440" t="inlineStr">
        <is>
          <t>Tech C</t>
        </is>
      </c>
      <c r="H1440">
        <f>INDEX(Limits!$B$2:$B$5,MATCH(E1440,Limits!$A$2:$A$5,0))</f>
        <v/>
      </c>
      <c r="I1440">
        <f>INDEX(Limits!$C$2:$C$5,MATCH(E1440,Limits!$A$2:$A$5,0))</f>
        <v/>
      </c>
      <c r="J1440">
        <f>IF(F1440&gt;=I1440,"Action",IF(F1440&gt;=H1440,"Alert","Pass"))</f>
        <v/>
      </c>
      <c r="K1440" s="4">
        <f>DATE(YEAR(B1440),MONTH(B1440),1)</f>
        <v/>
      </c>
    </row>
    <row r="1441">
      <c r="A1441" t="inlineStr">
        <is>
          <t>EM001440</t>
        </is>
      </c>
      <c r="B1441" s="7" t="n">
        <v>46132</v>
      </c>
      <c r="C1441" t="inlineStr">
        <is>
          <t>CR-202</t>
        </is>
      </c>
      <c r="D1441" t="inlineStr">
        <is>
          <t>ISO 8</t>
        </is>
      </c>
      <c r="E1441" t="inlineStr">
        <is>
          <t>Compressed air</t>
        </is>
      </c>
      <c r="F1441" t="n">
        <v>0</v>
      </c>
      <c r="G1441" t="inlineStr">
        <is>
          <t>Tech D</t>
        </is>
      </c>
      <c r="H1441">
        <f>INDEX(Limits!$B$2:$B$5,MATCH(E1441,Limits!$A$2:$A$5,0))</f>
        <v/>
      </c>
      <c r="I1441">
        <f>INDEX(Limits!$C$2:$C$5,MATCH(E1441,Limits!$A$2:$A$5,0))</f>
        <v/>
      </c>
      <c r="J1441">
        <f>IF(F1441&gt;=I1441,"Action",IF(F1441&gt;=H1441,"Alert","Pass"))</f>
        <v/>
      </c>
      <c r="K1441" s="4">
        <f>DATE(YEAR(B1441),MONTH(B1441),1)</f>
        <v/>
      </c>
    </row>
    <row r="1442">
      <c r="A1442" t="inlineStr">
        <is>
          <t>EM001441</t>
        </is>
      </c>
      <c r="B1442" s="7" t="n">
        <v>46132</v>
      </c>
      <c r="C1442" t="inlineStr">
        <is>
          <t>CR-202</t>
        </is>
      </c>
      <c r="D1442" t="inlineStr">
        <is>
          <t>ISO 8</t>
        </is>
      </c>
      <c r="E1442" t="inlineStr">
        <is>
          <t>Personnel glove</t>
        </is>
      </c>
      <c r="F1442" t="n">
        <v>0</v>
      </c>
      <c r="G1442" t="inlineStr">
        <is>
          <t>Tech C</t>
        </is>
      </c>
      <c r="H1442">
        <f>INDEX(Limits!$B$2:$B$5,MATCH(E1442,Limits!$A$2:$A$5,0))</f>
        <v/>
      </c>
      <c r="I1442">
        <f>INDEX(Limits!$C$2:$C$5,MATCH(E1442,Limits!$A$2:$A$5,0))</f>
        <v/>
      </c>
      <c r="J1442">
        <f>IF(F1442&gt;=I1442,"Action",IF(F1442&gt;=H1442,"Alert","Pass"))</f>
        <v/>
      </c>
      <c r="K1442" s="4">
        <f>DATE(YEAR(B1442),MONTH(B1442),1)</f>
        <v/>
      </c>
    </row>
    <row r="1443">
      <c r="A1443" t="inlineStr">
        <is>
          <t>EM001442</t>
        </is>
      </c>
      <c r="B1443" s="7" t="n">
        <v>46132</v>
      </c>
      <c r="C1443" t="inlineStr">
        <is>
          <t>Gowning</t>
        </is>
      </c>
      <c r="D1443" t="inlineStr">
        <is>
          <t>ISO 8</t>
        </is>
      </c>
      <c r="E1443" t="inlineStr">
        <is>
          <t>Active air</t>
        </is>
      </c>
      <c r="F1443" t="n">
        <v>0</v>
      </c>
      <c r="G1443" t="inlineStr">
        <is>
          <t>Tech D</t>
        </is>
      </c>
      <c r="H1443">
        <f>INDEX(Limits!$B$2:$B$5,MATCH(E1443,Limits!$A$2:$A$5,0))</f>
        <v/>
      </c>
      <c r="I1443">
        <f>INDEX(Limits!$C$2:$C$5,MATCH(E1443,Limits!$A$2:$A$5,0))</f>
        <v/>
      </c>
      <c r="J1443">
        <f>IF(F1443&gt;=I1443,"Action",IF(F1443&gt;=H1443,"Alert","Pass"))</f>
        <v/>
      </c>
      <c r="K1443" s="4">
        <f>DATE(YEAR(B1443),MONTH(B1443),1)</f>
        <v/>
      </c>
    </row>
    <row r="1444">
      <c r="A1444" t="inlineStr">
        <is>
          <t>EM001443</t>
        </is>
      </c>
      <c r="B1444" s="7" t="n">
        <v>46132</v>
      </c>
      <c r="C1444" t="inlineStr">
        <is>
          <t>Gowning</t>
        </is>
      </c>
      <c r="D1444" t="inlineStr">
        <is>
          <t>ISO 8</t>
        </is>
      </c>
      <c r="E1444" t="inlineStr">
        <is>
          <t>Surface contact</t>
        </is>
      </c>
      <c r="F1444" t="n">
        <v>0</v>
      </c>
      <c r="G1444" t="inlineStr">
        <is>
          <t>Tech A</t>
        </is>
      </c>
      <c r="H1444">
        <f>INDEX(Limits!$B$2:$B$5,MATCH(E1444,Limits!$A$2:$A$5,0))</f>
        <v/>
      </c>
      <c r="I1444">
        <f>INDEX(Limits!$C$2:$C$5,MATCH(E1444,Limits!$A$2:$A$5,0))</f>
        <v/>
      </c>
      <c r="J1444">
        <f>IF(F1444&gt;=I1444,"Action",IF(F1444&gt;=H1444,"Alert","Pass"))</f>
        <v/>
      </c>
      <c r="K1444" s="4">
        <f>DATE(YEAR(B1444),MONTH(B1444),1)</f>
        <v/>
      </c>
    </row>
    <row r="1445">
      <c r="A1445" t="inlineStr">
        <is>
          <t>EM001444</t>
        </is>
      </c>
      <c r="B1445" s="7" t="n">
        <v>46132</v>
      </c>
      <c r="C1445" t="inlineStr">
        <is>
          <t>Gowning</t>
        </is>
      </c>
      <c r="D1445" t="inlineStr">
        <is>
          <t>ISO 8</t>
        </is>
      </c>
      <c r="E1445" t="inlineStr">
        <is>
          <t>Personnel glove</t>
        </is>
      </c>
      <c r="F1445" t="n">
        <v>0</v>
      </c>
      <c r="G1445" t="inlineStr">
        <is>
          <t>Tech A</t>
        </is>
      </c>
      <c r="H1445">
        <f>INDEX(Limits!$B$2:$B$5,MATCH(E1445,Limits!$A$2:$A$5,0))</f>
        <v/>
      </c>
      <c r="I1445">
        <f>INDEX(Limits!$C$2:$C$5,MATCH(E1445,Limits!$A$2:$A$5,0))</f>
        <v/>
      </c>
      <c r="J1445">
        <f>IF(F1445&gt;=I1445,"Action",IF(F1445&gt;=H1445,"Alert","Pass"))</f>
        <v/>
      </c>
      <c r="K1445" s="4">
        <f>DATE(YEAR(B1445),MONTH(B1445),1)</f>
        <v/>
      </c>
    </row>
    <row r="1446">
      <c r="A1446" t="inlineStr">
        <is>
          <t>EM001445</t>
        </is>
      </c>
      <c r="B1446" s="7" t="n">
        <v>46133</v>
      </c>
      <c r="C1446" t="inlineStr">
        <is>
          <t>CR-101</t>
        </is>
      </c>
      <c r="D1446" t="inlineStr">
        <is>
          <t>ISO 7</t>
        </is>
      </c>
      <c r="E1446" t="inlineStr">
        <is>
          <t>Active air</t>
        </is>
      </c>
      <c r="F1446" t="n">
        <v>2</v>
      </c>
      <c r="G1446" t="inlineStr">
        <is>
          <t>Tech B</t>
        </is>
      </c>
      <c r="H1446">
        <f>INDEX(Limits!$B$2:$B$5,MATCH(E1446,Limits!$A$2:$A$5,0))</f>
        <v/>
      </c>
      <c r="I1446">
        <f>INDEX(Limits!$C$2:$C$5,MATCH(E1446,Limits!$A$2:$A$5,0))</f>
        <v/>
      </c>
      <c r="J1446">
        <f>IF(F1446&gt;=I1446,"Action",IF(F1446&gt;=H1446,"Alert","Pass"))</f>
        <v/>
      </c>
      <c r="K1446" s="4">
        <f>DATE(YEAR(B1446),MONTH(B1446),1)</f>
        <v/>
      </c>
    </row>
    <row r="1447">
      <c r="A1447" t="inlineStr">
        <is>
          <t>EM001446</t>
        </is>
      </c>
      <c r="B1447" s="7" t="n">
        <v>46133</v>
      </c>
      <c r="C1447" t="inlineStr">
        <is>
          <t>CR-101</t>
        </is>
      </c>
      <c r="D1447" t="inlineStr">
        <is>
          <t>ISO 7</t>
        </is>
      </c>
      <c r="E1447" t="inlineStr">
        <is>
          <t>Surface contact</t>
        </is>
      </c>
      <c r="F1447" t="n">
        <v>0</v>
      </c>
      <c r="G1447" t="inlineStr">
        <is>
          <t>Tech A</t>
        </is>
      </c>
      <c r="H1447">
        <f>INDEX(Limits!$B$2:$B$5,MATCH(E1447,Limits!$A$2:$A$5,0))</f>
        <v/>
      </c>
      <c r="I1447">
        <f>INDEX(Limits!$C$2:$C$5,MATCH(E1447,Limits!$A$2:$A$5,0))</f>
        <v/>
      </c>
      <c r="J1447">
        <f>IF(F1447&gt;=I1447,"Action",IF(F1447&gt;=H1447,"Alert","Pass"))</f>
        <v/>
      </c>
      <c r="K1447" s="4">
        <f>DATE(YEAR(B1447),MONTH(B1447),1)</f>
        <v/>
      </c>
    </row>
    <row r="1448">
      <c r="A1448" t="inlineStr">
        <is>
          <t>EM001447</t>
        </is>
      </c>
      <c r="B1448" s="7" t="n">
        <v>46133</v>
      </c>
      <c r="C1448" t="inlineStr">
        <is>
          <t>CR-101</t>
        </is>
      </c>
      <c r="D1448" t="inlineStr">
        <is>
          <t>ISO 7</t>
        </is>
      </c>
      <c r="E1448" t="inlineStr">
        <is>
          <t>Compressed air</t>
        </is>
      </c>
      <c r="F1448" t="n">
        <v>0</v>
      </c>
      <c r="G1448" t="inlineStr">
        <is>
          <t>Tech C</t>
        </is>
      </c>
      <c r="H1448">
        <f>INDEX(Limits!$B$2:$B$5,MATCH(E1448,Limits!$A$2:$A$5,0))</f>
        <v/>
      </c>
      <c r="I1448">
        <f>INDEX(Limits!$C$2:$C$5,MATCH(E1448,Limits!$A$2:$A$5,0))</f>
        <v/>
      </c>
      <c r="J1448">
        <f>IF(F1448&gt;=I1448,"Action",IF(F1448&gt;=H1448,"Alert","Pass"))</f>
        <v/>
      </c>
      <c r="K1448" s="4">
        <f>DATE(YEAR(B1448),MONTH(B1448),1)</f>
        <v/>
      </c>
    </row>
    <row r="1449">
      <c r="A1449" t="inlineStr">
        <is>
          <t>EM001448</t>
        </is>
      </c>
      <c r="B1449" s="7" t="n">
        <v>46133</v>
      </c>
      <c r="C1449" t="inlineStr">
        <is>
          <t>CR-101</t>
        </is>
      </c>
      <c r="D1449" t="inlineStr">
        <is>
          <t>ISO 7</t>
        </is>
      </c>
      <c r="E1449" t="inlineStr">
        <is>
          <t>Personnel glove</t>
        </is>
      </c>
      <c r="F1449" t="n">
        <v>0</v>
      </c>
      <c r="G1449" t="inlineStr">
        <is>
          <t>Tech C</t>
        </is>
      </c>
      <c r="H1449">
        <f>INDEX(Limits!$B$2:$B$5,MATCH(E1449,Limits!$A$2:$A$5,0))</f>
        <v/>
      </c>
      <c r="I1449">
        <f>INDEX(Limits!$C$2:$C$5,MATCH(E1449,Limits!$A$2:$A$5,0))</f>
        <v/>
      </c>
      <c r="J1449">
        <f>IF(F1449&gt;=I1449,"Action",IF(F1449&gt;=H1449,"Alert","Pass"))</f>
        <v/>
      </c>
      <c r="K1449" s="4">
        <f>DATE(YEAR(B1449),MONTH(B1449),1)</f>
        <v/>
      </c>
    </row>
    <row r="1450">
      <c r="A1450" t="inlineStr">
        <is>
          <t>EM001449</t>
        </is>
      </c>
      <c r="B1450" s="7" t="n">
        <v>46133</v>
      </c>
      <c r="C1450" t="inlineStr">
        <is>
          <t>CR-102</t>
        </is>
      </c>
      <c r="D1450" t="inlineStr">
        <is>
          <t>ISO 7</t>
        </is>
      </c>
      <c r="E1450" t="inlineStr">
        <is>
          <t>Active air</t>
        </is>
      </c>
      <c r="F1450" t="n">
        <v>1</v>
      </c>
      <c r="G1450" t="inlineStr">
        <is>
          <t>Tech A</t>
        </is>
      </c>
      <c r="H1450">
        <f>INDEX(Limits!$B$2:$B$5,MATCH(E1450,Limits!$A$2:$A$5,0))</f>
        <v/>
      </c>
      <c r="I1450">
        <f>INDEX(Limits!$C$2:$C$5,MATCH(E1450,Limits!$A$2:$A$5,0))</f>
        <v/>
      </c>
      <c r="J1450">
        <f>IF(F1450&gt;=I1450,"Action",IF(F1450&gt;=H1450,"Alert","Pass"))</f>
        <v/>
      </c>
      <c r="K1450" s="4">
        <f>DATE(YEAR(B1450),MONTH(B1450),1)</f>
        <v/>
      </c>
    </row>
    <row r="1451">
      <c r="A1451" t="inlineStr">
        <is>
          <t>EM001450</t>
        </is>
      </c>
      <c r="B1451" s="7" t="n">
        <v>46133</v>
      </c>
      <c r="C1451" t="inlineStr">
        <is>
          <t>CR-102</t>
        </is>
      </c>
      <c r="D1451" t="inlineStr">
        <is>
          <t>ISO 7</t>
        </is>
      </c>
      <c r="E1451" t="inlineStr">
        <is>
          <t>Surface contact</t>
        </is>
      </c>
      <c r="F1451" t="n">
        <v>0</v>
      </c>
      <c r="G1451" t="inlineStr">
        <is>
          <t>Tech A</t>
        </is>
      </c>
      <c r="H1451">
        <f>INDEX(Limits!$B$2:$B$5,MATCH(E1451,Limits!$A$2:$A$5,0))</f>
        <v/>
      </c>
      <c r="I1451">
        <f>INDEX(Limits!$C$2:$C$5,MATCH(E1451,Limits!$A$2:$A$5,0))</f>
        <v/>
      </c>
      <c r="J1451">
        <f>IF(F1451&gt;=I1451,"Action",IF(F1451&gt;=H1451,"Alert","Pass"))</f>
        <v/>
      </c>
      <c r="K1451" s="4">
        <f>DATE(YEAR(B1451),MONTH(B1451),1)</f>
        <v/>
      </c>
    </row>
    <row r="1452">
      <c r="A1452" t="inlineStr">
        <is>
          <t>EM001451</t>
        </is>
      </c>
      <c r="B1452" s="7" t="n">
        <v>46133</v>
      </c>
      <c r="C1452" t="inlineStr">
        <is>
          <t>CR-102</t>
        </is>
      </c>
      <c r="D1452" t="inlineStr">
        <is>
          <t>ISO 7</t>
        </is>
      </c>
      <c r="E1452" t="inlineStr">
        <is>
          <t>Compressed air</t>
        </is>
      </c>
      <c r="F1452" t="n">
        <v>0</v>
      </c>
      <c r="G1452" t="inlineStr">
        <is>
          <t>Tech D</t>
        </is>
      </c>
      <c r="H1452">
        <f>INDEX(Limits!$B$2:$B$5,MATCH(E1452,Limits!$A$2:$A$5,0))</f>
        <v/>
      </c>
      <c r="I1452">
        <f>INDEX(Limits!$C$2:$C$5,MATCH(E1452,Limits!$A$2:$A$5,0))</f>
        <v/>
      </c>
      <c r="J1452">
        <f>IF(F1452&gt;=I1452,"Action",IF(F1452&gt;=H1452,"Alert","Pass"))</f>
        <v/>
      </c>
      <c r="K1452" s="4">
        <f>DATE(YEAR(B1452),MONTH(B1452),1)</f>
        <v/>
      </c>
    </row>
    <row r="1453">
      <c r="A1453" t="inlineStr">
        <is>
          <t>EM001452</t>
        </is>
      </c>
      <c r="B1453" s="7" t="n">
        <v>46133</v>
      </c>
      <c r="C1453" t="inlineStr">
        <is>
          <t>CR-102</t>
        </is>
      </c>
      <c r="D1453" t="inlineStr">
        <is>
          <t>ISO 7</t>
        </is>
      </c>
      <c r="E1453" t="inlineStr">
        <is>
          <t>Personnel glove</t>
        </is>
      </c>
      <c r="F1453" t="n">
        <v>0</v>
      </c>
      <c r="G1453" t="inlineStr">
        <is>
          <t>Tech A</t>
        </is>
      </c>
      <c r="H1453">
        <f>INDEX(Limits!$B$2:$B$5,MATCH(E1453,Limits!$A$2:$A$5,0))</f>
        <v/>
      </c>
      <c r="I1453">
        <f>INDEX(Limits!$C$2:$C$5,MATCH(E1453,Limits!$A$2:$A$5,0))</f>
        <v/>
      </c>
      <c r="J1453">
        <f>IF(F1453&gt;=I1453,"Action",IF(F1453&gt;=H1453,"Alert","Pass"))</f>
        <v/>
      </c>
      <c r="K1453" s="4">
        <f>DATE(YEAR(B1453),MONTH(B1453),1)</f>
        <v/>
      </c>
    </row>
    <row r="1454">
      <c r="A1454" t="inlineStr">
        <is>
          <t>EM001453</t>
        </is>
      </c>
      <c r="B1454" s="7" t="n">
        <v>46133</v>
      </c>
      <c r="C1454" t="inlineStr">
        <is>
          <t>CR-201</t>
        </is>
      </c>
      <c r="D1454" t="inlineStr">
        <is>
          <t>ISO 8</t>
        </is>
      </c>
      <c r="E1454" t="inlineStr">
        <is>
          <t>Active air</t>
        </is>
      </c>
      <c r="F1454" t="n">
        <v>2</v>
      </c>
      <c r="G1454" t="inlineStr">
        <is>
          <t>Tech B</t>
        </is>
      </c>
      <c r="H1454">
        <f>INDEX(Limits!$B$2:$B$5,MATCH(E1454,Limits!$A$2:$A$5,0))</f>
        <v/>
      </c>
      <c r="I1454">
        <f>INDEX(Limits!$C$2:$C$5,MATCH(E1454,Limits!$A$2:$A$5,0))</f>
        <v/>
      </c>
      <c r="J1454">
        <f>IF(F1454&gt;=I1454,"Action",IF(F1454&gt;=H1454,"Alert","Pass"))</f>
        <v/>
      </c>
      <c r="K1454" s="4">
        <f>DATE(YEAR(B1454),MONTH(B1454),1)</f>
        <v/>
      </c>
    </row>
    <row r="1455">
      <c r="A1455" t="inlineStr">
        <is>
          <t>EM001454</t>
        </is>
      </c>
      <c r="B1455" s="7" t="n">
        <v>46133</v>
      </c>
      <c r="C1455" t="inlineStr">
        <is>
          <t>CR-201</t>
        </is>
      </c>
      <c r="D1455" t="inlineStr">
        <is>
          <t>ISO 8</t>
        </is>
      </c>
      <c r="E1455" t="inlineStr">
        <is>
          <t>Surface contact</t>
        </is>
      </c>
      <c r="F1455" t="n">
        <v>1</v>
      </c>
      <c r="G1455" t="inlineStr">
        <is>
          <t>Tech C</t>
        </is>
      </c>
      <c r="H1455">
        <f>INDEX(Limits!$B$2:$B$5,MATCH(E1455,Limits!$A$2:$A$5,0))</f>
        <v/>
      </c>
      <c r="I1455">
        <f>INDEX(Limits!$C$2:$C$5,MATCH(E1455,Limits!$A$2:$A$5,0))</f>
        <v/>
      </c>
      <c r="J1455">
        <f>IF(F1455&gt;=I1455,"Action",IF(F1455&gt;=H1455,"Alert","Pass"))</f>
        <v/>
      </c>
      <c r="K1455" s="4">
        <f>DATE(YEAR(B1455),MONTH(B1455),1)</f>
        <v/>
      </c>
    </row>
    <row r="1456">
      <c r="A1456" t="inlineStr">
        <is>
          <t>EM001455</t>
        </is>
      </c>
      <c r="B1456" s="7" t="n">
        <v>46133</v>
      </c>
      <c r="C1456" t="inlineStr">
        <is>
          <t>CR-201</t>
        </is>
      </c>
      <c r="D1456" t="inlineStr">
        <is>
          <t>ISO 8</t>
        </is>
      </c>
      <c r="E1456" t="inlineStr">
        <is>
          <t>Compressed air</t>
        </is>
      </c>
      <c r="F1456" t="n">
        <v>0</v>
      </c>
      <c r="G1456" t="inlineStr">
        <is>
          <t>Tech B</t>
        </is>
      </c>
      <c r="H1456">
        <f>INDEX(Limits!$B$2:$B$5,MATCH(E1456,Limits!$A$2:$A$5,0))</f>
        <v/>
      </c>
      <c r="I1456">
        <f>INDEX(Limits!$C$2:$C$5,MATCH(E1456,Limits!$A$2:$A$5,0))</f>
        <v/>
      </c>
      <c r="J1456">
        <f>IF(F1456&gt;=I1456,"Action",IF(F1456&gt;=H1456,"Alert","Pass"))</f>
        <v/>
      </c>
      <c r="K1456" s="4">
        <f>DATE(YEAR(B1456),MONTH(B1456),1)</f>
        <v/>
      </c>
    </row>
    <row r="1457">
      <c r="A1457" t="inlineStr">
        <is>
          <t>EM001456</t>
        </is>
      </c>
      <c r="B1457" s="7" t="n">
        <v>46133</v>
      </c>
      <c r="C1457" t="inlineStr">
        <is>
          <t>CR-201</t>
        </is>
      </c>
      <c r="D1457" t="inlineStr">
        <is>
          <t>ISO 8</t>
        </is>
      </c>
      <c r="E1457" t="inlineStr">
        <is>
          <t>Personnel glove</t>
        </is>
      </c>
      <c r="F1457" t="n">
        <v>0</v>
      </c>
      <c r="G1457" t="inlineStr">
        <is>
          <t>Tech C</t>
        </is>
      </c>
      <c r="H1457">
        <f>INDEX(Limits!$B$2:$B$5,MATCH(E1457,Limits!$A$2:$A$5,0))</f>
        <v/>
      </c>
      <c r="I1457">
        <f>INDEX(Limits!$C$2:$C$5,MATCH(E1457,Limits!$A$2:$A$5,0))</f>
        <v/>
      </c>
      <c r="J1457">
        <f>IF(F1457&gt;=I1457,"Action",IF(F1457&gt;=H1457,"Alert","Pass"))</f>
        <v/>
      </c>
      <c r="K1457" s="4">
        <f>DATE(YEAR(B1457),MONTH(B1457),1)</f>
        <v/>
      </c>
    </row>
    <row r="1458">
      <c r="A1458" t="inlineStr">
        <is>
          <t>EM001457</t>
        </is>
      </c>
      <c r="B1458" s="7" t="n">
        <v>46133</v>
      </c>
      <c r="C1458" t="inlineStr">
        <is>
          <t>CR-202</t>
        </is>
      </c>
      <c r="D1458" t="inlineStr">
        <is>
          <t>ISO 8</t>
        </is>
      </c>
      <c r="E1458" t="inlineStr">
        <is>
          <t>Active air</t>
        </is>
      </c>
      <c r="F1458" t="n">
        <v>1</v>
      </c>
      <c r="G1458" t="inlineStr">
        <is>
          <t>Tech A</t>
        </is>
      </c>
      <c r="H1458">
        <f>INDEX(Limits!$B$2:$B$5,MATCH(E1458,Limits!$A$2:$A$5,0))</f>
        <v/>
      </c>
      <c r="I1458">
        <f>INDEX(Limits!$C$2:$C$5,MATCH(E1458,Limits!$A$2:$A$5,0))</f>
        <v/>
      </c>
      <c r="J1458">
        <f>IF(F1458&gt;=I1458,"Action",IF(F1458&gt;=H1458,"Alert","Pass"))</f>
        <v/>
      </c>
      <c r="K1458" s="4">
        <f>DATE(YEAR(B1458),MONTH(B1458),1)</f>
        <v/>
      </c>
    </row>
    <row r="1459">
      <c r="A1459" t="inlineStr">
        <is>
          <t>EM001458</t>
        </is>
      </c>
      <c r="B1459" s="7" t="n">
        <v>46133</v>
      </c>
      <c r="C1459" t="inlineStr">
        <is>
          <t>CR-202</t>
        </is>
      </c>
      <c r="D1459" t="inlineStr">
        <is>
          <t>ISO 8</t>
        </is>
      </c>
      <c r="E1459" t="inlineStr">
        <is>
          <t>Surface contact</t>
        </is>
      </c>
      <c r="F1459" t="n">
        <v>0</v>
      </c>
      <c r="G1459" t="inlineStr">
        <is>
          <t>Tech C</t>
        </is>
      </c>
      <c r="H1459">
        <f>INDEX(Limits!$B$2:$B$5,MATCH(E1459,Limits!$A$2:$A$5,0))</f>
        <v/>
      </c>
      <c r="I1459">
        <f>INDEX(Limits!$C$2:$C$5,MATCH(E1459,Limits!$A$2:$A$5,0))</f>
        <v/>
      </c>
      <c r="J1459">
        <f>IF(F1459&gt;=I1459,"Action",IF(F1459&gt;=H1459,"Alert","Pass"))</f>
        <v/>
      </c>
      <c r="K1459" s="4">
        <f>DATE(YEAR(B1459),MONTH(B1459),1)</f>
        <v/>
      </c>
    </row>
    <row r="1460">
      <c r="A1460" t="inlineStr">
        <is>
          <t>EM001459</t>
        </is>
      </c>
      <c r="B1460" s="7" t="n">
        <v>46133</v>
      </c>
      <c r="C1460" t="inlineStr">
        <is>
          <t>CR-202</t>
        </is>
      </c>
      <c r="D1460" t="inlineStr">
        <is>
          <t>ISO 8</t>
        </is>
      </c>
      <c r="E1460" t="inlineStr">
        <is>
          <t>Compressed air</t>
        </is>
      </c>
      <c r="F1460" t="n">
        <v>0</v>
      </c>
      <c r="G1460" t="inlineStr">
        <is>
          <t>Tech C</t>
        </is>
      </c>
      <c r="H1460">
        <f>INDEX(Limits!$B$2:$B$5,MATCH(E1460,Limits!$A$2:$A$5,0))</f>
        <v/>
      </c>
      <c r="I1460">
        <f>INDEX(Limits!$C$2:$C$5,MATCH(E1460,Limits!$A$2:$A$5,0))</f>
        <v/>
      </c>
      <c r="J1460">
        <f>IF(F1460&gt;=I1460,"Action",IF(F1460&gt;=H1460,"Alert","Pass"))</f>
        <v/>
      </c>
      <c r="K1460" s="4">
        <f>DATE(YEAR(B1460),MONTH(B1460),1)</f>
        <v/>
      </c>
    </row>
    <row r="1461">
      <c r="A1461" t="inlineStr">
        <is>
          <t>EM001460</t>
        </is>
      </c>
      <c r="B1461" s="7" t="n">
        <v>46133</v>
      </c>
      <c r="C1461" t="inlineStr">
        <is>
          <t>CR-202</t>
        </is>
      </c>
      <c r="D1461" t="inlineStr">
        <is>
          <t>ISO 8</t>
        </is>
      </c>
      <c r="E1461" t="inlineStr">
        <is>
          <t>Personnel glove</t>
        </is>
      </c>
      <c r="F1461" t="n">
        <v>0</v>
      </c>
      <c r="G1461" t="inlineStr">
        <is>
          <t>Tech C</t>
        </is>
      </c>
      <c r="H1461">
        <f>INDEX(Limits!$B$2:$B$5,MATCH(E1461,Limits!$A$2:$A$5,0))</f>
        <v/>
      </c>
      <c r="I1461">
        <f>INDEX(Limits!$C$2:$C$5,MATCH(E1461,Limits!$A$2:$A$5,0))</f>
        <v/>
      </c>
      <c r="J1461">
        <f>IF(F1461&gt;=I1461,"Action",IF(F1461&gt;=H1461,"Alert","Pass"))</f>
        <v/>
      </c>
      <c r="K1461" s="4">
        <f>DATE(YEAR(B1461),MONTH(B1461),1)</f>
        <v/>
      </c>
    </row>
    <row r="1462">
      <c r="A1462" t="inlineStr">
        <is>
          <t>EM001461</t>
        </is>
      </c>
      <c r="B1462" s="7" t="n">
        <v>46133</v>
      </c>
      <c r="C1462" t="inlineStr">
        <is>
          <t>Gowning</t>
        </is>
      </c>
      <c r="D1462" t="inlineStr">
        <is>
          <t>ISO 8</t>
        </is>
      </c>
      <c r="E1462" t="inlineStr">
        <is>
          <t>Active air</t>
        </is>
      </c>
      <c r="F1462" t="n">
        <v>4</v>
      </c>
      <c r="G1462" t="inlineStr">
        <is>
          <t>Tech D</t>
        </is>
      </c>
      <c r="H1462">
        <f>INDEX(Limits!$B$2:$B$5,MATCH(E1462,Limits!$A$2:$A$5,0))</f>
        <v/>
      </c>
      <c r="I1462">
        <f>INDEX(Limits!$C$2:$C$5,MATCH(E1462,Limits!$A$2:$A$5,0))</f>
        <v/>
      </c>
      <c r="J1462">
        <f>IF(F1462&gt;=I1462,"Action",IF(F1462&gt;=H1462,"Alert","Pass"))</f>
        <v/>
      </c>
      <c r="K1462" s="4">
        <f>DATE(YEAR(B1462),MONTH(B1462),1)</f>
        <v/>
      </c>
    </row>
    <row r="1463">
      <c r="A1463" t="inlineStr">
        <is>
          <t>EM001462</t>
        </is>
      </c>
      <c r="B1463" s="7" t="n">
        <v>46133</v>
      </c>
      <c r="C1463" t="inlineStr">
        <is>
          <t>Gowning</t>
        </is>
      </c>
      <c r="D1463" t="inlineStr">
        <is>
          <t>ISO 8</t>
        </is>
      </c>
      <c r="E1463" t="inlineStr">
        <is>
          <t>Surface contact</t>
        </is>
      </c>
      <c r="F1463" t="n">
        <v>0</v>
      </c>
      <c r="G1463" t="inlineStr">
        <is>
          <t>Tech C</t>
        </is>
      </c>
      <c r="H1463">
        <f>INDEX(Limits!$B$2:$B$5,MATCH(E1463,Limits!$A$2:$A$5,0))</f>
        <v/>
      </c>
      <c r="I1463">
        <f>INDEX(Limits!$C$2:$C$5,MATCH(E1463,Limits!$A$2:$A$5,0))</f>
        <v/>
      </c>
      <c r="J1463">
        <f>IF(F1463&gt;=I1463,"Action",IF(F1463&gt;=H1463,"Alert","Pass"))</f>
        <v/>
      </c>
      <c r="K1463" s="4">
        <f>DATE(YEAR(B1463),MONTH(B1463),1)</f>
        <v/>
      </c>
    </row>
    <row r="1464">
      <c r="A1464" t="inlineStr">
        <is>
          <t>EM001463</t>
        </is>
      </c>
      <c r="B1464" s="7" t="n">
        <v>46133</v>
      </c>
      <c r="C1464" t="inlineStr">
        <is>
          <t>Gowning</t>
        </is>
      </c>
      <c r="D1464" t="inlineStr">
        <is>
          <t>ISO 8</t>
        </is>
      </c>
      <c r="E1464" t="inlineStr">
        <is>
          <t>Personnel glove</t>
        </is>
      </c>
      <c r="F1464" t="n">
        <v>1</v>
      </c>
      <c r="G1464" t="inlineStr">
        <is>
          <t>Tech A</t>
        </is>
      </c>
      <c r="H1464">
        <f>INDEX(Limits!$B$2:$B$5,MATCH(E1464,Limits!$A$2:$A$5,0))</f>
        <v/>
      </c>
      <c r="I1464">
        <f>INDEX(Limits!$C$2:$C$5,MATCH(E1464,Limits!$A$2:$A$5,0))</f>
        <v/>
      </c>
      <c r="J1464">
        <f>IF(F1464&gt;=I1464,"Action",IF(F1464&gt;=H1464,"Alert","Pass"))</f>
        <v/>
      </c>
      <c r="K1464" s="4">
        <f>DATE(YEAR(B1464),MONTH(B1464),1)</f>
        <v/>
      </c>
    </row>
    <row r="1465">
      <c r="A1465" t="inlineStr">
        <is>
          <t>EM001464</t>
        </is>
      </c>
      <c r="B1465" s="7" t="n">
        <v>46134</v>
      </c>
      <c r="C1465" t="inlineStr">
        <is>
          <t>CR-101</t>
        </is>
      </c>
      <c r="D1465" t="inlineStr">
        <is>
          <t>ISO 7</t>
        </is>
      </c>
      <c r="E1465" t="inlineStr">
        <is>
          <t>Active air</t>
        </is>
      </c>
      <c r="F1465" t="n">
        <v>0</v>
      </c>
      <c r="G1465" t="inlineStr">
        <is>
          <t>Tech B</t>
        </is>
      </c>
      <c r="H1465">
        <f>INDEX(Limits!$B$2:$B$5,MATCH(E1465,Limits!$A$2:$A$5,0))</f>
        <v/>
      </c>
      <c r="I1465">
        <f>INDEX(Limits!$C$2:$C$5,MATCH(E1465,Limits!$A$2:$A$5,0))</f>
        <v/>
      </c>
      <c r="J1465">
        <f>IF(F1465&gt;=I1465,"Action",IF(F1465&gt;=H1465,"Alert","Pass"))</f>
        <v/>
      </c>
      <c r="K1465" s="4">
        <f>DATE(YEAR(B1465),MONTH(B1465),1)</f>
        <v/>
      </c>
    </row>
    <row r="1466">
      <c r="A1466" t="inlineStr">
        <is>
          <t>EM001465</t>
        </is>
      </c>
      <c r="B1466" s="7" t="n">
        <v>46134</v>
      </c>
      <c r="C1466" t="inlineStr">
        <is>
          <t>CR-101</t>
        </is>
      </c>
      <c r="D1466" t="inlineStr">
        <is>
          <t>ISO 7</t>
        </is>
      </c>
      <c r="E1466" t="inlineStr">
        <is>
          <t>Surface contact</t>
        </is>
      </c>
      <c r="F1466" t="n">
        <v>2</v>
      </c>
      <c r="G1466" t="inlineStr">
        <is>
          <t>Tech D</t>
        </is>
      </c>
      <c r="H1466">
        <f>INDEX(Limits!$B$2:$B$5,MATCH(E1466,Limits!$A$2:$A$5,0))</f>
        <v/>
      </c>
      <c r="I1466">
        <f>INDEX(Limits!$C$2:$C$5,MATCH(E1466,Limits!$A$2:$A$5,0))</f>
        <v/>
      </c>
      <c r="J1466">
        <f>IF(F1466&gt;=I1466,"Action",IF(F1466&gt;=H1466,"Alert","Pass"))</f>
        <v/>
      </c>
      <c r="K1466" s="4">
        <f>DATE(YEAR(B1466),MONTH(B1466),1)</f>
        <v/>
      </c>
    </row>
    <row r="1467">
      <c r="A1467" t="inlineStr">
        <is>
          <t>EM001466</t>
        </is>
      </c>
      <c r="B1467" s="7" t="n">
        <v>46134</v>
      </c>
      <c r="C1467" t="inlineStr">
        <is>
          <t>CR-101</t>
        </is>
      </c>
      <c r="D1467" t="inlineStr">
        <is>
          <t>ISO 7</t>
        </is>
      </c>
      <c r="E1467" t="inlineStr">
        <is>
          <t>Compressed air</t>
        </is>
      </c>
      <c r="F1467" t="n">
        <v>0</v>
      </c>
      <c r="G1467" t="inlineStr">
        <is>
          <t>Tech C</t>
        </is>
      </c>
      <c r="H1467">
        <f>INDEX(Limits!$B$2:$B$5,MATCH(E1467,Limits!$A$2:$A$5,0))</f>
        <v/>
      </c>
      <c r="I1467">
        <f>INDEX(Limits!$C$2:$C$5,MATCH(E1467,Limits!$A$2:$A$5,0))</f>
        <v/>
      </c>
      <c r="J1467">
        <f>IF(F1467&gt;=I1467,"Action",IF(F1467&gt;=H1467,"Alert","Pass"))</f>
        <v/>
      </c>
      <c r="K1467" s="4">
        <f>DATE(YEAR(B1467),MONTH(B1467),1)</f>
        <v/>
      </c>
    </row>
    <row r="1468">
      <c r="A1468" t="inlineStr">
        <is>
          <t>EM001467</t>
        </is>
      </c>
      <c r="B1468" s="7" t="n">
        <v>46134</v>
      </c>
      <c r="C1468" t="inlineStr">
        <is>
          <t>CR-101</t>
        </is>
      </c>
      <c r="D1468" t="inlineStr">
        <is>
          <t>ISO 7</t>
        </is>
      </c>
      <c r="E1468" t="inlineStr">
        <is>
          <t>Personnel glove</t>
        </is>
      </c>
      <c r="F1468" t="n">
        <v>0</v>
      </c>
      <c r="G1468" t="inlineStr">
        <is>
          <t>Tech B</t>
        </is>
      </c>
      <c r="H1468">
        <f>INDEX(Limits!$B$2:$B$5,MATCH(E1468,Limits!$A$2:$A$5,0))</f>
        <v/>
      </c>
      <c r="I1468">
        <f>INDEX(Limits!$C$2:$C$5,MATCH(E1468,Limits!$A$2:$A$5,0))</f>
        <v/>
      </c>
      <c r="J1468">
        <f>IF(F1468&gt;=I1468,"Action",IF(F1468&gt;=H1468,"Alert","Pass"))</f>
        <v/>
      </c>
      <c r="K1468" s="4">
        <f>DATE(YEAR(B1468),MONTH(B1468),1)</f>
        <v/>
      </c>
    </row>
    <row r="1469">
      <c r="A1469" t="inlineStr">
        <is>
          <t>EM001468</t>
        </is>
      </c>
      <c r="B1469" s="7" t="n">
        <v>46134</v>
      </c>
      <c r="C1469" t="inlineStr">
        <is>
          <t>CR-102</t>
        </is>
      </c>
      <c r="D1469" t="inlineStr">
        <is>
          <t>ISO 7</t>
        </is>
      </c>
      <c r="E1469" t="inlineStr">
        <is>
          <t>Active air</t>
        </is>
      </c>
      <c r="F1469" t="n">
        <v>0</v>
      </c>
      <c r="G1469" t="inlineStr">
        <is>
          <t>Tech B</t>
        </is>
      </c>
      <c r="H1469">
        <f>INDEX(Limits!$B$2:$B$5,MATCH(E1469,Limits!$A$2:$A$5,0))</f>
        <v/>
      </c>
      <c r="I1469">
        <f>INDEX(Limits!$C$2:$C$5,MATCH(E1469,Limits!$A$2:$A$5,0))</f>
        <v/>
      </c>
      <c r="J1469">
        <f>IF(F1469&gt;=I1469,"Action",IF(F1469&gt;=H1469,"Alert","Pass"))</f>
        <v/>
      </c>
      <c r="K1469" s="4">
        <f>DATE(YEAR(B1469),MONTH(B1469),1)</f>
        <v/>
      </c>
    </row>
    <row r="1470">
      <c r="A1470" t="inlineStr">
        <is>
          <t>EM001469</t>
        </is>
      </c>
      <c r="B1470" s="7" t="n">
        <v>46134</v>
      </c>
      <c r="C1470" t="inlineStr">
        <is>
          <t>CR-102</t>
        </is>
      </c>
      <c r="D1470" t="inlineStr">
        <is>
          <t>ISO 7</t>
        </is>
      </c>
      <c r="E1470" t="inlineStr">
        <is>
          <t>Surface contact</t>
        </is>
      </c>
      <c r="F1470" t="n">
        <v>0</v>
      </c>
      <c r="G1470" t="inlineStr">
        <is>
          <t>Tech A</t>
        </is>
      </c>
      <c r="H1470">
        <f>INDEX(Limits!$B$2:$B$5,MATCH(E1470,Limits!$A$2:$A$5,0))</f>
        <v/>
      </c>
      <c r="I1470">
        <f>INDEX(Limits!$C$2:$C$5,MATCH(E1470,Limits!$A$2:$A$5,0))</f>
        <v/>
      </c>
      <c r="J1470">
        <f>IF(F1470&gt;=I1470,"Action",IF(F1470&gt;=H1470,"Alert","Pass"))</f>
        <v/>
      </c>
      <c r="K1470" s="4">
        <f>DATE(YEAR(B1470),MONTH(B1470),1)</f>
        <v/>
      </c>
    </row>
    <row r="1471">
      <c r="A1471" t="inlineStr">
        <is>
          <t>EM001470</t>
        </is>
      </c>
      <c r="B1471" s="7" t="n">
        <v>46134</v>
      </c>
      <c r="C1471" t="inlineStr">
        <is>
          <t>CR-102</t>
        </is>
      </c>
      <c r="D1471" t="inlineStr">
        <is>
          <t>ISO 7</t>
        </is>
      </c>
      <c r="E1471" t="inlineStr">
        <is>
          <t>Compressed air</t>
        </is>
      </c>
      <c r="F1471" t="n">
        <v>0</v>
      </c>
      <c r="G1471" t="inlineStr">
        <is>
          <t>Tech A</t>
        </is>
      </c>
      <c r="H1471">
        <f>INDEX(Limits!$B$2:$B$5,MATCH(E1471,Limits!$A$2:$A$5,0))</f>
        <v/>
      </c>
      <c r="I1471">
        <f>INDEX(Limits!$C$2:$C$5,MATCH(E1471,Limits!$A$2:$A$5,0))</f>
        <v/>
      </c>
      <c r="J1471">
        <f>IF(F1471&gt;=I1471,"Action",IF(F1471&gt;=H1471,"Alert","Pass"))</f>
        <v/>
      </c>
      <c r="K1471" s="4">
        <f>DATE(YEAR(B1471),MONTH(B1471),1)</f>
        <v/>
      </c>
    </row>
    <row r="1472">
      <c r="A1472" t="inlineStr">
        <is>
          <t>EM001471</t>
        </is>
      </c>
      <c r="B1472" s="7" t="n">
        <v>46134</v>
      </c>
      <c r="C1472" t="inlineStr">
        <is>
          <t>CR-102</t>
        </is>
      </c>
      <c r="D1472" t="inlineStr">
        <is>
          <t>ISO 7</t>
        </is>
      </c>
      <c r="E1472" t="inlineStr">
        <is>
          <t>Personnel glove</t>
        </is>
      </c>
      <c r="F1472" t="n">
        <v>0</v>
      </c>
      <c r="G1472" t="inlineStr">
        <is>
          <t>Tech B</t>
        </is>
      </c>
      <c r="H1472">
        <f>INDEX(Limits!$B$2:$B$5,MATCH(E1472,Limits!$A$2:$A$5,0))</f>
        <v/>
      </c>
      <c r="I1472">
        <f>INDEX(Limits!$C$2:$C$5,MATCH(E1472,Limits!$A$2:$A$5,0))</f>
        <v/>
      </c>
      <c r="J1472">
        <f>IF(F1472&gt;=I1472,"Action",IF(F1472&gt;=H1472,"Alert","Pass"))</f>
        <v/>
      </c>
      <c r="K1472" s="4">
        <f>DATE(YEAR(B1472),MONTH(B1472),1)</f>
        <v/>
      </c>
    </row>
    <row r="1473">
      <c r="A1473" t="inlineStr">
        <is>
          <t>EM001472</t>
        </is>
      </c>
      <c r="B1473" s="7" t="n">
        <v>46134</v>
      </c>
      <c r="C1473" t="inlineStr">
        <is>
          <t>CR-201</t>
        </is>
      </c>
      <c r="D1473" t="inlineStr">
        <is>
          <t>ISO 8</t>
        </is>
      </c>
      <c r="E1473" t="inlineStr">
        <is>
          <t>Active air</t>
        </is>
      </c>
      <c r="F1473" t="n">
        <v>3</v>
      </c>
      <c r="G1473" t="inlineStr">
        <is>
          <t>Tech B</t>
        </is>
      </c>
      <c r="H1473">
        <f>INDEX(Limits!$B$2:$B$5,MATCH(E1473,Limits!$A$2:$A$5,0))</f>
        <v/>
      </c>
      <c r="I1473">
        <f>INDEX(Limits!$C$2:$C$5,MATCH(E1473,Limits!$A$2:$A$5,0))</f>
        <v/>
      </c>
      <c r="J1473">
        <f>IF(F1473&gt;=I1473,"Action",IF(F1473&gt;=H1473,"Alert","Pass"))</f>
        <v/>
      </c>
      <c r="K1473" s="4">
        <f>DATE(YEAR(B1473),MONTH(B1473),1)</f>
        <v/>
      </c>
    </row>
    <row r="1474">
      <c r="A1474" t="inlineStr">
        <is>
          <t>EM001473</t>
        </is>
      </c>
      <c r="B1474" s="7" t="n">
        <v>46134</v>
      </c>
      <c r="C1474" t="inlineStr">
        <is>
          <t>CR-201</t>
        </is>
      </c>
      <c r="D1474" t="inlineStr">
        <is>
          <t>ISO 8</t>
        </is>
      </c>
      <c r="E1474" t="inlineStr">
        <is>
          <t>Surface contact</t>
        </is>
      </c>
      <c r="F1474" t="n">
        <v>1</v>
      </c>
      <c r="G1474" t="inlineStr">
        <is>
          <t>Tech D</t>
        </is>
      </c>
      <c r="H1474">
        <f>INDEX(Limits!$B$2:$B$5,MATCH(E1474,Limits!$A$2:$A$5,0))</f>
        <v/>
      </c>
      <c r="I1474">
        <f>INDEX(Limits!$C$2:$C$5,MATCH(E1474,Limits!$A$2:$A$5,0))</f>
        <v/>
      </c>
      <c r="J1474">
        <f>IF(F1474&gt;=I1474,"Action",IF(F1474&gt;=H1474,"Alert","Pass"))</f>
        <v/>
      </c>
      <c r="K1474" s="4">
        <f>DATE(YEAR(B1474),MONTH(B1474),1)</f>
        <v/>
      </c>
    </row>
    <row r="1475">
      <c r="A1475" t="inlineStr">
        <is>
          <t>EM001474</t>
        </is>
      </c>
      <c r="B1475" s="7" t="n">
        <v>46134</v>
      </c>
      <c r="C1475" t="inlineStr">
        <is>
          <t>CR-201</t>
        </is>
      </c>
      <c r="D1475" t="inlineStr">
        <is>
          <t>ISO 8</t>
        </is>
      </c>
      <c r="E1475" t="inlineStr">
        <is>
          <t>Compressed air</t>
        </is>
      </c>
      <c r="F1475" t="n">
        <v>0</v>
      </c>
      <c r="G1475" t="inlineStr">
        <is>
          <t>Tech C</t>
        </is>
      </c>
      <c r="H1475">
        <f>INDEX(Limits!$B$2:$B$5,MATCH(E1475,Limits!$A$2:$A$5,0))</f>
        <v/>
      </c>
      <c r="I1475">
        <f>INDEX(Limits!$C$2:$C$5,MATCH(E1475,Limits!$A$2:$A$5,0))</f>
        <v/>
      </c>
      <c r="J1475">
        <f>IF(F1475&gt;=I1475,"Action",IF(F1475&gt;=H1475,"Alert","Pass"))</f>
        <v/>
      </c>
      <c r="K1475" s="4">
        <f>DATE(YEAR(B1475),MONTH(B1475),1)</f>
        <v/>
      </c>
    </row>
    <row r="1476">
      <c r="A1476" t="inlineStr">
        <is>
          <t>EM001475</t>
        </is>
      </c>
      <c r="B1476" s="7" t="n">
        <v>46134</v>
      </c>
      <c r="C1476" t="inlineStr">
        <is>
          <t>CR-201</t>
        </is>
      </c>
      <c r="D1476" t="inlineStr">
        <is>
          <t>ISO 8</t>
        </is>
      </c>
      <c r="E1476" t="inlineStr">
        <is>
          <t>Personnel glove</t>
        </is>
      </c>
      <c r="F1476" t="n">
        <v>0</v>
      </c>
      <c r="G1476" t="inlineStr">
        <is>
          <t>Tech C</t>
        </is>
      </c>
      <c r="H1476">
        <f>INDEX(Limits!$B$2:$B$5,MATCH(E1476,Limits!$A$2:$A$5,0))</f>
        <v/>
      </c>
      <c r="I1476">
        <f>INDEX(Limits!$C$2:$C$5,MATCH(E1476,Limits!$A$2:$A$5,0))</f>
        <v/>
      </c>
      <c r="J1476">
        <f>IF(F1476&gt;=I1476,"Action",IF(F1476&gt;=H1476,"Alert","Pass"))</f>
        <v/>
      </c>
      <c r="K1476" s="4">
        <f>DATE(YEAR(B1476),MONTH(B1476),1)</f>
        <v/>
      </c>
    </row>
    <row r="1477">
      <c r="A1477" t="inlineStr">
        <is>
          <t>EM001476</t>
        </is>
      </c>
      <c r="B1477" s="7" t="n">
        <v>46134</v>
      </c>
      <c r="C1477" t="inlineStr">
        <is>
          <t>CR-202</t>
        </is>
      </c>
      <c r="D1477" t="inlineStr">
        <is>
          <t>ISO 8</t>
        </is>
      </c>
      <c r="E1477" t="inlineStr">
        <is>
          <t>Active air</t>
        </is>
      </c>
      <c r="F1477" t="n">
        <v>2</v>
      </c>
      <c r="G1477" t="inlineStr">
        <is>
          <t>Tech D</t>
        </is>
      </c>
      <c r="H1477">
        <f>INDEX(Limits!$B$2:$B$5,MATCH(E1477,Limits!$A$2:$A$5,0))</f>
        <v/>
      </c>
      <c r="I1477">
        <f>INDEX(Limits!$C$2:$C$5,MATCH(E1477,Limits!$A$2:$A$5,0))</f>
        <v/>
      </c>
      <c r="J1477">
        <f>IF(F1477&gt;=I1477,"Action",IF(F1477&gt;=H1477,"Alert","Pass"))</f>
        <v/>
      </c>
      <c r="K1477" s="4">
        <f>DATE(YEAR(B1477),MONTH(B1477),1)</f>
        <v/>
      </c>
    </row>
    <row r="1478">
      <c r="A1478" t="inlineStr">
        <is>
          <t>EM001477</t>
        </is>
      </c>
      <c r="B1478" s="7" t="n">
        <v>46134</v>
      </c>
      <c r="C1478" t="inlineStr">
        <is>
          <t>CR-202</t>
        </is>
      </c>
      <c r="D1478" t="inlineStr">
        <is>
          <t>ISO 8</t>
        </is>
      </c>
      <c r="E1478" t="inlineStr">
        <is>
          <t>Surface contact</t>
        </is>
      </c>
      <c r="F1478" t="n">
        <v>0</v>
      </c>
      <c r="G1478" t="inlineStr">
        <is>
          <t>Tech B</t>
        </is>
      </c>
      <c r="H1478">
        <f>INDEX(Limits!$B$2:$B$5,MATCH(E1478,Limits!$A$2:$A$5,0))</f>
        <v/>
      </c>
      <c r="I1478">
        <f>INDEX(Limits!$C$2:$C$5,MATCH(E1478,Limits!$A$2:$A$5,0))</f>
        <v/>
      </c>
      <c r="J1478">
        <f>IF(F1478&gt;=I1478,"Action",IF(F1478&gt;=H1478,"Alert","Pass"))</f>
        <v/>
      </c>
      <c r="K1478" s="4">
        <f>DATE(YEAR(B1478),MONTH(B1478),1)</f>
        <v/>
      </c>
    </row>
    <row r="1479">
      <c r="A1479" t="inlineStr">
        <is>
          <t>EM001478</t>
        </is>
      </c>
      <c r="B1479" s="7" t="n">
        <v>46134</v>
      </c>
      <c r="C1479" t="inlineStr">
        <is>
          <t>CR-202</t>
        </is>
      </c>
      <c r="D1479" t="inlineStr">
        <is>
          <t>ISO 8</t>
        </is>
      </c>
      <c r="E1479" t="inlineStr">
        <is>
          <t>Compressed air</t>
        </is>
      </c>
      <c r="F1479" t="n">
        <v>0</v>
      </c>
      <c r="G1479" t="inlineStr">
        <is>
          <t>Tech B</t>
        </is>
      </c>
      <c r="H1479">
        <f>INDEX(Limits!$B$2:$B$5,MATCH(E1479,Limits!$A$2:$A$5,0))</f>
        <v/>
      </c>
      <c r="I1479">
        <f>INDEX(Limits!$C$2:$C$5,MATCH(E1479,Limits!$A$2:$A$5,0))</f>
        <v/>
      </c>
      <c r="J1479">
        <f>IF(F1479&gt;=I1479,"Action",IF(F1479&gt;=H1479,"Alert","Pass"))</f>
        <v/>
      </c>
      <c r="K1479" s="4">
        <f>DATE(YEAR(B1479),MONTH(B1479),1)</f>
        <v/>
      </c>
    </row>
    <row r="1480">
      <c r="A1480" t="inlineStr">
        <is>
          <t>EM001479</t>
        </is>
      </c>
      <c r="B1480" s="7" t="n">
        <v>46134</v>
      </c>
      <c r="C1480" t="inlineStr">
        <is>
          <t>CR-202</t>
        </is>
      </c>
      <c r="D1480" t="inlineStr">
        <is>
          <t>ISO 8</t>
        </is>
      </c>
      <c r="E1480" t="inlineStr">
        <is>
          <t>Personnel glove</t>
        </is>
      </c>
      <c r="F1480" t="n">
        <v>0</v>
      </c>
      <c r="G1480" t="inlineStr">
        <is>
          <t>Tech B</t>
        </is>
      </c>
      <c r="H1480">
        <f>INDEX(Limits!$B$2:$B$5,MATCH(E1480,Limits!$A$2:$A$5,0))</f>
        <v/>
      </c>
      <c r="I1480">
        <f>INDEX(Limits!$C$2:$C$5,MATCH(E1480,Limits!$A$2:$A$5,0))</f>
        <v/>
      </c>
      <c r="J1480">
        <f>IF(F1480&gt;=I1480,"Action",IF(F1480&gt;=H1480,"Alert","Pass"))</f>
        <v/>
      </c>
      <c r="K1480" s="4">
        <f>DATE(YEAR(B1480),MONTH(B1480),1)</f>
        <v/>
      </c>
    </row>
    <row r="1481">
      <c r="A1481" t="inlineStr">
        <is>
          <t>EM001480</t>
        </is>
      </c>
      <c r="B1481" s="7" t="n">
        <v>46134</v>
      </c>
      <c r="C1481" t="inlineStr">
        <is>
          <t>Gowning</t>
        </is>
      </c>
      <c r="D1481" t="inlineStr">
        <is>
          <t>ISO 8</t>
        </is>
      </c>
      <c r="E1481" t="inlineStr">
        <is>
          <t>Active air</t>
        </is>
      </c>
      <c r="F1481" t="n">
        <v>2</v>
      </c>
      <c r="G1481" t="inlineStr">
        <is>
          <t>Tech B</t>
        </is>
      </c>
      <c r="H1481">
        <f>INDEX(Limits!$B$2:$B$5,MATCH(E1481,Limits!$A$2:$A$5,0))</f>
        <v/>
      </c>
      <c r="I1481">
        <f>INDEX(Limits!$C$2:$C$5,MATCH(E1481,Limits!$A$2:$A$5,0))</f>
        <v/>
      </c>
      <c r="J1481">
        <f>IF(F1481&gt;=I1481,"Action",IF(F1481&gt;=H1481,"Alert","Pass"))</f>
        <v/>
      </c>
      <c r="K1481" s="4">
        <f>DATE(YEAR(B1481),MONTH(B1481),1)</f>
        <v/>
      </c>
    </row>
    <row r="1482">
      <c r="A1482" t="inlineStr">
        <is>
          <t>EM001481</t>
        </is>
      </c>
      <c r="B1482" s="7" t="n">
        <v>46134</v>
      </c>
      <c r="C1482" t="inlineStr">
        <is>
          <t>Gowning</t>
        </is>
      </c>
      <c r="D1482" t="inlineStr">
        <is>
          <t>ISO 8</t>
        </is>
      </c>
      <c r="E1482" t="inlineStr">
        <is>
          <t>Surface contact</t>
        </is>
      </c>
      <c r="F1482" t="n">
        <v>1</v>
      </c>
      <c r="G1482" t="inlineStr">
        <is>
          <t>Tech A</t>
        </is>
      </c>
      <c r="H1482">
        <f>INDEX(Limits!$B$2:$B$5,MATCH(E1482,Limits!$A$2:$A$5,0))</f>
        <v/>
      </c>
      <c r="I1482">
        <f>INDEX(Limits!$C$2:$C$5,MATCH(E1482,Limits!$A$2:$A$5,0))</f>
        <v/>
      </c>
      <c r="J1482">
        <f>IF(F1482&gt;=I1482,"Action",IF(F1482&gt;=H1482,"Alert","Pass"))</f>
        <v/>
      </c>
      <c r="K1482" s="4">
        <f>DATE(YEAR(B1482),MONTH(B1482),1)</f>
        <v/>
      </c>
    </row>
    <row r="1483">
      <c r="A1483" t="inlineStr">
        <is>
          <t>EM001482</t>
        </is>
      </c>
      <c r="B1483" s="7" t="n">
        <v>46134</v>
      </c>
      <c r="C1483" t="inlineStr">
        <is>
          <t>Gowning</t>
        </is>
      </c>
      <c r="D1483" t="inlineStr">
        <is>
          <t>ISO 8</t>
        </is>
      </c>
      <c r="E1483" t="inlineStr">
        <is>
          <t>Personnel glove</t>
        </is>
      </c>
      <c r="F1483" t="n">
        <v>0</v>
      </c>
      <c r="G1483" t="inlineStr">
        <is>
          <t>Tech A</t>
        </is>
      </c>
      <c r="H1483">
        <f>INDEX(Limits!$B$2:$B$5,MATCH(E1483,Limits!$A$2:$A$5,0))</f>
        <v/>
      </c>
      <c r="I1483">
        <f>INDEX(Limits!$C$2:$C$5,MATCH(E1483,Limits!$A$2:$A$5,0))</f>
        <v/>
      </c>
      <c r="J1483">
        <f>IF(F1483&gt;=I1483,"Action",IF(F1483&gt;=H1483,"Alert","Pass"))</f>
        <v/>
      </c>
      <c r="K1483" s="4">
        <f>DATE(YEAR(B1483),MONTH(B1483),1)</f>
        <v/>
      </c>
    </row>
    <row r="1484">
      <c r="A1484" t="inlineStr">
        <is>
          <t>EM001483</t>
        </is>
      </c>
      <c r="B1484" s="7" t="n">
        <v>46135</v>
      </c>
      <c r="C1484" t="inlineStr">
        <is>
          <t>CR-101</t>
        </is>
      </c>
      <c r="D1484" t="inlineStr">
        <is>
          <t>ISO 7</t>
        </is>
      </c>
      <c r="E1484" t="inlineStr">
        <is>
          <t>Active air</t>
        </is>
      </c>
      <c r="F1484" t="n">
        <v>0</v>
      </c>
      <c r="G1484" t="inlineStr">
        <is>
          <t>Tech C</t>
        </is>
      </c>
      <c r="H1484">
        <f>INDEX(Limits!$B$2:$B$5,MATCH(E1484,Limits!$A$2:$A$5,0))</f>
        <v/>
      </c>
      <c r="I1484">
        <f>INDEX(Limits!$C$2:$C$5,MATCH(E1484,Limits!$A$2:$A$5,0))</f>
        <v/>
      </c>
      <c r="J1484">
        <f>IF(F1484&gt;=I1484,"Action",IF(F1484&gt;=H1484,"Alert","Pass"))</f>
        <v/>
      </c>
      <c r="K1484" s="4">
        <f>DATE(YEAR(B1484),MONTH(B1484),1)</f>
        <v/>
      </c>
    </row>
    <row r="1485">
      <c r="A1485" t="inlineStr">
        <is>
          <t>EM001484</t>
        </is>
      </c>
      <c r="B1485" s="7" t="n">
        <v>46135</v>
      </c>
      <c r="C1485" t="inlineStr">
        <is>
          <t>CR-101</t>
        </is>
      </c>
      <c r="D1485" t="inlineStr">
        <is>
          <t>ISO 7</t>
        </is>
      </c>
      <c r="E1485" t="inlineStr">
        <is>
          <t>Surface contact</t>
        </is>
      </c>
      <c r="F1485" t="n">
        <v>0</v>
      </c>
      <c r="G1485" t="inlineStr">
        <is>
          <t>Tech D</t>
        </is>
      </c>
      <c r="H1485">
        <f>INDEX(Limits!$B$2:$B$5,MATCH(E1485,Limits!$A$2:$A$5,0))</f>
        <v/>
      </c>
      <c r="I1485">
        <f>INDEX(Limits!$C$2:$C$5,MATCH(E1485,Limits!$A$2:$A$5,0))</f>
        <v/>
      </c>
      <c r="J1485">
        <f>IF(F1485&gt;=I1485,"Action",IF(F1485&gt;=H1485,"Alert","Pass"))</f>
        <v/>
      </c>
      <c r="K1485" s="4">
        <f>DATE(YEAR(B1485),MONTH(B1485),1)</f>
        <v/>
      </c>
    </row>
    <row r="1486">
      <c r="A1486" t="inlineStr">
        <is>
          <t>EM001485</t>
        </is>
      </c>
      <c r="B1486" s="7" t="n">
        <v>46135</v>
      </c>
      <c r="C1486" t="inlineStr">
        <is>
          <t>CR-101</t>
        </is>
      </c>
      <c r="D1486" t="inlineStr">
        <is>
          <t>ISO 7</t>
        </is>
      </c>
      <c r="E1486" t="inlineStr">
        <is>
          <t>Compressed air</t>
        </is>
      </c>
      <c r="F1486" t="n">
        <v>0</v>
      </c>
      <c r="G1486" t="inlineStr">
        <is>
          <t>Tech D</t>
        </is>
      </c>
      <c r="H1486">
        <f>INDEX(Limits!$B$2:$B$5,MATCH(E1486,Limits!$A$2:$A$5,0))</f>
        <v/>
      </c>
      <c r="I1486">
        <f>INDEX(Limits!$C$2:$C$5,MATCH(E1486,Limits!$A$2:$A$5,0))</f>
        <v/>
      </c>
      <c r="J1486">
        <f>IF(F1486&gt;=I1486,"Action",IF(F1486&gt;=H1486,"Alert","Pass"))</f>
        <v/>
      </c>
      <c r="K1486" s="4">
        <f>DATE(YEAR(B1486),MONTH(B1486),1)</f>
        <v/>
      </c>
    </row>
    <row r="1487">
      <c r="A1487" t="inlineStr">
        <is>
          <t>EM001486</t>
        </is>
      </c>
      <c r="B1487" s="7" t="n">
        <v>46135</v>
      </c>
      <c r="C1487" t="inlineStr">
        <is>
          <t>CR-101</t>
        </is>
      </c>
      <c r="D1487" t="inlineStr">
        <is>
          <t>ISO 7</t>
        </is>
      </c>
      <c r="E1487" t="inlineStr">
        <is>
          <t>Personnel glove</t>
        </is>
      </c>
      <c r="F1487" t="n">
        <v>0</v>
      </c>
      <c r="G1487" t="inlineStr">
        <is>
          <t>Tech A</t>
        </is>
      </c>
      <c r="H1487">
        <f>INDEX(Limits!$B$2:$B$5,MATCH(E1487,Limits!$A$2:$A$5,0))</f>
        <v/>
      </c>
      <c r="I1487">
        <f>INDEX(Limits!$C$2:$C$5,MATCH(E1487,Limits!$A$2:$A$5,0))</f>
        <v/>
      </c>
      <c r="J1487">
        <f>IF(F1487&gt;=I1487,"Action",IF(F1487&gt;=H1487,"Alert","Pass"))</f>
        <v/>
      </c>
      <c r="K1487" s="4">
        <f>DATE(YEAR(B1487),MONTH(B1487),1)</f>
        <v/>
      </c>
    </row>
    <row r="1488">
      <c r="A1488" t="inlineStr">
        <is>
          <t>EM001487</t>
        </is>
      </c>
      <c r="B1488" s="7" t="n">
        <v>46135</v>
      </c>
      <c r="C1488" t="inlineStr">
        <is>
          <t>CR-102</t>
        </is>
      </c>
      <c r="D1488" t="inlineStr">
        <is>
          <t>ISO 7</t>
        </is>
      </c>
      <c r="E1488" t="inlineStr">
        <is>
          <t>Active air</t>
        </is>
      </c>
      <c r="F1488" t="n">
        <v>2</v>
      </c>
      <c r="G1488" t="inlineStr">
        <is>
          <t>Tech D</t>
        </is>
      </c>
      <c r="H1488">
        <f>INDEX(Limits!$B$2:$B$5,MATCH(E1488,Limits!$A$2:$A$5,0))</f>
        <v/>
      </c>
      <c r="I1488">
        <f>INDEX(Limits!$C$2:$C$5,MATCH(E1488,Limits!$A$2:$A$5,0))</f>
        <v/>
      </c>
      <c r="J1488">
        <f>IF(F1488&gt;=I1488,"Action",IF(F1488&gt;=H1488,"Alert","Pass"))</f>
        <v/>
      </c>
      <c r="K1488" s="4">
        <f>DATE(YEAR(B1488),MONTH(B1488),1)</f>
        <v/>
      </c>
    </row>
    <row r="1489">
      <c r="A1489" t="inlineStr">
        <is>
          <t>EM001488</t>
        </is>
      </c>
      <c r="B1489" s="7" t="n">
        <v>46135</v>
      </c>
      <c r="C1489" t="inlineStr">
        <is>
          <t>CR-102</t>
        </is>
      </c>
      <c r="D1489" t="inlineStr">
        <is>
          <t>ISO 7</t>
        </is>
      </c>
      <c r="E1489" t="inlineStr">
        <is>
          <t>Surface contact</t>
        </is>
      </c>
      <c r="F1489" t="n">
        <v>0</v>
      </c>
      <c r="G1489" t="inlineStr">
        <is>
          <t>Tech C</t>
        </is>
      </c>
      <c r="H1489">
        <f>INDEX(Limits!$B$2:$B$5,MATCH(E1489,Limits!$A$2:$A$5,0))</f>
        <v/>
      </c>
      <c r="I1489">
        <f>INDEX(Limits!$C$2:$C$5,MATCH(E1489,Limits!$A$2:$A$5,0))</f>
        <v/>
      </c>
      <c r="J1489">
        <f>IF(F1489&gt;=I1489,"Action",IF(F1489&gt;=H1489,"Alert","Pass"))</f>
        <v/>
      </c>
      <c r="K1489" s="4">
        <f>DATE(YEAR(B1489),MONTH(B1489),1)</f>
        <v/>
      </c>
    </row>
    <row r="1490">
      <c r="A1490" t="inlineStr">
        <is>
          <t>EM001489</t>
        </is>
      </c>
      <c r="B1490" s="7" t="n">
        <v>46135</v>
      </c>
      <c r="C1490" t="inlineStr">
        <is>
          <t>CR-102</t>
        </is>
      </c>
      <c r="D1490" t="inlineStr">
        <is>
          <t>ISO 7</t>
        </is>
      </c>
      <c r="E1490" t="inlineStr">
        <is>
          <t>Compressed air</t>
        </is>
      </c>
      <c r="F1490" t="n">
        <v>0</v>
      </c>
      <c r="G1490" t="inlineStr">
        <is>
          <t>Tech D</t>
        </is>
      </c>
      <c r="H1490">
        <f>INDEX(Limits!$B$2:$B$5,MATCH(E1490,Limits!$A$2:$A$5,0))</f>
        <v/>
      </c>
      <c r="I1490">
        <f>INDEX(Limits!$C$2:$C$5,MATCH(E1490,Limits!$A$2:$A$5,0))</f>
        <v/>
      </c>
      <c r="J1490">
        <f>IF(F1490&gt;=I1490,"Action",IF(F1490&gt;=H1490,"Alert","Pass"))</f>
        <v/>
      </c>
      <c r="K1490" s="4">
        <f>DATE(YEAR(B1490),MONTH(B1490),1)</f>
        <v/>
      </c>
    </row>
    <row r="1491">
      <c r="A1491" t="inlineStr">
        <is>
          <t>EM001490</t>
        </is>
      </c>
      <c r="B1491" s="7" t="n">
        <v>46135</v>
      </c>
      <c r="C1491" t="inlineStr">
        <is>
          <t>CR-102</t>
        </is>
      </c>
      <c r="D1491" t="inlineStr">
        <is>
          <t>ISO 7</t>
        </is>
      </c>
      <c r="E1491" t="inlineStr">
        <is>
          <t>Personnel glove</t>
        </is>
      </c>
      <c r="F1491" t="n">
        <v>0</v>
      </c>
      <c r="G1491" t="inlineStr">
        <is>
          <t>Tech A</t>
        </is>
      </c>
      <c r="H1491">
        <f>INDEX(Limits!$B$2:$B$5,MATCH(E1491,Limits!$A$2:$A$5,0))</f>
        <v/>
      </c>
      <c r="I1491">
        <f>INDEX(Limits!$C$2:$C$5,MATCH(E1491,Limits!$A$2:$A$5,0))</f>
        <v/>
      </c>
      <c r="J1491">
        <f>IF(F1491&gt;=I1491,"Action",IF(F1491&gt;=H1491,"Alert","Pass"))</f>
        <v/>
      </c>
      <c r="K1491" s="4">
        <f>DATE(YEAR(B1491),MONTH(B1491),1)</f>
        <v/>
      </c>
    </row>
    <row r="1492">
      <c r="A1492" t="inlineStr">
        <is>
          <t>EM001491</t>
        </is>
      </c>
      <c r="B1492" s="7" t="n">
        <v>46135</v>
      </c>
      <c r="C1492" t="inlineStr">
        <is>
          <t>CR-201</t>
        </is>
      </c>
      <c r="D1492" t="inlineStr">
        <is>
          <t>ISO 8</t>
        </is>
      </c>
      <c r="E1492" t="inlineStr">
        <is>
          <t>Active air</t>
        </is>
      </c>
      <c r="F1492" t="n">
        <v>1</v>
      </c>
      <c r="G1492" t="inlineStr">
        <is>
          <t>Tech C</t>
        </is>
      </c>
      <c r="H1492">
        <f>INDEX(Limits!$B$2:$B$5,MATCH(E1492,Limits!$A$2:$A$5,0))</f>
        <v/>
      </c>
      <c r="I1492">
        <f>INDEX(Limits!$C$2:$C$5,MATCH(E1492,Limits!$A$2:$A$5,0))</f>
        <v/>
      </c>
      <c r="J1492">
        <f>IF(F1492&gt;=I1492,"Action",IF(F1492&gt;=H1492,"Alert","Pass"))</f>
        <v/>
      </c>
      <c r="K1492" s="4">
        <f>DATE(YEAR(B1492),MONTH(B1492),1)</f>
        <v/>
      </c>
    </row>
    <row r="1493">
      <c r="A1493" t="inlineStr">
        <is>
          <t>EM001492</t>
        </is>
      </c>
      <c r="B1493" s="7" t="n">
        <v>46135</v>
      </c>
      <c r="C1493" t="inlineStr">
        <is>
          <t>CR-201</t>
        </is>
      </c>
      <c r="D1493" t="inlineStr">
        <is>
          <t>ISO 8</t>
        </is>
      </c>
      <c r="E1493" t="inlineStr">
        <is>
          <t>Surface contact</t>
        </is>
      </c>
      <c r="F1493" t="n">
        <v>0</v>
      </c>
      <c r="G1493" t="inlineStr">
        <is>
          <t>Tech C</t>
        </is>
      </c>
      <c r="H1493">
        <f>INDEX(Limits!$B$2:$B$5,MATCH(E1493,Limits!$A$2:$A$5,0))</f>
        <v/>
      </c>
      <c r="I1493">
        <f>INDEX(Limits!$C$2:$C$5,MATCH(E1493,Limits!$A$2:$A$5,0))</f>
        <v/>
      </c>
      <c r="J1493">
        <f>IF(F1493&gt;=I1493,"Action",IF(F1493&gt;=H1493,"Alert","Pass"))</f>
        <v/>
      </c>
      <c r="K1493" s="4">
        <f>DATE(YEAR(B1493),MONTH(B1493),1)</f>
        <v/>
      </c>
    </row>
    <row r="1494">
      <c r="A1494" t="inlineStr">
        <is>
          <t>EM001493</t>
        </is>
      </c>
      <c r="B1494" s="7" t="n">
        <v>46135</v>
      </c>
      <c r="C1494" t="inlineStr">
        <is>
          <t>CR-201</t>
        </is>
      </c>
      <c r="D1494" t="inlineStr">
        <is>
          <t>ISO 8</t>
        </is>
      </c>
      <c r="E1494" t="inlineStr">
        <is>
          <t>Compressed air</t>
        </is>
      </c>
      <c r="F1494" t="n">
        <v>0</v>
      </c>
      <c r="G1494" t="inlineStr">
        <is>
          <t>Tech D</t>
        </is>
      </c>
      <c r="H1494">
        <f>INDEX(Limits!$B$2:$B$5,MATCH(E1494,Limits!$A$2:$A$5,0))</f>
        <v/>
      </c>
      <c r="I1494">
        <f>INDEX(Limits!$C$2:$C$5,MATCH(E1494,Limits!$A$2:$A$5,0))</f>
        <v/>
      </c>
      <c r="J1494">
        <f>IF(F1494&gt;=I1494,"Action",IF(F1494&gt;=H1494,"Alert","Pass"))</f>
        <v/>
      </c>
      <c r="K1494" s="4">
        <f>DATE(YEAR(B1494),MONTH(B1494),1)</f>
        <v/>
      </c>
    </row>
    <row r="1495">
      <c r="A1495" t="inlineStr">
        <is>
          <t>EM001494</t>
        </is>
      </c>
      <c r="B1495" s="7" t="n">
        <v>46135</v>
      </c>
      <c r="C1495" t="inlineStr">
        <is>
          <t>CR-201</t>
        </is>
      </c>
      <c r="D1495" t="inlineStr">
        <is>
          <t>ISO 8</t>
        </is>
      </c>
      <c r="E1495" t="inlineStr">
        <is>
          <t>Personnel glove</t>
        </is>
      </c>
      <c r="F1495" t="n">
        <v>1</v>
      </c>
      <c r="G1495" t="inlineStr">
        <is>
          <t>Tech C</t>
        </is>
      </c>
      <c r="H1495">
        <f>INDEX(Limits!$B$2:$B$5,MATCH(E1495,Limits!$A$2:$A$5,0))</f>
        <v/>
      </c>
      <c r="I1495">
        <f>INDEX(Limits!$C$2:$C$5,MATCH(E1495,Limits!$A$2:$A$5,0))</f>
        <v/>
      </c>
      <c r="J1495">
        <f>IF(F1495&gt;=I1495,"Action",IF(F1495&gt;=H1495,"Alert","Pass"))</f>
        <v/>
      </c>
      <c r="K1495" s="4">
        <f>DATE(YEAR(B1495),MONTH(B1495),1)</f>
        <v/>
      </c>
    </row>
    <row r="1496">
      <c r="A1496" t="inlineStr">
        <is>
          <t>EM001495</t>
        </is>
      </c>
      <c r="B1496" s="7" t="n">
        <v>46135</v>
      </c>
      <c r="C1496" t="inlineStr">
        <is>
          <t>CR-202</t>
        </is>
      </c>
      <c r="D1496" t="inlineStr">
        <is>
          <t>ISO 8</t>
        </is>
      </c>
      <c r="E1496" t="inlineStr">
        <is>
          <t>Active air</t>
        </is>
      </c>
      <c r="F1496" t="n">
        <v>1</v>
      </c>
      <c r="G1496" t="inlineStr">
        <is>
          <t>Tech A</t>
        </is>
      </c>
      <c r="H1496">
        <f>INDEX(Limits!$B$2:$B$5,MATCH(E1496,Limits!$A$2:$A$5,0))</f>
        <v/>
      </c>
      <c r="I1496">
        <f>INDEX(Limits!$C$2:$C$5,MATCH(E1496,Limits!$A$2:$A$5,0))</f>
        <v/>
      </c>
      <c r="J1496">
        <f>IF(F1496&gt;=I1496,"Action",IF(F1496&gt;=H1496,"Alert","Pass"))</f>
        <v/>
      </c>
      <c r="K1496" s="4">
        <f>DATE(YEAR(B1496),MONTH(B1496),1)</f>
        <v/>
      </c>
    </row>
    <row r="1497">
      <c r="A1497" t="inlineStr">
        <is>
          <t>EM001496</t>
        </is>
      </c>
      <c r="B1497" s="7" t="n">
        <v>46135</v>
      </c>
      <c r="C1497" t="inlineStr">
        <is>
          <t>CR-202</t>
        </is>
      </c>
      <c r="D1497" t="inlineStr">
        <is>
          <t>ISO 8</t>
        </is>
      </c>
      <c r="E1497" t="inlineStr">
        <is>
          <t>Surface contact</t>
        </is>
      </c>
      <c r="F1497" t="n">
        <v>0</v>
      </c>
      <c r="G1497" t="inlineStr">
        <is>
          <t>Tech C</t>
        </is>
      </c>
      <c r="H1497">
        <f>INDEX(Limits!$B$2:$B$5,MATCH(E1497,Limits!$A$2:$A$5,0))</f>
        <v/>
      </c>
      <c r="I1497">
        <f>INDEX(Limits!$C$2:$C$5,MATCH(E1497,Limits!$A$2:$A$5,0))</f>
        <v/>
      </c>
      <c r="J1497">
        <f>IF(F1497&gt;=I1497,"Action",IF(F1497&gt;=H1497,"Alert","Pass"))</f>
        <v/>
      </c>
      <c r="K1497" s="4">
        <f>DATE(YEAR(B1497),MONTH(B1497),1)</f>
        <v/>
      </c>
    </row>
    <row r="1498">
      <c r="A1498" t="inlineStr">
        <is>
          <t>EM001497</t>
        </is>
      </c>
      <c r="B1498" s="7" t="n">
        <v>46135</v>
      </c>
      <c r="C1498" t="inlineStr">
        <is>
          <t>CR-202</t>
        </is>
      </c>
      <c r="D1498" t="inlineStr">
        <is>
          <t>ISO 8</t>
        </is>
      </c>
      <c r="E1498" t="inlineStr">
        <is>
          <t>Compressed air</t>
        </is>
      </c>
      <c r="F1498" t="n">
        <v>0</v>
      </c>
      <c r="G1498" t="inlineStr">
        <is>
          <t>Tech C</t>
        </is>
      </c>
      <c r="H1498">
        <f>INDEX(Limits!$B$2:$B$5,MATCH(E1498,Limits!$A$2:$A$5,0))</f>
        <v/>
      </c>
      <c r="I1498">
        <f>INDEX(Limits!$C$2:$C$5,MATCH(E1498,Limits!$A$2:$A$5,0))</f>
        <v/>
      </c>
      <c r="J1498">
        <f>IF(F1498&gt;=I1498,"Action",IF(F1498&gt;=H1498,"Alert","Pass"))</f>
        <v/>
      </c>
      <c r="K1498" s="4">
        <f>DATE(YEAR(B1498),MONTH(B1498),1)</f>
        <v/>
      </c>
    </row>
    <row r="1499">
      <c r="A1499" t="inlineStr">
        <is>
          <t>EM001498</t>
        </is>
      </c>
      <c r="B1499" s="7" t="n">
        <v>46135</v>
      </c>
      <c r="C1499" t="inlineStr">
        <is>
          <t>CR-202</t>
        </is>
      </c>
      <c r="D1499" t="inlineStr">
        <is>
          <t>ISO 8</t>
        </is>
      </c>
      <c r="E1499" t="inlineStr">
        <is>
          <t>Personnel glove</t>
        </is>
      </c>
      <c r="F1499" t="n">
        <v>0</v>
      </c>
      <c r="G1499" t="inlineStr">
        <is>
          <t>Tech A</t>
        </is>
      </c>
      <c r="H1499">
        <f>INDEX(Limits!$B$2:$B$5,MATCH(E1499,Limits!$A$2:$A$5,0))</f>
        <v/>
      </c>
      <c r="I1499">
        <f>INDEX(Limits!$C$2:$C$5,MATCH(E1499,Limits!$A$2:$A$5,0))</f>
        <v/>
      </c>
      <c r="J1499">
        <f>IF(F1499&gt;=I1499,"Action",IF(F1499&gt;=H1499,"Alert","Pass"))</f>
        <v/>
      </c>
      <c r="K1499" s="4">
        <f>DATE(YEAR(B1499),MONTH(B1499),1)</f>
        <v/>
      </c>
    </row>
    <row r="1500">
      <c r="A1500" t="inlineStr">
        <is>
          <t>EM001499</t>
        </is>
      </c>
      <c r="B1500" s="7" t="n">
        <v>46135</v>
      </c>
      <c r="C1500" t="inlineStr">
        <is>
          <t>Gowning</t>
        </is>
      </c>
      <c r="D1500" t="inlineStr">
        <is>
          <t>ISO 8</t>
        </is>
      </c>
      <c r="E1500" t="inlineStr">
        <is>
          <t>Active air</t>
        </is>
      </c>
      <c r="F1500" t="n">
        <v>0</v>
      </c>
      <c r="G1500" t="inlineStr">
        <is>
          <t>Tech C</t>
        </is>
      </c>
      <c r="H1500">
        <f>INDEX(Limits!$B$2:$B$5,MATCH(E1500,Limits!$A$2:$A$5,0))</f>
        <v/>
      </c>
      <c r="I1500">
        <f>INDEX(Limits!$C$2:$C$5,MATCH(E1500,Limits!$A$2:$A$5,0))</f>
        <v/>
      </c>
      <c r="J1500">
        <f>IF(F1500&gt;=I1500,"Action",IF(F1500&gt;=H1500,"Alert","Pass"))</f>
        <v/>
      </c>
      <c r="K1500" s="4">
        <f>DATE(YEAR(B1500),MONTH(B1500),1)</f>
        <v/>
      </c>
    </row>
    <row r="1501">
      <c r="A1501" t="inlineStr">
        <is>
          <t>EM001500</t>
        </is>
      </c>
      <c r="B1501" s="7" t="n">
        <v>46135</v>
      </c>
      <c r="C1501" t="inlineStr">
        <is>
          <t>Gowning</t>
        </is>
      </c>
      <c r="D1501" t="inlineStr">
        <is>
          <t>ISO 8</t>
        </is>
      </c>
      <c r="E1501" t="inlineStr">
        <is>
          <t>Surface contact</t>
        </is>
      </c>
      <c r="F1501" t="n">
        <v>1</v>
      </c>
      <c r="G1501" t="inlineStr">
        <is>
          <t>Tech A</t>
        </is>
      </c>
      <c r="H1501">
        <f>INDEX(Limits!$B$2:$B$5,MATCH(E1501,Limits!$A$2:$A$5,0))</f>
        <v/>
      </c>
      <c r="I1501">
        <f>INDEX(Limits!$C$2:$C$5,MATCH(E1501,Limits!$A$2:$A$5,0))</f>
        <v/>
      </c>
      <c r="J1501">
        <f>IF(F1501&gt;=I1501,"Action",IF(F1501&gt;=H1501,"Alert","Pass"))</f>
        <v/>
      </c>
      <c r="K1501" s="4">
        <f>DATE(YEAR(B1501),MONTH(B1501),1)</f>
        <v/>
      </c>
    </row>
    <row r="1502">
      <c r="A1502" t="inlineStr">
        <is>
          <t>EM001501</t>
        </is>
      </c>
      <c r="B1502" s="7" t="n">
        <v>46135</v>
      </c>
      <c r="C1502" t="inlineStr">
        <is>
          <t>Gowning</t>
        </is>
      </c>
      <c r="D1502" t="inlineStr">
        <is>
          <t>ISO 8</t>
        </is>
      </c>
      <c r="E1502" t="inlineStr">
        <is>
          <t>Personnel glove</t>
        </is>
      </c>
      <c r="F1502" t="n">
        <v>0</v>
      </c>
      <c r="G1502" t="inlineStr">
        <is>
          <t>Tech C</t>
        </is>
      </c>
      <c r="H1502">
        <f>INDEX(Limits!$B$2:$B$5,MATCH(E1502,Limits!$A$2:$A$5,0))</f>
        <v/>
      </c>
      <c r="I1502">
        <f>INDEX(Limits!$C$2:$C$5,MATCH(E1502,Limits!$A$2:$A$5,0))</f>
        <v/>
      </c>
      <c r="J1502">
        <f>IF(F1502&gt;=I1502,"Action",IF(F1502&gt;=H1502,"Alert","Pass"))</f>
        <v/>
      </c>
      <c r="K1502" s="4">
        <f>DATE(YEAR(B1502),MONTH(B1502),1)</f>
        <v/>
      </c>
    </row>
    <row r="1503">
      <c r="A1503" t="inlineStr">
        <is>
          <t>EM001502</t>
        </is>
      </c>
      <c r="B1503" s="7" t="n">
        <v>46136</v>
      </c>
      <c r="C1503" t="inlineStr">
        <is>
          <t>CR-101</t>
        </is>
      </c>
      <c r="D1503" t="inlineStr">
        <is>
          <t>ISO 7</t>
        </is>
      </c>
      <c r="E1503" t="inlineStr">
        <is>
          <t>Active air</t>
        </is>
      </c>
      <c r="F1503" t="n">
        <v>1</v>
      </c>
      <c r="G1503" t="inlineStr">
        <is>
          <t>Tech A</t>
        </is>
      </c>
      <c r="H1503">
        <f>INDEX(Limits!$B$2:$B$5,MATCH(E1503,Limits!$A$2:$A$5,0))</f>
        <v/>
      </c>
      <c r="I1503">
        <f>INDEX(Limits!$C$2:$C$5,MATCH(E1503,Limits!$A$2:$A$5,0))</f>
        <v/>
      </c>
      <c r="J1503">
        <f>IF(F1503&gt;=I1503,"Action",IF(F1503&gt;=H1503,"Alert","Pass"))</f>
        <v/>
      </c>
      <c r="K1503" s="4">
        <f>DATE(YEAR(B1503),MONTH(B1503),1)</f>
        <v/>
      </c>
    </row>
    <row r="1504">
      <c r="A1504" t="inlineStr">
        <is>
          <t>EM001503</t>
        </is>
      </c>
      <c r="B1504" s="7" t="n">
        <v>46136</v>
      </c>
      <c r="C1504" t="inlineStr">
        <is>
          <t>CR-101</t>
        </is>
      </c>
      <c r="D1504" t="inlineStr">
        <is>
          <t>ISO 7</t>
        </is>
      </c>
      <c r="E1504" t="inlineStr">
        <is>
          <t>Surface contact</t>
        </is>
      </c>
      <c r="F1504" t="n">
        <v>0</v>
      </c>
      <c r="G1504" t="inlineStr">
        <is>
          <t>Tech D</t>
        </is>
      </c>
      <c r="H1504">
        <f>INDEX(Limits!$B$2:$B$5,MATCH(E1504,Limits!$A$2:$A$5,0))</f>
        <v/>
      </c>
      <c r="I1504">
        <f>INDEX(Limits!$C$2:$C$5,MATCH(E1504,Limits!$A$2:$A$5,0))</f>
        <v/>
      </c>
      <c r="J1504">
        <f>IF(F1504&gt;=I1504,"Action",IF(F1504&gt;=H1504,"Alert","Pass"))</f>
        <v/>
      </c>
      <c r="K1504" s="4">
        <f>DATE(YEAR(B1504),MONTH(B1504),1)</f>
        <v/>
      </c>
    </row>
    <row r="1505">
      <c r="A1505" t="inlineStr">
        <is>
          <t>EM001504</t>
        </is>
      </c>
      <c r="B1505" s="7" t="n">
        <v>46136</v>
      </c>
      <c r="C1505" t="inlineStr">
        <is>
          <t>CR-101</t>
        </is>
      </c>
      <c r="D1505" t="inlineStr">
        <is>
          <t>ISO 7</t>
        </is>
      </c>
      <c r="E1505" t="inlineStr">
        <is>
          <t>Compressed air</t>
        </is>
      </c>
      <c r="F1505" t="n">
        <v>0</v>
      </c>
      <c r="G1505" t="inlineStr">
        <is>
          <t>Tech A</t>
        </is>
      </c>
      <c r="H1505">
        <f>INDEX(Limits!$B$2:$B$5,MATCH(E1505,Limits!$A$2:$A$5,0))</f>
        <v/>
      </c>
      <c r="I1505">
        <f>INDEX(Limits!$C$2:$C$5,MATCH(E1505,Limits!$A$2:$A$5,0))</f>
        <v/>
      </c>
      <c r="J1505">
        <f>IF(F1505&gt;=I1505,"Action",IF(F1505&gt;=H1505,"Alert","Pass"))</f>
        <v/>
      </c>
      <c r="K1505" s="4">
        <f>DATE(YEAR(B1505),MONTH(B1505),1)</f>
        <v/>
      </c>
    </row>
    <row r="1506">
      <c r="A1506" t="inlineStr">
        <is>
          <t>EM001505</t>
        </is>
      </c>
      <c r="B1506" s="7" t="n">
        <v>46136</v>
      </c>
      <c r="C1506" t="inlineStr">
        <is>
          <t>CR-101</t>
        </is>
      </c>
      <c r="D1506" t="inlineStr">
        <is>
          <t>ISO 7</t>
        </is>
      </c>
      <c r="E1506" t="inlineStr">
        <is>
          <t>Personnel glove</t>
        </is>
      </c>
      <c r="F1506" t="n">
        <v>0</v>
      </c>
      <c r="G1506" t="inlineStr">
        <is>
          <t>Tech B</t>
        </is>
      </c>
      <c r="H1506">
        <f>INDEX(Limits!$B$2:$B$5,MATCH(E1506,Limits!$A$2:$A$5,0))</f>
        <v/>
      </c>
      <c r="I1506">
        <f>INDEX(Limits!$C$2:$C$5,MATCH(E1506,Limits!$A$2:$A$5,0))</f>
        <v/>
      </c>
      <c r="J1506">
        <f>IF(F1506&gt;=I1506,"Action",IF(F1506&gt;=H1506,"Alert","Pass"))</f>
        <v/>
      </c>
      <c r="K1506" s="4">
        <f>DATE(YEAR(B1506),MONTH(B1506),1)</f>
        <v/>
      </c>
    </row>
    <row r="1507">
      <c r="A1507" t="inlineStr">
        <is>
          <t>EM001506</t>
        </is>
      </c>
      <c r="B1507" s="7" t="n">
        <v>46136</v>
      </c>
      <c r="C1507" t="inlineStr">
        <is>
          <t>CR-102</t>
        </is>
      </c>
      <c r="D1507" t="inlineStr">
        <is>
          <t>ISO 7</t>
        </is>
      </c>
      <c r="E1507" t="inlineStr">
        <is>
          <t>Active air</t>
        </is>
      </c>
      <c r="F1507" t="n">
        <v>1</v>
      </c>
      <c r="G1507" t="inlineStr">
        <is>
          <t>Tech C</t>
        </is>
      </c>
      <c r="H1507">
        <f>INDEX(Limits!$B$2:$B$5,MATCH(E1507,Limits!$A$2:$A$5,0))</f>
        <v/>
      </c>
      <c r="I1507">
        <f>INDEX(Limits!$C$2:$C$5,MATCH(E1507,Limits!$A$2:$A$5,0))</f>
        <v/>
      </c>
      <c r="J1507">
        <f>IF(F1507&gt;=I1507,"Action",IF(F1507&gt;=H1507,"Alert","Pass"))</f>
        <v/>
      </c>
      <c r="K1507" s="4">
        <f>DATE(YEAR(B1507),MONTH(B1507),1)</f>
        <v/>
      </c>
    </row>
    <row r="1508">
      <c r="A1508" t="inlineStr">
        <is>
          <t>EM001507</t>
        </is>
      </c>
      <c r="B1508" s="7" t="n">
        <v>46136</v>
      </c>
      <c r="C1508" t="inlineStr">
        <is>
          <t>CR-102</t>
        </is>
      </c>
      <c r="D1508" t="inlineStr">
        <is>
          <t>ISO 7</t>
        </is>
      </c>
      <c r="E1508" t="inlineStr">
        <is>
          <t>Surface contact</t>
        </is>
      </c>
      <c r="F1508" t="n">
        <v>1</v>
      </c>
      <c r="G1508" t="inlineStr">
        <is>
          <t>Tech D</t>
        </is>
      </c>
      <c r="H1508">
        <f>INDEX(Limits!$B$2:$B$5,MATCH(E1508,Limits!$A$2:$A$5,0))</f>
        <v/>
      </c>
      <c r="I1508">
        <f>INDEX(Limits!$C$2:$C$5,MATCH(E1508,Limits!$A$2:$A$5,0))</f>
        <v/>
      </c>
      <c r="J1508">
        <f>IF(F1508&gt;=I1508,"Action",IF(F1508&gt;=H1508,"Alert","Pass"))</f>
        <v/>
      </c>
      <c r="K1508" s="4">
        <f>DATE(YEAR(B1508),MONTH(B1508),1)</f>
        <v/>
      </c>
    </row>
    <row r="1509">
      <c r="A1509" t="inlineStr">
        <is>
          <t>EM001508</t>
        </is>
      </c>
      <c r="B1509" s="7" t="n">
        <v>46136</v>
      </c>
      <c r="C1509" t="inlineStr">
        <is>
          <t>CR-102</t>
        </is>
      </c>
      <c r="D1509" t="inlineStr">
        <is>
          <t>ISO 7</t>
        </is>
      </c>
      <c r="E1509" t="inlineStr">
        <is>
          <t>Compressed air</t>
        </is>
      </c>
      <c r="F1509" t="n">
        <v>0</v>
      </c>
      <c r="G1509" t="inlineStr">
        <is>
          <t>Tech D</t>
        </is>
      </c>
      <c r="H1509">
        <f>INDEX(Limits!$B$2:$B$5,MATCH(E1509,Limits!$A$2:$A$5,0))</f>
        <v/>
      </c>
      <c r="I1509">
        <f>INDEX(Limits!$C$2:$C$5,MATCH(E1509,Limits!$A$2:$A$5,0))</f>
        <v/>
      </c>
      <c r="J1509">
        <f>IF(F1509&gt;=I1509,"Action",IF(F1509&gt;=H1509,"Alert","Pass"))</f>
        <v/>
      </c>
      <c r="K1509" s="4">
        <f>DATE(YEAR(B1509),MONTH(B1509),1)</f>
        <v/>
      </c>
    </row>
    <row r="1510">
      <c r="A1510" t="inlineStr">
        <is>
          <t>EM001509</t>
        </is>
      </c>
      <c r="B1510" s="7" t="n">
        <v>46136</v>
      </c>
      <c r="C1510" t="inlineStr">
        <is>
          <t>CR-102</t>
        </is>
      </c>
      <c r="D1510" t="inlineStr">
        <is>
          <t>ISO 7</t>
        </is>
      </c>
      <c r="E1510" t="inlineStr">
        <is>
          <t>Personnel glove</t>
        </is>
      </c>
      <c r="F1510" t="n">
        <v>0</v>
      </c>
      <c r="G1510" t="inlineStr">
        <is>
          <t>Tech A</t>
        </is>
      </c>
      <c r="H1510">
        <f>INDEX(Limits!$B$2:$B$5,MATCH(E1510,Limits!$A$2:$A$5,0))</f>
        <v/>
      </c>
      <c r="I1510">
        <f>INDEX(Limits!$C$2:$C$5,MATCH(E1510,Limits!$A$2:$A$5,0))</f>
        <v/>
      </c>
      <c r="J1510">
        <f>IF(F1510&gt;=I1510,"Action",IF(F1510&gt;=H1510,"Alert","Pass"))</f>
        <v/>
      </c>
      <c r="K1510" s="4">
        <f>DATE(YEAR(B1510),MONTH(B1510),1)</f>
        <v/>
      </c>
    </row>
    <row r="1511">
      <c r="A1511" t="inlineStr">
        <is>
          <t>EM001510</t>
        </is>
      </c>
      <c r="B1511" s="7" t="n">
        <v>46136</v>
      </c>
      <c r="C1511" t="inlineStr">
        <is>
          <t>CR-201</t>
        </is>
      </c>
      <c r="D1511" t="inlineStr">
        <is>
          <t>ISO 8</t>
        </is>
      </c>
      <c r="E1511" t="inlineStr">
        <is>
          <t>Active air</t>
        </is>
      </c>
      <c r="F1511" t="n">
        <v>1</v>
      </c>
      <c r="G1511" t="inlineStr">
        <is>
          <t>Tech A</t>
        </is>
      </c>
      <c r="H1511">
        <f>INDEX(Limits!$B$2:$B$5,MATCH(E1511,Limits!$A$2:$A$5,0))</f>
        <v/>
      </c>
      <c r="I1511">
        <f>INDEX(Limits!$C$2:$C$5,MATCH(E1511,Limits!$A$2:$A$5,0))</f>
        <v/>
      </c>
      <c r="J1511">
        <f>IF(F1511&gt;=I1511,"Action",IF(F1511&gt;=H1511,"Alert","Pass"))</f>
        <v/>
      </c>
      <c r="K1511" s="4">
        <f>DATE(YEAR(B1511),MONTH(B1511),1)</f>
        <v/>
      </c>
    </row>
    <row r="1512">
      <c r="A1512" t="inlineStr">
        <is>
          <t>EM001511</t>
        </is>
      </c>
      <c r="B1512" s="7" t="n">
        <v>46136</v>
      </c>
      <c r="C1512" t="inlineStr">
        <is>
          <t>CR-201</t>
        </is>
      </c>
      <c r="D1512" t="inlineStr">
        <is>
          <t>ISO 8</t>
        </is>
      </c>
      <c r="E1512" t="inlineStr">
        <is>
          <t>Surface contact</t>
        </is>
      </c>
      <c r="F1512" t="n">
        <v>1</v>
      </c>
      <c r="G1512" t="inlineStr">
        <is>
          <t>Tech D</t>
        </is>
      </c>
      <c r="H1512">
        <f>INDEX(Limits!$B$2:$B$5,MATCH(E1512,Limits!$A$2:$A$5,0))</f>
        <v/>
      </c>
      <c r="I1512">
        <f>INDEX(Limits!$C$2:$C$5,MATCH(E1512,Limits!$A$2:$A$5,0))</f>
        <v/>
      </c>
      <c r="J1512">
        <f>IF(F1512&gt;=I1512,"Action",IF(F1512&gt;=H1512,"Alert","Pass"))</f>
        <v/>
      </c>
      <c r="K1512" s="4">
        <f>DATE(YEAR(B1512),MONTH(B1512),1)</f>
        <v/>
      </c>
    </row>
    <row r="1513">
      <c r="A1513" t="inlineStr">
        <is>
          <t>EM001512</t>
        </is>
      </c>
      <c r="B1513" s="7" t="n">
        <v>46136</v>
      </c>
      <c r="C1513" t="inlineStr">
        <is>
          <t>CR-201</t>
        </is>
      </c>
      <c r="D1513" t="inlineStr">
        <is>
          <t>ISO 8</t>
        </is>
      </c>
      <c r="E1513" t="inlineStr">
        <is>
          <t>Compressed air</t>
        </is>
      </c>
      <c r="F1513" t="n">
        <v>0</v>
      </c>
      <c r="G1513" t="inlineStr">
        <is>
          <t>Tech A</t>
        </is>
      </c>
      <c r="H1513">
        <f>INDEX(Limits!$B$2:$B$5,MATCH(E1513,Limits!$A$2:$A$5,0))</f>
        <v/>
      </c>
      <c r="I1513">
        <f>INDEX(Limits!$C$2:$C$5,MATCH(E1513,Limits!$A$2:$A$5,0))</f>
        <v/>
      </c>
      <c r="J1513">
        <f>IF(F1513&gt;=I1513,"Action",IF(F1513&gt;=H1513,"Alert","Pass"))</f>
        <v/>
      </c>
      <c r="K1513" s="4">
        <f>DATE(YEAR(B1513),MONTH(B1513),1)</f>
        <v/>
      </c>
    </row>
    <row r="1514">
      <c r="A1514" t="inlineStr">
        <is>
          <t>EM001513</t>
        </is>
      </c>
      <c r="B1514" s="7" t="n">
        <v>46136</v>
      </c>
      <c r="C1514" t="inlineStr">
        <is>
          <t>CR-201</t>
        </is>
      </c>
      <c r="D1514" t="inlineStr">
        <is>
          <t>ISO 8</t>
        </is>
      </c>
      <c r="E1514" t="inlineStr">
        <is>
          <t>Personnel glove</t>
        </is>
      </c>
      <c r="F1514" t="n">
        <v>0</v>
      </c>
      <c r="G1514" t="inlineStr">
        <is>
          <t>Tech A</t>
        </is>
      </c>
      <c r="H1514">
        <f>INDEX(Limits!$B$2:$B$5,MATCH(E1514,Limits!$A$2:$A$5,0))</f>
        <v/>
      </c>
      <c r="I1514">
        <f>INDEX(Limits!$C$2:$C$5,MATCH(E1514,Limits!$A$2:$A$5,0))</f>
        <v/>
      </c>
      <c r="J1514">
        <f>IF(F1514&gt;=I1514,"Action",IF(F1514&gt;=H1514,"Alert","Pass"))</f>
        <v/>
      </c>
      <c r="K1514" s="4">
        <f>DATE(YEAR(B1514),MONTH(B1514),1)</f>
        <v/>
      </c>
    </row>
    <row r="1515">
      <c r="A1515" t="inlineStr">
        <is>
          <t>EM001514</t>
        </is>
      </c>
      <c r="B1515" s="7" t="n">
        <v>46136</v>
      </c>
      <c r="C1515" t="inlineStr">
        <is>
          <t>CR-202</t>
        </is>
      </c>
      <c r="D1515" t="inlineStr">
        <is>
          <t>ISO 8</t>
        </is>
      </c>
      <c r="E1515" t="inlineStr">
        <is>
          <t>Active air</t>
        </is>
      </c>
      <c r="F1515" t="n">
        <v>4</v>
      </c>
      <c r="G1515" t="inlineStr">
        <is>
          <t>Tech D</t>
        </is>
      </c>
      <c r="H1515">
        <f>INDEX(Limits!$B$2:$B$5,MATCH(E1515,Limits!$A$2:$A$5,0))</f>
        <v/>
      </c>
      <c r="I1515">
        <f>INDEX(Limits!$C$2:$C$5,MATCH(E1515,Limits!$A$2:$A$5,0))</f>
        <v/>
      </c>
      <c r="J1515">
        <f>IF(F1515&gt;=I1515,"Action",IF(F1515&gt;=H1515,"Alert","Pass"))</f>
        <v/>
      </c>
      <c r="K1515" s="4">
        <f>DATE(YEAR(B1515),MONTH(B1515),1)</f>
        <v/>
      </c>
    </row>
    <row r="1516">
      <c r="A1516" t="inlineStr">
        <is>
          <t>EM001515</t>
        </is>
      </c>
      <c r="B1516" s="7" t="n">
        <v>46136</v>
      </c>
      <c r="C1516" t="inlineStr">
        <is>
          <t>CR-202</t>
        </is>
      </c>
      <c r="D1516" t="inlineStr">
        <is>
          <t>ISO 8</t>
        </is>
      </c>
      <c r="E1516" t="inlineStr">
        <is>
          <t>Surface contact</t>
        </is>
      </c>
      <c r="F1516" t="n">
        <v>1</v>
      </c>
      <c r="G1516" t="inlineStr">
        <is>
          <t>Tech D</t>
        </is>
      </c>
      <c r="H1516">
        <f>INDEX(Limits!$B$2:$B$5,MATCH(E1516,Limits!$A$2:$A$5,0))</f>
        <v/>
      </c>
      <c r="I1516">
        <f>INDEX(Limits!$C$2:$C$5,MATCH(E1516,Limits!$A$2:$A$5,0))</f>
        <v/>
      </c>
      <c r="J1516">
        <f>IF(F1516&gt;=I1516,"Action",IF(F1516&gt;=H1516,"Alert","Pass"))</f>
        <v/>
      </c>
      <c r="K1516" s="4">
        <f>DATE(YEAR(B1516),MONTH(B1516),1)</f>
        <v/>
      </c>
    </row>
    <row r="1517">
      <c r="A1517" t="inlineStr">
        <is>
          <t>EM001516</t>
        </is>
      </c>
      <c r="B1517" s="7" t="n">
        <v>46136</v>
      </c>
      <c r="C1517" t="inlineStr">
        <is>
          <t>CR-202</t>
        </is>
      </c>
      <c r="D1517" t="inlineStr">
        <is>
          <t>ISO 8</t>
        </is>
      </c>
      <c r="E1517" t="inlineStr">
        <is>
          <t>Compressed air</t>
        </is>
      </c>
      <c r="F1517" t="n">
        <v>0</v>
      </c>
      <c r="G1517" t="inlineStr">
        <is>
          <t>Tech A</t>
        </is>
      </c>
      <c r="H1517">
        <f>INDEX(Limits!$B$2:$B$5,MATCH(E1517,Limits!$A$2:$A$5,0))</f>
        <v/>
      </c>
      <c r="I1517">
        <f>INDEX(Limits!$C$2:$C$5,MATCH(E1517,Limits!$A$2:$A$5,0))</f>
        <v/>
      </c>
      <c r="J1517">
        <f>IF(F1517&gt;=I1517,"Action",IF(F1517&gt;=H1517,"Alert","Pass"))</f>
        <v/>
      </c>
      <c r="K1517" s="4">
        <f>DATE(YEAR(B1517),MONTH(B1517),1)</f>
        <v/>
      </c>
    </row>
    <row r="1518">
      <c r="A1518" t="inlineStr">
        <is>
          <t>EM001517</t>
        </is>
      </c>
      <c r="B1518" s="7" t="n">
        <v>46136</v>
      </c>
      <c r="C1518" t="inlineStr">
        <is>
          <t>CR-202</t>
        </is>
      </c>
      <c r="D1518" t="inlineStr">
        <is>
          <t>ISO 8</t>
        </is>
      </c>
      <c r="E1518" t="inlineStr">
        <is>
          <t>Personnel glove</t>
        </is>
      </c>
      <c r="F1518" t="n">
        <v>0</v>
      </c>
      <c r="G1518" t="inlineStr">
        <is>
          <t>Tech C</t>
        </is>
      </c>
      <c r="H1518">
        <f>INDEX(Limits!$B$2:$B$5,MATCH(E1518,Limits!$A$2:$A$5,0))</f>
        <v/>
      </c>
      <c r="I1518">
        <f>INDEX(Limits!$C$2:$C$5,MATCH(E1518,Limits!$A$2:$A$5,0))</f>
        <v/>
      </c>
      <c r="J1518">
        <f>IF(F1518&gt;=I1518,"Action",IF(F1518&gt;=H1518,"Alert","Pass"))</f>
        <v/>
      </c>
      <c r="K1518" s="4">
        <f>DATE(YEAR(B1518),MONTH(B1518),1)</f>
        <v/>
      </c>
    </row>
    <row r="1519">
      <c r="A1519" t="inlineStr">
        <is>
          <t>EM001518</t>
        </is>
      </c>
      <c r="B1519" s="7" t="n">
        <v>46136</v>
      </c>
      <c r="C1519" t="inlineStr">
        <is>
          <t>Gowning</t>
        </is>
      </c>
      <c r="D1519" t="inlineStr">
        <is>
          <t>ISO 8</t>
        </is>
      </c>
      <c r="E1519" t="inlineStr">
        <is>
          <t>Active air</t>
        </is>
      </c>
      <c r="F1519" t="n">
        <v>1</v>
      </c>
      <c r="G1519" t="inlineStr">
        <is>
          <t>Tech A</t>
        </is>
      </c>
      <c r="H1519">
        <f>INDEX(Limits!$B$2:$B$5,MATCH(E1519,Limits!$A$2:$A$5,0))</f>
        <v/>
      </c>
      <c r="I1519">
        <f>INDEX(Limits!$C$2:$C$5,MATCH(E1519,Limits!$A$2:$A$5,0))</f>
        <v/>
      </c>
      <c r="J1519">
        <f>IF(F1519&gt;=I1519,"Action",IF(F1519&gt;=H1519,"Alert","Pass"))</f>
        <v/>
      </c>
      <c r="K1519" s="4">
        <f>DATE(YEAR(B1519),MONTH(B1519),1)</f>
        <v/>
      </c>
    </row>
    <row r="1520">
      <c r="A1520" t="inlineStr">
        <is>
          <t>EM001519</t>
        </is>
      </c>
      <c r="B1520" s="7" t="n">
        <v>46136</v>
      </c>
      <c r="C1520" t="inlineStr">
        <is>
          <t>Gowning</t>
        </is>
      </c>
      <c r="D1520" t="inlineStr">
        <is>
          <t>ISO 8</t>
        </is>
      </c>
      <c r="E1520" t="inlineStr">
        <is>
          <t>Surface contact</t>
        </is>
      </c>
      <c r="F1520" t="n">
        <v>0</v>
      </c>
      <c r="G1520" t="inlineStr">
        <is>
          <t>Tech B</t>
        </is>
      </c>
      <c r="H1520">
        <f>INDEX(Limits!$B$2:$B$5,MATCH(E1520,Limits!$A$2:$A$5,0))</f>
        <v/>
      </c>
      <c r="I1520">
        <f>INDEX(Limits!$C$2:$C$5,MATCH(E1520,Limits!$A$2:$A$5,0))</f>
        <v/>
      </c>
      <c r="J1520">
        <f>IF(F1520&gt;=I1520,"Action",IF(F1520&gt;=H1520,"Alert","Pass"))</f>
        <v/>
      </c>
      <c r="K1520" s="4">
        <f>DATE(YEAR(B1520),MONTH(B1520),1)</f>
        <v/>
      </c>
    </row>
    <row r="1521">
      <c r="A1521" t="inlineStr">
        <is>
          <t>EM001520</t>
        </is>
      </c>
      <c r="B1521" s="7" t="n">
        <v>46136</v>
      </c>
      <c r="C1521" t="inlineStr">
        <is>
          <t>Gowning</t>
        </is>
      </c>
      <c r="D1521" t="inlineStr">
        <is>
          <t>ISO 8</t>
        </is>
      </c>
      <c r="E1521" t="inlineStr">
        <is>
          <t>Personnel glove</t>
        </is>
      </c>
      <c r="F1521" t="n">
        <v>0</v>
      </c>
      <c r="G1521" t="inlineStr">
        <is>
          <t>Tech C</t>
        </is>
      </c>
      <c r="H1521">
        <f>INDEX(Limits!$B$2:$B$5,MATCH(E1521,Limits!$A$2:$A$5,0))</f>
        <v/>
      </c>
      <c r="I1521">
        <f>INDEX(Limits!$C$2:$C$5,MATCH(E1521,Limits!$A$2:$A$5,0))</f>
        <v/>
      </c>
      <c r="J1521">
        <f>IF(F1521&gt;=I1521,"Action",IF(F1521&gt;=H1521,"Alert","Pass"))</f>
        <v/>
      </c>
      <c r="K1521" s="4">
        <f>DATE(YEAR(B1521),MONTH(B1521),1)</f>
        <v/>
      </c>
    </row>
    <row r="1522">
      <c r="A1522" t="inlineStr">
        <is>
          <t>EM001521</t>
        </is>
      </c>
      <c r="B1522" s="7" t="n">
        <v>46139</v>
      </c>
      <c r="C1522" t="inlineStr">
        <is>
          <t>CR-101</t>
        </is>
      </c>
      <c r="D1522" t="inlineStr">
        <is>
          <t>ISO 7</t>
        </is>
      </c>
      <c r="E1522" t="inlineStr">
        <is>
          <t>Active air</t>
        </is>
      </c>
      <c r="F1522" t="n">
        <v>1</v>
      </c>
      <c r="G1522" t="inlineStr">
        <is>
          <t>Tech A</t>
        </is>
      </c>
      <c r="H1522">
        <f>INDEX(Limits!$B$2:$B$5,MATCH(E1522,Limits!$A$2:$A$5,0))</f>
        <v/>
      </c>
      <c r="I1522">
        <f>INDEX(Limits!$C$2:$C$5,MATCH(E1522,Limits!$A$2:$A$5,0))</f>
        <v/>
      </c>
      <c r="J1522">
        <f>IF(F1522&gt;=I1522,"Action",IF(F1522&gt;=H1522,"Alert","Pass"))</f>
        <v/>
      </c>
      <c r="K1522" s="4">
        <f>DATE(YEAR(B1522),MONTH(B1522),1)</f>
        <v/>
      </c>
    </row>
    <row r="1523">
      <c r="A1523" t="inlineStr">
        <is>
          <t>EM001522</t>
        </is>
      </c>
      <c r="B1523" s="7" t="n">
        <v>46139</v>
      </c>
      <c r="C1523" t="inlineStr">
        <is>
          <t>CR-101</t>
        </is>
      </c>
      <c r="D1523" t="inlineStr">
        <is>
          <t>ISO 7</t>
        </is>
      </c>
      <c r="E1523" t="inlineStr">
        <is>
          <t>Surface contact</t>
        </is>
      </c>
      <c r="F1523" t="n">
        <v>0</v>
      </c>
      <c r="G1523" t="inlineStr">
        <is>
          <t>Tech D</t>
        </is>
      </c>
      <c r="H1523">
        <f>INDEX(Limits!$B$2:$B$5,MATCH(E1523,Limits!$A$2:$A$5,0))</f>
        <v/>
      </c>
      <c r="I1523">
        <f>INDEX(Limits!$C$2:$C$5,MATCH(E1523,Limits!$A$2:$A$5,0))</f>
        <v/>
      </c>
      <c r="J1523">
        <f>IF(F1523&gt;=I1523,"Action",IF(F1523&gt;=H1523,"Alert","Pass"))</f>
        <v/>
      </c>
      <c r="K1523" s="4">
        <f>DATE(YEAR(B1523),MONTH(B1523),1)</f>
        <v/>
      </c>
    </row>
    <row r="1524">
      <c r="A1524" t="inlineStr">
        <is>
          <t>EM001523</t>
        </is>
      </c>
      <c r="B1524" s="7" t="n">
        <v>46139</v>
      </c>
      <c r="C1524" t="inlineStr">
        <is>
          <t>CR-101</t>
        </is>
      </c>
      <c r="D1524" t="inlineStr">
        <is>
          <t>ISO 7</t>
        </is>
      </c>
      <c r="E1524" t="inlineStr">
        <is>
          <t>Compressed air</t>
        </is>
      </c>
      <c r="F1524" t="n">
        <v>0</v>
      </c>
      <c r="G1524" t="inlineStr">
        <is>
          <t>Tech D</t>
        </is>
      </c>
      <c r="H1524">
        <f>INDEX(Limits!$B$2:$B$5,MATCH(E1524,Limits!$A$2:$A$5,0))</f>
        <v/>
      </c>
      <c r="I1524">
        <f>INDEX(Limits!$C$2:$C$5,MATCH(E1524,Limits!$A$2:$A$5,0))</f>
        <v/>
      </c>
      <c r="J1524">
        <f>IF(F1524&gt;=I1524,"Action",IF(F1524&gt;=H1524,"Alert","Pass"))</f>
        <v/>
      </c>
      <c r="K1524" s="4">
        <f>DATE(YEAR(B1524),MONTH(B1524),1)</f>
        <v/>
      </c>
    </row>
    <row r="1525">
      <c r="A1525" t="inlineStr">
        <is>
          <t>EM001524</t>
        </is>
      </c>
      <c r="B1525" s="7" t="n">
        <v>46139</v>
      </c>
      <c r="C1525" t="inlineStr">
        <is>
          <t>CR-101</t>
        </is>
      </c>
      <c r="D1525" t="inlineStr">
        <is>
          <t>ISO 7</t>
        </is>
      </c>
      <c r="E1525" t="inlineStr">
        <is>
          <t>Personnel glove</t>
        </is>
      </c>
      <c r="F1525" t="n">
        <v>0</v>
      </c>
      <c r="G1525" t="inlineStr">
        <is>
          <t>Tech D</t>
        </is>
      </c>
      <c r="H1525">
        <f>INDEX(Limits!$B$2:$B$5,MATCH(E1525,Limits!$A$2:$A$5,0))</f>
        <v/>
      </c>
      <c r="I1525">
        <f>INDEX(Limits!$C$2:$C$5,MATCH(E1525,Limits!$A$2:$A$5,0))</f>
        <v/>
      </c>
      <c r="J1525">
        <f>IF(F1525&gt;=I1525,"Action",IF(F1525&gt;=H1525,"Alert","Pass"))</f>
        <v/>
      </c>
      <c r="K1525" s="4">
        <f>DATE(YEAR(B1525),MONTH(B1525),1)</f>
        <v/>
      </c>
    </row>
    <row r="1526">
      <c r="A1526" t="inlineStr">
        <is>
          <t>EM001525</t>
        </is>
      </c>
      <c r="B1526" s="7" t="n">
        <v>46139</v>
      </c>
      <c r="C1526" t="inlineStr">
        <is>
          <t>CR-102</t>
        </is>
      </c>
      <c r="D1526" t="inlineStr">
        <is>
          <t>ISO 7</t>
        </is>
      </c>
      <c r="E1526" t="inlineStr">
        <is>
          <t>Active air</t>
        </is>
      </c>
      <c r="F1526" t="n">
        <v>2</v>
      </c>
      <c r="G1526" t="inlineStr">
        <is>
          <t>Tech D</t>
        </is>
      </c>
      <c r="H1526">
        <f>INDEX(Limits!$B$2:$B$5,MATCH(E1526,Limits!$A$2:$A$5,0))</f>
        <v/>
      </c>
      <c r="I1526">
        <f>INDEX(Limits!$C$2:$C$5,MATCH(E1526,Limits!$A$2:$A$5,0))</f>
        <v/>
      </c>
      <c r="J1526">
        <f>IF(F1526&gt;=I1526,"Action",IF(F1526&gt;=H1526,"Alert","Pass"))</f>
        <v/>
      </c>
      <c r="K1526" s="4">
        <f>DATE(YEAR(B1526),MONTH(B1526),1)</f>
        <v/>
      </c>
    </row>
    <row r="1527">
      <c r="A1527" t="inlineStr">
        <is>
          <t>EM001526</t>
        </is>
      </c>
      <c r="B1527" s="7" t="n">
        <v>46139</v>
      </c>
      <c r="C1527" t="inlineStr">
        <is>
          <t>CR-102</t>
        </is>
      </c>
      <c r="D1527" t="inlineStr">
        <is>
          <t>ISO 7</t>
        </is>
      </c>
      <c r="E1527" t="inlineStr">
        <is>
          <t>Surface contact</t>
        </is>
      </c>
      <c r="F1527" t="n">
        <v>1</v>
      </c>
      <c r="G1527" t="inlineStr">
        <is>
          <t>Tech B</t>
        </is>
      </c>
      <c r="H1527">
        <f>INDEX(Limits!$B$2:$B$5,MATCH(E1527,Limits!$A$2:$A$5,0))</f>
        <v/>
      </c>
      <c r="I1527">
        <f>INDEX(Limits!$C$2:$C$5,MATCH(E1527,Limits!$A$2:$A$5,0))</f>
        <v/>
      </c>
      <c r="J1527">
        <f>IF(F1527&gt;=I1527,"Action",IF(F1527&gt;=H1527,"Alert","Pass"))</f>
        <v/>
      </c>
      <c r="K1527" s="4">
        <f>DATE(YEAR(B1527),MONTH(B1527),1)</f>
        <v/>
      </c>
    </row>
    <row r="1528">
      <c r="A1528" t="inlineStr">
        <is>
          <t>EM001527</t>
        </is>
      </c>
      <c r="B1528" s="7" t="n">
        <v>46139</v>
      </c>
      <c r="C1528" t="inlineStr">
        <is>
          <t>CR-102</t>
        </is>
      </c>
      <c r="D1528" t="inlineStr">
        <is>
          <t>ISO 7</t>
        </is>
      </c>
      <c r="E1528" t="inlineStr">
        <is>
          <t>Compressed air</t>
        </is>
      </c>
      <c r="F1528" t="n">
        <v>0</v>
      </c>
      <c r="G1528" t="inlineStr">
        <is>
          <t>Tech B</t>
        </is>
      </c>
      <c r="H1528">
        <f>INDEX(Limits!$B$2:$B$5,MATCH(E1528,Limits!$A$2:$A$5,0))</f>
        <v/>
      </c>
      <c r="I1528">
        <f>INDEX(Limits!$C$2:$C$5,MATCH(E1528,Limits!$A$2:$A$5,0))</f>
        <v/>
      </c>
      <c r="J1528">
        <f>IF(F1528&gt;=I1528,"Action",IF(F1528&gt;=H1528,"Alert","Pass"))</f>
        <v/>
      </c>
      <c r="K1528" s="4">
        <f>DATE(YEAR(B1528),MONTH(B1528),1)</f>
        <v/>
      </c>
    </row>
    <row r="1529">
      <c r="A1529" t="inlineStr">
        <is>
          <t>EM001528</t>
        </is>
      </c>
      <c r="B1529" s="7" t="n">
        <v>46139</v>
      </c>
      <c r="C1529" t="inlineStr">
        <is>
          <t>CR-102</t>
        </is>
      </c>
      <c r="D1529" t="inlineStr">
        <is>
          <t>ISO 7</t>
        </is>
      </c>
      <c r="E1529" t="inlineStr">
        <is>
          <t>Personnel glove</t>
        </is>
      </c>
      <c r="F1529" t="n">
        <v>0</v>
      </c>
      <c r="G1529" t="inlineStr">
        <is>
          <t>Tech C</t>
        </is>
      </c>
      <c r="H1529">
        <f>INDEX(Limits!$B$2:$B$5,MATCH(E1529,Limits!$A$2:$A$5,0))</f>
        <v/>
      </c>
      <c r="I1529">
        <f>INDEX(Limits!$C$2:$C$5,MATCH(E1529,Limits!$A$2:$A$5,0))</f>
        <v/>
      </c>
      <c r="J1529">
        <f>IF(F1529&gt;=I1529,"Action",IF(F1529&gt;=H1529,"Alert","Pass"))</f>
        <v/>
      </c>
      <c r="K1529" s="4">
        <f>DATE(YEAR(B1529),MONTH(B1529),1)</f>
        <v/>
      </c>
    </row>
    <row r="1530">
      <c r="A1530" t="inlineStr">
        <is>
          <t>EM001529</t>
        </is>
      </c>
      <c r="B1530" s="7" t="n">
        <v>46139</v>
      </c>
      <c r="C1530" t="inlineStr">
        <is>
          <t>CR-201</t>
        </is>
      </c>
      <c r="D1530" t="inlineStr">
        <is>
          <t>ISO 8</t>
        </is>
      </c>
      <c r="E1530" t="inlineStr">
        <is>
          <t>Active air</t>
        </is>
      </c>
      <c r="F1530" t="n">
        <v>2</v>
      </c>
      <c r="G1530" t="inlineStr">
        <is>
          <t>Tech D</t>
        </is>
      </c>
      <c r="H1530">
        <f>INDEX(Limits!$B$2:$B$5,MATCH(E1530,Limits!$A$2:$A$5,0))</f>
        <v/>
      </c>
      <c r="I1530">
        <f>INDEX(Limits!$C$2:$C$5,MATCH(E1530,Limits!$A$2:$A$5,0))</f>
        <v/>
      </c>
      <c r="J1530">
        <f>IF(F1530&gt;=I1530,"Action",IF(F1530&gt;=H1530,"Alert","Pass"))</f>
        <v/>
      </c>
      <c r="K1530" s="4">
        <f>DATE(YEAR(B1530),MONTH(B1530),1)</f>
        <v/>
      </c>
    </row>
    <row r="1531">
      <c r="A1531" t="inlineStr">
        <is>
          <t>EM001530</t>
        </is>
      </c>
      <c r="B1531" s="7" t="n">
        <v>46139</v>
      </c>
      <c r="C1531" t="inlineStr">
        <is>
          <t>CR-201</t>
        </is>
      </c>
      <c r="D1531" t="inlineStr">
        <is>
          <t>ISO 8</t>
        </is>
      </c>
      <c r="E1531" t="inlineStr">
        <is>
          <t>Surface contact</t>
        </is>
      </c>
      <c r="F1531" t="n">
        <v>1</v>
      </c>
      <c r="G1531" t="inlineStr">
        <is>
          <t>Tech B</t>
        </is>
      </c>
      <c r="H1531">
        <f>INDEX(Limits!$B$2:$B$5,MATCH(E1531,Limits!$A$2:$A$5,0))</f>
        <v/>
      </c>
      <c r="I1531">
        <f>INDEX(Limits!$C$2:$C$5,MATCH(E1531,Limits!$A$2:$A$5,0))</f>
        <v/>
      </c>
      <c r="J1531">
        <f>IF(F1531&gt;=I1531,"Action",IF(F1531&gt;=H1531,"Alert","Pass"))</f>
        <v/>
      </c>
      <c r="K1531" s="4">
        <f>DATE(YEAR(B1531),MONTH(B1531),1)</f>
        <v/>
      </c>
    </row>
    <row r="1532">
      <c r="A1532" t="inlineStr">
        <is>
          <t>EM001531</t>
        </is>
      </c>
      <c r="B1532" s="7" t="n">
        <v>46139</v>
      </c>
      <c r="C1532" t="inlineStr">
        <is>
          <t>CR-201</t>
        </is>
      </c>
      <c r="D1532" t="inlineStr">
        <is>
          <t>ISO 8</t>
        </is>
      </c>
      <c r="E1532" t="inlineStr">
        <is>
          <t>Compressed air</t>
        </is>
      </c>
      <c r="F1532" t="n">
        <v>0</v>
      </c>
      <c r="G1532" t="inlineStr">
        <is>
          <t>Tech A</t>
        </is>
      </c>
      <c r="H1532">
        <f>INDEX(Limits!$B$2:$B$5,MATCH(E1532,Limits!$A$2:$A$5,0))</f>
        <v/>
      </c>
      <c r="I1532">
        <f>INDEX(Limits!$C$2:$C$5,MATCH(E1532,Limits!$A$2:$A$5,0))</f>
        <v/>
      </c>
      <c r="J1532">
        <f>IF(F1532&gt;=I1532,"Action",IF(F1532&gt;=H1532,"Alert","Pass"))</f>
        <v/>
      </c>
      <c r="K1532" s="4">
        <f>DATE(YEAR(B1532),MONTH(B1532),1)</f>
        <v/>
      </c>
    </row>
    <row r="1533">
      <c r="A1533" t="inlineStr">
        <is>
          <t>EM001532</t>
        </is>
      </c>
      <c r="B1533" s="7" t="n">
        <v>46139</v>
      </c>
      <c r="C1533" t="inlineStr">
        <is>
          <t>CR-201</t>
        </is>
      </c>
      <c r="D1533" t="inlineStr">
        <is>
          <t>ISO 8</t>
        </is>
      </c>
      <c r="E1533" t="inlineStr">
        <is>
          <t>Personnel glove</t>
        </is>
      </c>
      <c r="F1533" t="n">
        <v>0</v>
      </c>
      <c r="G1533" t="inlineStr">
        <is>
          <t>Tech C</t>
        </is>
      </c>
      <c r="H1533">
        <f>INDEX(Limits!$B$2:$B$5,MATCH(E1533,Limits!$A$2:$A$5,0))</f>
        <v/>
      </c>
      <c r="I1533">
        <f>INDEX(Limits!$C$2:$C$5,MATCH(E1533,Limits!$A$2:$A$5,0))</f>
        <v/>
      </c>
      <c r="J1533">
        <f>IF(F1533&gt;=I1533,"Action",IF(F1533&gt;=H1533,"Alert","Pass"))</f>
        <v/>
      </c>
      <c r="K1533" s="4">
        <f>DATE(YEAR(B1533),MONTH(B1533),1)</f>
        <v/>
      </c>
    </row>
    <row r="1534">
      <c r="A1534" t="inlineStr">
        <is>
          <t>EM001533</t>
        </is>
      </c>
      <c r="B1534" s="7" t="n">
        <v>46139</v>
      </c>
      <c r="C1534" t="inlineStr">
        <is>
          <t>CR-202</t>
        </is>
      </c>
      <c r="D1534" t="inlineStr">
        <is>
          <t>ISO 8</t>
        </is>
      </c>
      <c r="E1534" t="inlineStr">
        <is>
          <t>Active air</t>
        </is>
      </c>
      <c r="F1534" t="n">
        <v>2</v>
      </c>
      <c r="G1534" t="inlineStr">
        <is>
          <t>Tech B</t>
        </is>
      </c>
      <c r="H1534">
        <f>INDEX(Limits!$B$2:$B$5,MATCH(E1534,Limits!$A$2:$A$5,0))</f>
        <v/>
      </c>
      <c r="I1534">
        <f>INDEX(Limits!$C$2:$C$5,MATCH(E1534,Limits!$A$2:$A$5,0))</f>
        <v/>
      </c>
      <c r="J1534">
        <f>IF(F1534&gt;=I1534,"Action",IF(F1534&gt;=H1534,"Alert","Pass"))</f>
        <v/>
      </c>
      <c r="K1534" s="4">
        <f>DATE(YEAR(B1534),MONTH(B1534),1)</f>
        <v/>
      </c>
    </row>
    <row r="1535">
      <c r="A1535" t="inlineStr">
        <is>
          <t>EM001534</t>
        </is>
      </c>
      <c r="B1535" s="7" t="n">
        <v>46139</v>
      </c>
      <c r="C1535" t="inlineStr">
        <is>
          <t>CR-202</t>
        </is>
      </c>
      <c r="D1535" t="inlineStr">
        <is>
          <t>ISO 8</t>
        </is>
      </c>
      <c r="E1535" t="inlineStr">
        <is>
          <t>Surface contact</t>
        </is>
      </c>
      <c r="F1535" t="n">
        <v>1</v>
      </c>
      <c r="G1535" t="inlineStr">
        <is>
          <t>Tech B</t>
        </is>
      </c>
      <c r="H1535">
        <f>INDEX(Limits!$B$2:$B$5,MATCH(E1535,Limits!$A$2:$A$5,0))</f>
        <v/>
      </c>
      <c r="I1535">
        <f>INDEX(Limits!$C$2:$C$5,MATCH(E1535,Limits!$A$2:$A$5,0))</f>
        <v/>
      </c>
      <c r="J1535">
        <f>IF(F1535&gt;=I1535,"Action",IF(F1535&gt;=H1535,"Alert","Pass"))</f>
        <v/>
      </c>
      <c r="K1535" s="4">
        <f>DATE(YEAR(B1535),MONTH(B1535),1)</f>
        <v/>
      </c>
    </row>
    <row r="1536">
      <c r="A1536" t="inlineStr">
        <is>
          <t>EM001535</t>
        </is>
      </c>
      <c r="B1536" s="7" t="n">
        <v>46139</v>
      </c>
      <c r="C1536" t="inlineStr">
        <is>
          <t>CR-202</t>
        </is>
      </c>
      <c r="D1536" t="inlineStr">
        <is>
          <t>ISO 8</t>
        </is>
      </c>
      <c r="E1536" t="inlineStr">
        <is>
          <t>Compressed air</t>
        </is>
      </c>
      <c r="F1536" t="n">
        <v>0</v>
      </c>
      <c r="G1536" t="inlineStr">
        <is>
          <t>Tech D</t>
        </is>
      </c>
      <c r="H1536">
        <f>INDEX(Limits!$B$2:$B$5,MATCH(E1536,Limits!$A$2:$A$5,0))</f>
        <v/>
      </c>
      <c r="I1536">
        <f>INDEX(Limits!$C$2:$C$5,MATCH(E1536,Limits!$A$2:$A$5,0))</f>
        <v/>
      </c>
      <c r="J1536">
        <f>IF(F1536&gt;=I1536,"Action",IF(F1536&gt;=H1536,"Alert","Pass"))</f>
        <v/>
      </c>
      <c r="K1536" s="4">
        <f>DATE(YEAR(B1536),MONTH(B1536),1)</f>
        <v/>
      </c>
    </row>
    <row r="1537">
      <c r="A1537" t="inlineStr">
        <is>
          <t>EM001536</t>
        </is>
      </c>
      <c r="B1537" s="7" t="n">
        <v>46139</v>
      </c>
      <c r="C1537" t="inlineStr">
        <is>
          <t>CR-202</t>
        </is>
      </c>
      <c r="D1537" t="inlineStr">
        <is>
          <t>ISO 8</t>
        </is>
      </c>
      <c r="E1537" t="inlineStr">
        <is>
          <t>Personnel glove</t>
        </is>
      </c>
      <c r="F1537" t="n">
        <v>1</v>
      </c>
      <c r="G1537" t="inlineStr">
        <is>
          <t>Tech C</t>
        </is>
      </c>
      <c r="H1537">
        <f>INDEX(Limits!$B$2:$B$5,MATCH(E1537,Limits!$A$2:$A$5,0))</f>
        <v/>
      </c>
      <c r="I1537">
        <f>INDEX(Limits!$C$2:$C$5,MATCH(E1537,Limits!$A$2:$A$5,0))</f>
        <v/>
      </c>
      <c r="J1537">
        <f>IF(F1537&gt;=I1537,"Action",IF(F1537&gt;=H1537,"Alert","Pass"))</f>
        <v/>
      </c>
      <c r="K1537" s="4">
        <f>DATE(YEAR(B1537),MONTH(B1537),1)</f>
        <v/>
      </c>
    </row>
    <row r="1538">
      <c r="A1538" t="inlineStr">
        <is>
          <t>EM001537</t>
        </is>
      </c>
      <c r="B1538" s="7" t="n">
        <v>46139</v>
      </c>
      <c r="C1538" t="inlineStr">
        <is>
          <t>Gowning</t>
        </is>
      </c>
      <c r="D1538" t="inlineStr">
        <is>
          <t>ISO 8</t>
        </is>
      </c>
      <c r="E1538" t="inlineStr">
        <is>
          <t>Active air</t>
        </is>
      </c>
      <c r="F1538" t="n">
        <v>2</v>
      </c>
      <c r="G1538" t="inlineStr">
        <is>
          <t>Tech B</t>
        </is>
      </c>
      <c r="H1538">
        <f>INDEX(Limits!$B$2:$B$5,MATCH(E1538,Limits!$A$2:$A$5,0))</f>
        <v/>
      </c>
      <c r="I1538">
        <f>INDEX(Limits!$C$2:$C$5,MATCH(E1538,Limits!$A$2:$A$5,0))</f>
        <v/>
      </c>
      <c r="J1538">
        <f>IF(F1538&gt;=I1538,"Action",IF(F1538&gt;=H1538,"Alert","Pass"))</f>
        <v/>
      </c>
      <c r="K1538" s="4">
        <f>DATE(YEAR(B1538),MONTH(B1538),1)</f>
        <v/>
      </c>
    </row>
    <row r="1539">
      <c r="A1539" t="inlineStr">
        <is>
          <t>EM001538</t>
        </is>
      </c>
      <c r="B1539" s="7" t="n">
        <v>46139</v>
      </c>
      <c r="C1539" t="inlineStr">
        <is>
          <t>Gowning</t>
        </is>
      </c>
      <c r="D1539" t="inlineStr">
        <is>
          <t>ISO 8</t>
        </is>
      </c>
      <c r="E1539" t="inlineStr">
        <is>
          <t>Surface contact</t>
        </is>
      </c>
      <c r="F1539" t="n">
        <v>2</v>
      </c>
      <c r="G1539" t="inlineStr">
        <is>
          <t>Tech A</t>
        </is>
      </c>
      <c r="H1539">
        <f>INDEX(Limits!$B$2:$B$5,MATCH(E1539,Limits!$A$2:$A$5,0))</f>
        <v/>
      </c>
      <c r="I1539">
        <f>INDEX(Limits!$C$2:$C$5,MATCH(E1539,Limits!$A$2:$A$5,0))</f>
        <v/>
      </c>
      <c r="J1539">
        <f>IF(F1539&gt;=I1539,"Action",IF(F1539&gt;=H1539,"Alert","Pass"))</f>
        <v/>
      </c>
      <c r="K1539" s="4">
        <f>DATE(YEAR(B1539),MONTH(B1539),1)</f>
        <v/>
      </c>
    </row>
    <row r="1540">
      <c r="A1540" t="inlineStr">
        <is>
          <t>EM001539</t>
        </is>
      </c>
      <c r="B1540" s="7" t="n">
        <v>46139</v>
      </c>
      <c r="C1540" t="inlineStr">
        <is>
          <t>Gowning</t>
        </is>
      </c>
      <c r="D1540" t="inlineStr">
        <is>
          <t>ISO 8</t>
        </is>
      </c>
      <c r="E1540" t="inlineStr">
        <is>
          <t>Personnel glove</t>
        </is>
      </c>
      <c r="F1540" t="n">
        <v>0</v>
      </c>
      <c r="G1540" t="inlineStr">
        <is>
          <t>Tech C</t>
        </is>
      </c>
      <c r="H1540">
        <f>INDEX(Limits!$B$2:$B$5,MATCH(E1540,Limits!$A$2:$A$5,0))</f>
        <v/>
      </c>
      <c r="I1540">
        <f>INDEX(Limits!$C$2:$C$5,MATCH(E1540,Limits!$A$2:$A$5,0))</f>
        <v/>
      </c>
      <c r="J1540">
        <f>IF(F1540&gt;=I1540,"Action",IF(F1540&gt;=H1540,"Alert","Pass"))</f>
        <v/>
      </c>
      <c r="K1540" s="4">
        <f>DATE(YEAR(B1540),MONTH(B1540),1)</f>
        <v/>
      </c>
    </row>
    <row r="1541">
      <c r="A1541" t="inlineStr">
        <is>
          <t>EM001540</t>
        </is>
      </c>
      <c r="B1541" s="7" t="n">
        <v>46140</v>
      </c>
      <c r="C1541" t="inlineStr">
        <is>
          <t>CR-101</t>
        </is>
      </c>
      <c r="D1541" t="inlineStr">
        <is>
          <t>ISO 7</t>
        </is>
      </c>
      <c r="E1541" t="inlineStr">
        <is>
          <t>Active air</t>
        </is>
      </c>
      <c r="F1541" t="n">
        <v>0</v>
      </c>
      <c r="G1541" t="inlineStr">
        <is>
          <t>Tech A</t>
        </is>
      </c>
      <c r="H1541">
        <f>INDEX(Limits!$B$2:$B$5,MATCH(E1541,Limits!$A$2:$A$5,0))</f>
        <v/>
      </c>
      <c r="I1541">
        <f>INDEX(Limits!$C$2:$C$5,MATCH(E1541,Limits!$A$2:$A$5,0))</f>
        <v/>
      </c>
      <c r="J1541">
        <f>IF(F1541&gt;=I1541,"Action",IF(F1541&gt;=H1541,"Alert","Pass"))</f>
        <v/>
      </c>
      <c r="K1541" s="4">
        <f>DATE(YEAR(B1541),MONTH(B1541),1)</f>
        <v/>
      </c>
    </row>
    <row r="1542">
      <c r="A1542" t="inlineStr">
        <is>
          <t>EM001541</t>
        </is>
      </c>
      <c r="B1542" s="7" t="n">
        <v>46140</v>
      </c>
      <c r="C1542" t="inlineStr">
        <is>
          <t>CR-101</t>
        </is>
      </c>
      <c r="D1542" t="inlineStr">
        <is>
          <t>ISO 7</t>
        </is>
      </c>
      <c r="E1542" t="inlineStr">
        <is>
          <t>Surface contact</t>
        </is>
      </c>
      <c r="F1542" t="n">
        <v>0</v>
      </c>
      <c r="G1542" t="inlineStr">
        <is>
          <t>Tech B</t>
        </is>
      </c>
      <c r="H1542">
        <f>INDEX(Limits!$B$2:$B$5,MATCH(E1542,Limits!$A$2:$A$5,0))</f>
        <v/>
      </c>
      <c r="I1542">
        <f>INDEX(Limits!$C$2:$C$5,MATCH(E1542,Limits!$A$2:$A$5,0))</f>
        <v/>
      </c>
      <c r="J1542">
        <f>IF(F1542&gt;=I1542,"Action",IF(F1542&gt;=H1542,"Alert","Pass"))</f>
        <v/>
      </c>
      <c r="K1542" s="4">
        <f>DATE(YEAR(B1542),MONTH(B1542),1)</f>
        <v/>
      </c>
    </row>
    <row r="1543">
      <c r="A1543" t="inlineStr">
        <is>
          <t>EM001542</t>
        </is>
      </c>
      <c r="B1543" s="7" t="n">
        <v>46140</v>
      </c>
      <c r="C1543" t="inlineStr">
        <is>
          <t>CR-101</t>
        </is>
      </c>
      <c r="D1543" t="inlineStr">
        <is>
          <t>ISO 7</t>
        </is>
      </c>
      <c r="E1543" t="inlineStr">
        <is>
          <t>Compressed air</t>
        </is>
      </c>
      <c r="F1543" t="n">
        <v>0</v>
      </c>
      <c r="G1543" t="inlineStr">
        <is>
          <t>Tech C</t>
        </is>
      </c>
      <c r="H1543">
        <f>INDEX(Limits!$B$2:$B$5,MATCH(E1543,Limits!$A$2:$A$5,0))</f>
        <v/>
      </c>
      <c r="I1543">
        <f>INDEX(Limits!$C$2:$C$5,MATCH(E1543,Limits!$A$2:$A$5,0))</f>
        <v/>
      </c>
      <c r="J1543">
        <f>IF(F1543&gt;=I1543,"Action",IF(F1543&gt;=H1543,"Alert","Pass"))</f>
        <v/>
      </c>
      <c r="K1543" s="4">
        <f>DATE(YEAR(B1543),MONTH(B1543),1)</f>
        <v/>
      </c>
    </row>
    <row r="1544">
      <c r="A1544" t="inlineStr">
        <is>
          <t>EM001543</t>
        </is>
      </c>
      <c r="B1544" s="7" t="n">
        <v>46140</v>
      </c>
      <c r="C1544" t="inlineStr">
        <is>
          <t>CR-101</t>
        </is>
      </c>
      <c r="D1544" t="inlineStr">
        <is>
          <t>ISO 7</t>
        </is>
      </c>
      <c r="E1544" t="inlineStr">
        <is>
          <t>Personnel glove</t>
        </is>
      </c>
      <c r="F1544" t="n">
        <v>0</v>
      </c>
      <c r="G1544" t="inlineStr">
        <is>
          <t>Tech B</t>
        </is>
      </c>
      <c r="H1544">
        <f>INDEX(Limits!$B$2:$B$5,MATCH(E1544,Limits!$A$2:$A$5,0))</f>
        <v/>
      </c>
      <c r="I1544">
        <f>INDEX(Limits!$C$2:$C$5,MATCH(E1544,Limits!$A$2:$A$5,0))</f>
        <v/>
      </c>
      <c r="J1544">
        <f>IF(F1544&gt;=I1544,"Action",IF(F1544&gt;=H1544,"Alert","Pass"))</f>
        <v/>
      </c>
      <c r="K1544" s="4">
        <f>DATE(YEAR(B1544),MONTH(B1544),1)</f>
        <v/>
      </c>
    </row>
    <row r="1545">
      <c r="A1545" t="inlineStr">
        <is>
          <t>EM001544</t>
        </is>
      </c>
      <c r="B1545" s="7" t="n">
        <v>46140</v>
      </c>
      <c r="C1545" t="inlineStr">
        <is>
          <t>CR-102</t>
        </is>
      </c>
      <c r="D1545" t="inlineStr">
        <is>
          <t>ISO 7</t>
        </is>
      </c>
      <c r="E1545" t="inlineStr">
        <is>
          <t>Active air</t>
        </is>
      </c>
      <c r="F1545" t="n">
        <v>1</v>
      </c>
      <c r="G1545" t="inlineStr">
        <is>
          <t>Tech A</t>
        </is>
      </c>
      <c r="H1545">
        <f>INDEX(Limits!$B$2:$B$5,MATCH(E1545,Limits!$A$2:$A$5,0))</f>
        <v/>
      </c>
      <c r="I1545">
        <f>INDEX(Limits!$C$2:$C$5,MATCH(E1545,Limits!$A$2:$A$5,0))</f>
        <v/>
      </c>
      <c r="J1545">
        <f>IF(F1545&gt;=I1545,"Action",IF(F1545&gt;=H1545,"Alert","Pass"))</f>
        <v/>
      </c>
      <c r="K1545" s="4">
        <f>DATE(YEAR(B1545),MONTH(B1545),1)</f>
        <v/>
      </c>
    </row>
    <row r="1546">
      <c r="A1546" t="inlineStr">
        <is>
          <t>EM001545</t>
        </is>
      </c>
      <c r="B1546" s="7" t="n">
        <v>46140</v>
      </c>
      <c r="C1546" t="inlineStr">
        <is>
          <t>CR-102</t>
        </is>
      </c>
      <c r="D1546" t="inlineStr">
        <is>
          <t>ISO 7</t>
        </is>
      </c>
      <c r="E1546" t="inlineStr">
        <is>
          <t>Surface contact</t>
        </is>
      </c>
      <c r="F1546" t="n">
        <v>0</v>
      </c>
      <c r="G1546" t="inlineStr">
        <is>
          <t>Tech C</t>
        </is>
      </c>
      <c r="H1546">
        <f>INDEX(Limits!$B$2:$B$5,MATCH(E1546,Limits!$A$2:$A$5,0))</f>
        <v/>
      </c>
      <c r="I1546">
        <f>INDEX(Limits!$C$2:$C$5,MATCH(E1546,Limits!$A$2:$A$5,0))</f>
        <v/>
      </c>
      <c r="J1546">
        <f>IF(F1546&gt;=I1546,"Action",IF(F1546&gt;=H1546,"Alert","Pass"))</f>
        <v/>
      </c>
      <c r="K1546" s="4">
        <f>DATE(YEAR(B1546),MONTH(B1546),1)</f>
        <v/>
      </c>
    </row>
    <row r="1547">
      <c r="A1547" t="inlineStr">
        <is>
          <t>EM001546</t>
        </is>
      </c>
      <c r="B1547" s="7" t="n">
        <v>46140</v>
      </c>
      <c r="C1547" t="inlineStr">
        <is>
          <t>CR-102</t>
        </is>
      </c>
      <c r="D1547" t="inlineStr">
        <is>
          <t>ISO 7</t>
        </is>
      </c>
      <c r="E1547" t="inlineStr">
        <is>
          <t>Compressed air</t>
        </is>
      </c>
      <c r="F1547" t="n">
        <v>0</v>
      </c>
      <c r="G1547" t="inlineStr">
        <is>
          <t>Tech C</t>
        </is>
      </c>
      <c r="H1547">
        <f>INDEX(Limits!$B$2:$B$5,MATCH(E1547,Limits!$A$2:$A$5,0))</f>
        <v/>
      </c>
      <c r="I1547">
        <f>INDEX(Limits!$C$2:$C$5,MATCH(E1547,Limits!$A$2:$A$5,0))</f>
        <v/>
      </c>
      <c r="J1547">
        <f>IF(F1547&gt;=I1547,"Action",IF(F1547&gt;=H1547,"Alert","Pass"))</f>
        <v/>
      </c>
      <c r="K1547" s="4">
        <f>DATE(YEAR(B1547),MONTH(B1547),1)</f>
        <v/>
      </c>
    </row>
    <row r="1548">
      <c r="A1548" t="inlineStr">
        <is>
          <t>EM001547</t>
        </is>
      </c>
      <c r="B1548" s="7" t="n">
        <v>46140</v>
      </c>
      <c r="C1548" t="inlineStr">
        <is>
          <t>CR-102</t>
        </is>
      </c>
      <c r="D1548" t="inlineStr">
        <is>
          <t>ISO 7</t>
        </is>
      </c>
      <c r="E1548" t="inlineStr">
        <is>
          <t>Personnel glove</t>
        </is>
      </c>
      <c r="F1548" t="n">
        <v>0</v>
      </c>
      <c r="G1548" t="inlineStr">
        <is>
          <t>Tech D</t>
        </is>
      </c>
      <c r="H1548">
        <f>INDEX(Limits!$B$2:$B$5,MATCH(E1548,Limits!$A$2:$A$5,0))</f>
        <v/>
      </c>
      <c r="I1548">
        <f>INDEX(Limits!$C$2:$C$5,MATCH(E1548,Limits!$A$2:$A$5,0))</f>
        <v/>
      </c>
      <c r="J1548">
        <f>IF(F1548&gt;=I1548,"Action",IF(F1548&gt;=H1548,"Alert","Pass"))</f>
        <v/>
      </c>
      <c r="K1548" s="4">
        <f>DATE(YEAR(B1548),MONTH(B1548),1)</f>
        <v/>
      </c>
    </row>
    <row r="1549">
      <c r="A1549" t="inlineStr">
        <is>
          <t>EM001548</t>
        </is>
      </c>
      <c r="B1549" s="7" t="n">
        <v>46140</v>
      </c>
      <c r="C1549" t="inlineStr">
        <is>
          <t>CR-201</t>
        </is>
      </c>
      <c r="D1549" t="inlineStr">
        <is>
          <t>ISO 8</t>
        </is>
      </c>
      <c r="E1549" t="inlineStr">
        <is>
          <t>Active air</t>
        </is>
      </c>
      <c r="F1549" t="n">
        <v>0</v>
      </c>
      <c r="G1549" t="inlineStr">
        <is>
          <t>Tech C</t>
        </is>
      </c>
      <c r="H1549">
        <f>INDEX(Limits!$B$2:$B$5,MATCH(E1549,Limits!$A$2:$A$5,0))</f>
        <v/>
      </c>
      <c r="I1549">
        <f>INDEX(Limits!$C$2:$C$5,MATCH(E1549,Limits!$A$2:$A$5,0))</f>
        <v/>
      </c>
      <c r="J1549">
        <f>IF(F1549&gt;=I1549,"Action",IF(F1549&gt;=H1549,"Alert","Pass"))</f>
        <v/>
      </c>
      <c r="K1549" s="4">
        <f>DATE(YEAR(B1549),MONTH(B1549),1)</f>
        <v/>
      </c>
    </row>
    <row r="1550">
      <c r="A1550" t="inlineStr">
        <is>
          <t>EM001549</t>
        </is>
      </c>
      <c r="B1550" s="7" t="n">
        <v>46140</v>
      </c>
      <c r="C1550" t="inlineStr">
        <is>
          <t>CR-201</t>
        </is>
      </c>
      <c r="D1550" t="inlineStr">
        <is>
          <t>ISO 8</t>
        </is>
      </c>
      <c r="E1550" t="inlineStr">
        <is>
          <t>Surface contact</t>
        </is>
      </c>
      <c r="F1550" t="n">
        <v>0</v>
      </c>
      <c r="G1550" t="inlineStr">
        <is>
          <t>Tech B</t>
        </is>
      </c>
      <c r="H1550">
        <f>INDEX(Limits!$B$2:$B$5,MATCH(E1550,Limits!$A$2:$A$5,0))</f>
        <v/>
      </c>
      <c r="I1550">
        <f>INDEX(Limits!$C$2:$C$5,MATCH(E1550,Limits!$A$2:$A$5,0))</f>
        <v/>
      </c>
      <c r="J1550">
        <f>IF(F1550&gt;=I1550,"Action",IF(F1550&gt;=H1550,"Alert","Pass"))</f>
        <v/>
      </c>
      <c r="K1550" s="4">
        <f>DATE(YEAR(B1550),MONTH(B1550),1)</f>
        <v/>
      </c>
    </row>
    <row r="1551">
      <c r="A1551" t="inlineStr">
        <is>
          <t>EM001550</t>
        </is>
      </c>
      <c r="B1551" s="7" t="n">
        <v>46140</v>
      </c>
      <c r="C1551" t="inlineStr">
        <is>
          <t>CR-201</t>
        </is>
      </c>
      <c r="D1551" t="inlineStr">
        <is>
          <t>ISO 8</t>
        </is>
      </c>
      <c r="E1551" t="inlineStr">
        <is>
          <t>Compressed air</t>
        </is>
      </c>
      <c r="F1551" t="n">
        <v>0</v>
      </c>
      <c r="G1551" t="inlineStr">
        <is>
          <t>Tech C</t>
        </is>
      </c>
      <c r="H1551">
        <f>INDEX(Limits!$B$2:$B$5,MATCH(E1551,Limits!$A$2:$A$5,0))</f>
        <v/>
      </c>
      <c r="I1551">
        <f>INDEX(Limits!$C$2:$C$5,MATCH(E1551,Limits!$A$2:$A$5,0))</f>
        <v/>
      </c>
      <c r="J1551">
        <f>IF(F1551&gt;=I1551,"Action",IF(F1551&gt;=H1551,"Alert","Pass"))</f>
        <v/>
      </c>
      <c r="K1551" s="4">
        <f>DATE(YEAR(B1551),MONTH(B1551),1)</f>
        <v/>
      </c>
    </row>
    <row r="1552">
      <c r="A1552" t="inlineStr">
        <is>
          <t>EM001551</t>
        </is>
      </c>
      <c r="B1552" s="7" t="n">
        <v>46140</v>
      </c>
      <c r="C1552" t="inlineStr">
        <is>
          <t>CR-201</t>
        </is>
      </c>
      <c r="D1552" t="inlineStr">
        <is>
          <t>ISO 8</t>
        </is>
      </c>
      <c r="E1552" t="inlineStr">
        <is>
          <t>Personnel glove</t>
        </is>
      </c>
      <c r="F1552" t="n">
        <v>0</v>
      </c>
      <c r="G1552" t="inlineStr">
        <is>
          <t>Tech B</t>
        </is>
      </c>
      <c r="H1552">
        <f>INDEX(Limits!$B$2:$B$5,MATCH(E1552,Limits!$A$2:$A$5,0))</f>
        <v/>
      </c>
      <c r="I1552">
        <f>INDEX(Limits!$C$2:$C$5,MATCH(E1552,Limits!$A$2:$A$5,0))</f>
        <v/>
      </c>
      <c r="J1552">
        <f>IF(F1552&gt;=I1552,"Action",IF(F1552&gt;=H1552,"Alert","Pass"))</f>
        <v/>
      </c>
      <c r="K1552" s="4">
        <f>DATE(YEAR(B1552),MONTH(B1552),1)</f>
        <v/>
      </c>
    </row>
    <row r="1553">
      <c r="A1553" t="inlineStr">
        <is>
          <t>EM001552</t>
        </is>
      </c>
      <c r="B1553" s="7" t="n">
        <v>46140</v>
      </c>
      <c r="C1553" t="inlineStr">
        <is>
          <t>CR-202</t>
        </is>
      </c>
      <c r="D1553" t="inlineStr">
        <is>
          <t>ISO 8</t>
        </is>
      </c>
      <c r="E1553" t="inlineStr">
        <is>
          <t>Active air</t>
        </is>
      </c>
      <c r="F1553" t="n">
        <v>2</v>
      </c>
      <c r="G1553" t="inlineStr">
        <is>
          <t>Tech B</t>
        </is>
      </c>
      <c r="H1553">
        <f>INDEX(Limits!$B$2:$B$5,MATCH(E1553,Limits!$A$2:$A$5,0))</f>
        <v/>
      </c>
      <c r="I1553">
        <f>INDEX(Limits!$C$2:$C$5,MATCH(E1553,Limits!$A$2:$A$5,0))</f>
        <v/>
      </c>
      <c r="J1553">
        <f>IF(F1553&gt;=I1553,"Action",IF(F1553&gt;=H1553,"Alert","Pass"))</f>
        <v/>
      </c>
      <c r="K1553" s="4">
        <f>DATE(YEAR(B1553),MONTH(B1553),1)</f>
        <v/>
      </c>
    </row>
    <row r="1554">
      <c r="A1554" t="inlineStr">
        <is>
          <t>EM001553</t>
        </is>
      </c>
      <c r="B1554" s="7" t="n">
        <v>46140</v>
      </c>
      <c r="C1554" t="inlineStr">
        <is>
          <t>CR-202</t>
        </is>
      </c>
      <c r="D1554" t="inlineStr">
        <is>
          <t>ISO 8</t>
        </is>
      </c>
      <c r="E1554" t="inlineStr">
        <is>
          <t>Surface contact</t>
        </is>
      </c>
      <c r="F1554" t="n">
        <v>0</v>
      </c>
      <c r="G1554" t="inlineStr">
        <is>
          <t>Tech B</t>
        </is>
      </c>
      <c r="H1554">
        <f>INDEX(Limits!$B$2:$B$5,MATCH(E1554,Limits!$A$2:$A$5,0))</f>
        <v/>
      </c>
      <c r="I1554">
        <f>INDEX(Limits!$C$2:$C$5,MATCH(E1554,Limits!$A$2:$A$5,0))</f>
        <v/>
      </c>
      <c r="J1554">
        <f>IF(F1554&gt;=I1554,"Action",IF(F1554&gt;=H1554,"Alert","Pass"))</f>
        <v/>
      </c>
      <c r="K1554" s="4">
        <f>DATE(YEAR(B1554),MONTH(B1554),1)</f>
        <v/>
      </c>
    </row>
    <row r="1555">
      <c r="A1555" t="inlineStr">
        <is>
          <t>EM001554</t>
        </is>
      </c>
      <c r="B1555" s="7" t="n">
        <v>46140</v>
      </c>
      <c r="C1555" t="inlineStr">
        <is>
          <t>CR-202</t>
        </is>
      </c>
      <c r="D1555" t="inlineStr">
        <is>
          <t>ISO 8</t>
        </is>
      </c>
      <c r="E1555" t="inlineStr">
        <is>
          <t>Compressed air</t>
        </is>
      </c>
      <c r="F1555" t="n">
        <v>0</v>
      </c>
      <c r="G1555" t="inlineStr">
        <is>
          <t>Tech B</t>
        </is>
      </c>
      <c r="H1555">
        <f>INDEX(Limits!$B$2:$B$5,MATCH(E1555,Limits!$A$2:$A$5,0))</f>
        <v/>
      </c>
      <c r="I1555">
        <f>INDEX(Limits!$C$2:$C$5,MATCH(E1555,Limits!$A$2:$A$5,0))</f>
        <v/>
      </c>
      <c r="J1555">
        <f>IF(F1555&gt;=I1555,"Action",IF(F1555&gt;=H1555,"Alert","Pass"))</f>
        <v/>
      </c>
      <c r="K1555" s="4">
        <f>DATE(YEAR(B1555),MONTH(B1555),1)</f>
        <v/>
      </c>
    </row>
    <row r="1556">
      <c r="A1556" t="inlineStr">
        <is>
          <t>EM001555</t>
        </is>
      </c>
      <c r="B1556" s="7" t="n">
        <v>46140</v>
      </c>
      <c r="C1556" t="inlineStr">
        <is>
          <t>CR-202</t>
        </is>
      </c>
      <c r="D1556" t="inlineStr">
        <is>
          <t>ISO 8</t>
        </is>
      </c>
      <c r="E1556" t="inlineStr">
        <is>
          <t>Personnel glove</t>
        </is>
      </c>
      <c r="F1556" t="n">
        <v>0</v>
      </c>
      <c r="G1556" t="inlineStr">
        <is>
          <t>Tech C</t>
        </is>
      </c>
      <c r="H1556">
        <f>INDEX(Limits!$B$2:$B$5,MATCH(E1556,Limits!$A$2:$A$5,0))</f>
        <v/>
      </c>
      <c r="I1556">
        <f>INDEX(Limits!$C$2:$C$5,MATCH(E1556,Limits!$A$2:$A$5,0))</f>
        <v/>
      </c>
      <c r="J1556">
        <f>IF(F1556&gt;=I1556,"Action",IF(F1556&gt;=H1556,"Alert","Pass"))</f>
        <v/>
      </c>
      <c r="K1556" s="4">
        <f>DATE(YEAR(B1556),MONTH(B1556),1)</f>
        <v/>
      </c>
    </row>
    <row r="1557">
      <c r="A1557" t="inlineStr">
        <is>
          <t>EM001556</t>
        </is>
      </c>
      <c r="B1557" s="7" t="n">
        <v>46140</v>
      </c>
      <c r="C1557" t="inlineStr">
        <is>
          <t>Gowning</t>
        </is>
      </c>
      <c r="D1557" t="inlineStr">
        <is>
          <t>ISO 8</t>
        </is>
      </c>
      <c r="E1557" t="inlineStr">
        <is>
          <t>Active air</t>
        </is>
      </c>
      <c r="F1557" t="n">
        <v>0</v>
      </c>
      <c r="G1557" t="inlineStr">
        <is>
          <t>Tech D</t>
        </is>
      </c>
      <c r="H1557">
        <f>INDEX(Limits!$B$2:$B$5,MATCH(E1557,Limits!$A$2:$A$5,0))</f>
        <v/>
      </c>
      <c r="I1557">
        <f>INDEX(Limits!$C$2:$C$5,MATCH(E1557,Limits!$A$2:$A$5,0))</f>
        <v/>
      </c>
      <c r="J1557">
        <f>IF(F1557&gt;=I1557,"Action",IF(F1557&gt;=H1557,"Alert","Pass"))</f>
        <v/>
      </c>
      <c r="K1557" s="4">
        <f>DATE(YEAR(B1557),MONTH(B1557),1)</f>
        <v/>
      </c>
    </row>
    <row r="1558">
      <c r="A1558" t="inlineStr">
        <is>
          <t>EM001557</t>
        </is>
      </c>
      <c r="B1558" s="7" t="n">
        <v>46140</v>
      </c>
      <c r="C1558" t="inlineStr">
        <is>
          <t>Gowning</t>
        </is>
      </c>
      <c r="D1558" t="inlineStr">
        <is>
          <t>ISO 8</t>
        </is>
      </c>
      <c r="E1558" t="inlineStr">
        <is>
          <t>Surface contact</t>
        </is>
      </c>
      <c r="F1558" t="n">
        <v>1</v>
      </c>
      <c r="G1558" t="inlineStr">
        <is>
          <t>Tech D</t>
        </is>
      </c>
      <c r="H1558">
        <f>INDEX(Limits!$B$2:$B$5,MATCH(E1558,Limits!$A$2:$A$5,0))</f>
        <v/>
      </c>
      <c r="I1558">
        <f>INDEX(Limits!$C$2:$C$5,MATCH(E1558,Limits!$A$2:$A$5,0))</f>
        <v/>
      </c>
      <c r="J1558">
        <f>IF(F1558&gt;=I1558,"Action",IF(F1558&gt;=H1558,"Alert","Pass"))</f>
        <v/>
      </c>
      <c r="K1558" s="4">
        <f>DATE(YEAR(B1558),MONTH(B1558),1)</f>
        <v/>
      </c>
    </row>
    <row r="1559">
      <c r="A1559" t="inlineStr">
        <is>
          <t>EM001558</t>
        </is>
      </c>
      <c r="B1559" s="7" t="n">
        <v>46140</v>
      </c>
      <c r="C1559" t="inlineStr">
        <is>
          <t>Gowning</t>
        </is>
      </c>
      <c r="D1559" t="inlineStr">
        <is>
          <t>ISO 8</t>
        </is>
      </c>
      <c r="E1559" t="inlineStr">
        <is>
          <t>Personnel glove</t>
        </is>
      </c>
      <c r="F1559" t="n">
        <v>0</v>
      </c>
      <c r="G1559" t="inlineStr">
        <is>
          <t>Tech A</t>
        </is>
      </c>
      <c r="H1559">
        <f>INDEX(Limits!$B$2:$B$5,MATCH(E1559,Limits!$A$2:$A$5,0))</f>
        <v/>
      </c>
      <c r="I1559">
        <f>INDEX(Limits!$C$2:$C$5,MATCH(E1559,Limits!$A$2:$A$5,0))</f>
        <v/>
      </c>
      <c r="J1559">
        <f>IF(F1559&gt;=I1559,"Action",IF(F1559&gt;=H1559,"Alert","Pass"))</f>
        <v/>
      </c>
      <c r="K1559" s="4">
        <f>DATE(YEAR(B1559),MONTH(B1559),1)</f>
        <v/>
      </c>
    </row>
    <row r="1560">
      <c r="A1560" t="inlineStr">
        <is>
          <t>EM001559</t>
        </is>
      </c>
      <c r="B1560" s="7" t="n">
        <v>46141</v>
      </c>
      <c r="C1560" t="inlineStr">
        <is>
          <t>CR-101</t>
        </is>
      </c>
      <c r="D1560" t="inlineStr">
        <is>
          <t>ISO 7</t>
        </is>
      </c>
      <c r="E1560" t="inlineStr">
        <is>
          <t>Active air</t>
        </is>
      </c>
      <c r="F1560" t="n">
        <v>0</v>
      </c>
      <c r="G1560" t="inlineStr">
        <is>
          <t>Tech D</t>
        </is>
      </c>
      <c r="H1560">
        <f>INDEX(Limits!$B$2:$B$5,MATCH(E1560,Limits!$A$2:$A$5,0))</f>
        <v/>
      </c>
      <c r="I1560">
        <f>INDEX(Limits!$C$2:$C$5,MATCH(E1560,Limits!$A$2:$A$5,0))</f>
        <v/>
      </c>
      <c r="J1560">
        <f>IF(F1560&gt;=I1560,"Action",IF(F1560&gt;=H1560,"Alert","Pass"))</f>
        <v/>
      </c>
      <c r="K1560" s="4">
        <f>DATE(YEAR(B1560),MONTH(B1560),1)</f>
        <v/>
      </c>
    </row>
    <row r="1561">
      <c r="A1561" t="inlineStr">
        <is>
          <t>EM001560</t>
        </is>
      </c>
      <c r="B1561" s="7" t="n">
        <v>46141</v>
      </c>
      <c r="C1561" t="inlineStr">
        <is>
          <t>CR-101</t>
        </is>
      </c>
      <c r="D1561" t="inlineStr">
        <is>
          <t>ISO 7</t>
        </is>
      </c>
      <c r="E1561" t="inlineStr">
        <is>
          <t>Surface contact</t>
        </is>
      </c>
      <c r="F1561" t="n">
        <v>0</v>
      </c>
      <c r="G1561" t="inlineStr">
        <is>
          <t>Tech D</t>
        </is>
      </c>
      <c r="H1561">
        <f>INDEX(Limits!$B$2:$B$5,MATCH(E1561,Limits!$A$2:$A$5,0))</f>
        <v/>
      </c>
      <c r="I1561">
        <f>INDEX(Limits!$C$2:$C$5,MATCH(E1561,Limits!$A$2:$A$5,0))</f>
        <v/>
      </c>
      <c r="J1561">
        <f>IF(F1561&gt;=I1561,"Action",IF(F1561&gt;=H1561,"Alert","Pass"))</f>
        <v/>
      </c>
      <c r="K1561" s="4">
        <f>DATE(YEAR(B1561),MONTH(B1561),1)</f>
        <v/>
      </c>
    </row>
    <row r="1562">
      <c r="A1562" t="inlineStr">
        <is>
          <t>EM001561</t>
        </is>
      </c>
      <c r="B1562" s="7" t="n">
        <v>46141</v>
      </c>
      <c r="C1562" t="inlineStr">
        <is>
          <t>CR-101</t>
        </is>
      </c>
      <c r="D1562" t="inlineStr">
        <is>
          <t>ISO 7</t>
        </is>
      </c>
      <c r="E1562" t="inlineStr">
        <is>
          <t>Compressed air</t>
        </is>
      </c>
      <c r="F1562" t="n">
        <v>0</v>
      </c>
      <c r="G1562" t="inlineStr">
        <is>
          <t>Tech A</t>
        </is>
      </c>
      <c r="H1562">
        <f>INDEX(Limits!$B$2:$B$5,MATCH(E1562,Limits!$A$2:$A$5,0))</f>
        <v/>
      </c>
      <c r="I1562">
        <f>INDEX(Limits!$C$2:$C$5,MATCH(E1562,Limits!$A$2:$A$5,0))</f>
        <v/>
      </c>
      <c r="J1562">
        <f>IF(F1562&gt;=I1562,"Action",IF(F1562&gt;=H1562,"Alert","Pass"))</f>
        <v/>
      </c>
      <c r="K1562" s="4">
        <f>DATE(YEAR(B1562),MONTH(B1562),1)</f>
        <v/>
      </c>
    </row>
    <row r="1563">
      <c r="A1563" t="inlineStr">
        <is>
          <t>EM001562</t>
        </is>
      </c>
      <c r="B1563" s="7" t="n">
        <v>46141</v>
      </c>
      <c r="C1563" t="inlineStr">
        <is>
          <t>CR-101</t>
        </is>
      </c>
      <c r="D1563" t="inlineStr">
        <is>
          <t>ISO 7</t>
        </is>
      </c>
      <c r="E1563" t="inlineStr">
        <is>
          <t>Personnel glove</t>
        </is>
      </c>
      <c r="F1563" t="n">
        <v>0</v>
      </c>
      <c r="G1563" t="inlineStr">
        <is>
          <t>Tech A</t>
        </is>
      </c>
      <c r="H1563">
        <f>INDEX(Limits!$B$2:$B$5,MATCH(E1563,Limits!$A$2:$A$5,0))</f>
        <v/>
      </c>
      <c r="I1563">
        <f>INDEX(Limits!$C$2:$C$5,MATCH(E1563,Limits!$A$2:$A$5,0))</f>
        <v/>
      </c>
      <c r="J1563">
        <f>IF(F1563&gt;=I1563,"Action",IF(F1563&gt;=H1563,"Alert","Pass"))</f>
        <v/>
      </c>
      <c r="K1563" s="4">
        <f>DATE(YEAR(B1563),MONTH(B1563),1)</f>
        <v/>
      </c>
    </row>
    <row r="1564">
      <c r="A1564" t="inlineStr">
        <is>
          <t>EM001563</t>
        </is>
      </c>
      <c r="B1564" s="7" t="n">
        <v>46141</v>
      </c>
      <c r="C1564" t="inlineStr">
        <is>
          <t>CR-102</t>
        </is>
      </c>
      <c r="D1564" t="inlineStr">
        <is>
          <t>ISO 7</t>
        </is>
      </c>
      <c r="E1564" t="inlineStr">
        <is>
          <t>Active air</t>
        </is>
      </c>
      <c r="F1564" t="n">
        <v>0</v>
      </c>
      <c r="G1564" t="inlineStr">
        <is>
          <t>Tech C</t>
        </is>
      </c>
      <c r="H1564">
        <f>INDEX(Limits!$B$2:$B$5,MATCH(E1564,Limits!$A$2:$A$5,0))</f>
        <v/>
      </c>
      <c r="I1564">
        <f>INDEX(Limits!$C$2:$C$5,MATCH(E1564,Limits!$A$2:$A$5,0))</f>
        <v/>
      </c>
      <c r="J1564">
        <f>IF(F1564&gt;=I1564,"Action",IF(F1564&gt;=H1564,"Alert","Pass"))</f>
        <v/>
      </c>
      <c r="K1564" s="4">
        <f>DATE(YEAR(B1564),MONTH(B1564),1)</f>
        <v/>
      </c>
    </row>
    <row r="1565">
      <c r="A1565" t="inlineStr">
        <is>
          <t>EM001564</t>
        </is>
      </c>
      <c r="B1565" s="7" t="n">
        <v>46141</v>
      </c>
      <c r="C1565" t="inlineStr">
        <is>
          <t>CR-102</t>
        </is>
      </c>
      <c r="D1565" t="inlineStr">
        <is>
          <t>ISO 7</t>
        </is>
      </c>
      <c r="E1565" t="inlineStr">
        <is>
          <t>Surface contact</t>
        </is>
      </c>
      <c r="F1565" t="n">
        <v>0</v>
      </c>
      <c r="G1565" t="inlineStr">
        <is>
          <t>Tech C</t>
        </is>
      </c>
      <c r="H1565">
        <f>INDEX(Limits!$B$2:$B$5,MATCH(E1565,Limits!$A$2:$A$5,0))</f>
        <v/>
      </c>
      <c r="I1565">
        <f>INDEX(Limits!$C$2:$C$5,MATCH(E1565,Limits!$A$2:$A$5,0))</f>
        <v/>
      </c>
      <c r="J1565">
        <f>IF(F1565&gt;=I1565,"Action",IF(F1565&gt;=H1565,"Alert","Pass"))</f>
        <v/>
      </c>
      <c r="K1565" s="4">
        <f>DATE(YEAR(B1565),MONTH(B1565),1)</f>
        <v/>
      </c>
    </row>
    <row r="1566">
      <c r="A1566" t="inlineStr">
        <is>
          <t>EM001565</t>
        </is>
      </c>
      <c r="B1566" s="7" t="n">
        <v>46141</v>
      </c>
      <c r="C1566" t="inlineStr">
        <is>
          <t>CR-102</t>
        </is>
      </c>
      <c r="D1566" t="inlineStr">
        <is>
          <t>ISO 7</t>
        </is>
      </c>
      <c r="E1566" t="inlineStr">
        <is>
          <t>Compressed air</t>
        </is>
      </c>
      <c r="F1566" t="n">
        <v>0</v>
      </c>
      <c r="G1566" t="inlineStr">
        <is>
          <t>Tech D</t>
        </is>
      </c>
      <c r="H1566">
        <f>INDEX(Limits!$B$2:$B$5,MATCH(E1566,Limits!$A$2:$A$5,0))</f>
        <v/>
      </c>
      <c r="I1566">
        <f>INDEX(Limits!$C$2:$C$5,MATCH(E1566,Limits!$A$2:$A$5,0))</f>
        <v/>
      </c>
      <c r="J1566">
        <f>IF(F1566&gt;=I1566,"Action",IF(F1566&gt;=H1566,"Alert","Pass"))</f>
        <v/>
      </c>
      <c r="K1566" s="4">
        <f>DATE(YEAR(B1566),MONTH(B1566),1)</f>
        <v/>
      </c>
    </row>
    <row r="1567">
      <c r="A1567" t="inlineStr">
        <is>
          <t>EM001566</t>
        </is>
      </c>
      <c r="B1567" s="7" t="n">
        <v>46141</v>
      </c>
      <c r="C1567" t="inlineStr">
        <is>
          <t>CR-102</t>
        </is>
      </c>
      <c r="D1567" t="inlineStr">
        <is>
          <t>ISO 7</t>
        </is>
      </c>
      <c r="E1567" t="inlineStr">
        <is>
          <t>Personnel glove</t>
        </is>
      </c>
      <c r="F1567" t="n">
        <v>0</v>
      </c>
      <c r="G1567" t="inlineStr">
        <is>
          <t>Tech B</t>
        </is>
      </c>
      <c r="H1567">
        <f>INDEX(Limits!$B$2:$B$5,MATCH(E1567,Limits!$A$2:$A$5,0))</f>
        <v/>
      </c>
      <c r="I1567">
        <f>INDEX(Limits!$C$2:$C$5,MATCH(E1567,Limits!$A$2:$A$5,0))</f>
        <v/>
      </c>
      <c r="J1567">
        <f>IF(F1567&gt;=I1567,"Action",IF(F1567&gt;=H1567,"Alert","Pass"))</f>
        <v/>
      </c>
      <c r="K1567" s="4">
        <f>DATE(YEAR(B1567),MONTH(B1567),1)</f>
        <v/>
      </c>
    </row>
    <row r="1568">
      <c r="A1568" t="inlineStr">
        <is>
          <t>EM001567</t>
        </is>
      </c>
      <c r="B1568" s="7" t="n">
        <v>46141</v>
      </c>
      <c r="C1568" t="inlineStr">
        <is>
          <t>CR-201</t>
        </is>
      </c>
      <c r="D1568" t="inlineStr">
        <is>
          <t>ISO 8</t>
        </is>
      </c>
      <c r="E1568" t="inlineStr">
        <is>
          <t>Active air</t>
        </is>
      </c>
      <c r="F1568" t="n">
        <v>0</v>
      </c>
      <c r="G1568" t="inlineStr">
        <is>
          <t>Tech A</t>
        </is>
      </c>
      <c r="H1568">
        <f>INDEX(Limits!$B$2:$B$5,MATCH(E1568,Limits!$A$2:$A$5,0))</f>
        <v/>
      </c>
      <c r="I1568">
        <f>INDEX(Limits!$C$2:$C$5,MATCH(E1568,Limits!$A$2:$A$5,0))</f>
        <v/>
      </c>
      <c r="J1568">
        <f>IF(F1568&gt;=I1568,"Action",IF(F1568&gt;=H1568,"Alert","Pass"))</f>
        <v/>
      </c>
      <c r="K1568" s="4">
        <f>DATE(YEAR(B1568),MONTH(B1568),1)</f>
        <v/>
      </c>
    </row>
    <row r="1569">
      <c r="A1569" t="inlineStr">
        <is>
          <t>EM001568</t>
        </is>
      </c>
      <c r="B1569" s="7" t="n">
        <v>46141</v>
      </c>
      <c r="C1569" t="inlineStr">
        <is>
          <t>CR-201</t>
        </is>
      </c>
      <c r="D1569" t="inlineStr">
        <is>
          <t>ISO 8</t>
        </is>
      </c>
      <c r="E1569" t="inlineStr">
        <is>
          <t>Surface contact</t>
        </is>
      </c>
      <c r="F1569" t="n">
        <v>0</v>
      </c>
      <c r="G1569" t="inlineStr">
        <is>
          <t>Tech C</t>
        </is>
      </c>
      <c r="H1569">
        <f>INDEX(Limits!$B$2:$B$5,MATCH(E1569,Limits!$A$2:$A$5,0))</f>
        <v/>
      </c>
      <c r="I1569">
        <f>INDEX(Limits!$C$2:$C$5,MATCH(E1569,Limits!$A$2:$A$5,0))</f>
        <v/>
      </c>
      <c r="J1569">
        <f>IF(F1569&gt;=I1569,"Action",IF(F1569&gt;=H1569,"Alert","Pass"))</f>
        <v/>
      </c>
      <c r="K1569" s="4">
        <f>DATE(YEAR(B1569),MONTH(B1569),1)</f>
        <v/>
      </c>
    </row>
    <row r="1570">
      <c r="A1570" t="inlineStr">
        <is>
          <t>EM001569</t>
        </is>
      </c>
      <c r="B1570" s="7" t="n">
        <v>46141</v>
      </c>
      <c r="C1570" t="inlineStr">
        <is>
          <t>CR-201</t>
        </is>
      </c>
      <c r="D1570" t="inlineStr">
        <is>
          <t>ISO 8</t>
        </is>
      </c>
      <c r="E1570" t="inlineStr">
        <is>
          <t>Compressed air</t>
        </is>
      </c>
      <c r="F1570" t="n">
        <v>0</v>
      </c>
      <c r="G1570" t="inlineStr">
        <is>
          <t>Tech A</t>
        </is>
      </c>
      <c r="H1570">
        <f>INDEX(Limits!$B$2:$B$5,MATCH(E1570,Limits!$A$2:$A$5,0))</f>
        <v/>
      </c>
      <c r="I1570">
        <f>INDEX(Limits!$C$2:$C$5,MATCH(E1570,Limits!$A$2:$A$5,0))</f>
        <v/>
      </c>
      <c r="J1570">
        <f>IF(F1570&gt;=I1570,"Action",IF(F1570&gt;=H1570,"Alert","Pass"))</f>
        <v/>
      </c>
      <c r="K1570" s="4">
        <f>DATE(YEAR(B1570),MONTH(B1570),1)</f>
        <v/>
      </c>
    </row>
    <row r="1571">
      <c r="A1571" t="inlineStr">
        <is>
          <t>EM001570</t>
        </is>
      </c>
      <c r="B1571" s="7" t="n">
        <v>46141</v>
      </c>
      <c r="C1571" t="inlineStr">
        <is>
          <t>CR-201</t>
        </is>
      </c>
      <c r="D1571" t="inlineStr">
        <is>
          <t>ISO 8</t>
        </is>
      </c>
      <c r="E1571" t="inlineStr">
        <is>
          <t>Personnel glove</t>
        </is>
      </c>
      <c r="F1571" t="n">
        <v>0</v>
      </c>
      <c r="G1571" t="inlineStr">
        <is>
          <t>Tech A</t>
        </is>
      </c>
      <c r="H1571">
        <f>INDEX(Limits!$B$2:$B$5,MATCH(E1571,Limits!$A$2:$A$5,0))</f>
        <v/>
      </c>
      <c r="I1571">
        <f>INDEX(Limits!$C$2:$C$5,MATCH(E1571,Limits!$A$2:$A$5,0))</f>
        <v/>
      </c>
      <c r="J1571">
        <f>IF(F1571&gt;=I1571,"Action",IF(F1571&gt;=H1571,"Alert","Pass"))</f>
        <v/>
      </c>
      <c r="K1571" s="4">
        <f>DATE(YEAR(B1571),MONTH(B1571),1)</f>
        <v/>
      </c>
    </row>
    <row r="1572">
      <c r="A1572" t="inlineStr">
        <is>
          <t>EM001571</t>
        </is>
      </c>
      <c r="B1572" s="7" t="n">
        <v>46141</v>
      </c>
      <c r="C1572" t="inlineStr">
        <is>
          <t>CR-202</t>
        </is>
      </c>
      <c r="D1572" t="inlineStr">
        <is>
          <t>ISO 8</t>
        </is>
      </c>
      <c r="E1572" t="inlineStr">
        <is>
          <t>Active air</t>
        </is>
      </c>
      <c r="F1572" t="n">
        <v>0</v>
      </c>
      <c r="G1572" t="inlineStr">
        <is>
          <t>Tech C</t>
        </is>
      </c>
      <c r="H1572">
        <f>INDEX(Limits!$B$2:$B$5,MATCH(E1572,Limits!$A$2:$A$5,0))</f>
        <v/>
      </c>
      <c r="I1572">
        <f>INDEX(Limits!$C$2:$C$5,MATCH(E1572,Limits!$A$2:$A$5,0))</f>
        <v/>
      </c>
      <c r="J1572">
        <f>IF(F1572&gt;=I1572,"Action",IF(F1572&gt;=H1572,"Alert","Pass"))</f>
        <v/>
      </c>
      <c r="K1572" s="4">
        <f>DATE(YEAR(B1572),MONTH(B1572),1)</f>
        <v/>
      </c>
    </row>
    <row r="1573">
      <c r="A1573" t="inlineStr">
        <is>
          <t>EM001572</t>
        </is>
      </c>
      <c r="B1573" s="7" t="n">
        <v>46141</v>
      </c>
      <c r="C1573" t="inlineStr">
        <is>
          <t>CR-202</t>
        </is>
      </c>
      <c r="D1573" t="inlineStr">
        <is>
          <t>ISO 8</t>
        </is>
      </c>
      <c r="E1573" t="inlineStr">
        <is>
          <t>Surface contact</t>
        </is>
      </c>
      <c r="F1573" t="n">
        <v>0</v>
      </c>
      <c r="G1573" t="inlineStr">
        <is>
          <t>Tech C</t>
        </is>
      </c>
      <c r="H1573">
        <f>INDEX(Limits!$B$2:$B$5,MATCH(E1573,Limits!$A$2:$A$5,0))</f>
        <v/>
      </c>
      <c r="I1573">
        <f>INDEX(Limits!$C$2:$C$5,MATCH(E1573,Limits!$A$2:$A$5,0))</f>
        <v/>
      </c>
      <c r="J1573">
        <f>IF(F1573&gt;=I1573,"Action",IF(F1573&gt;=H1573,"Alert","Pass"))</f>
        <v/>
      </c>
      <c r="K1573" s="4">
        <f>DATE(YEAR(B1573),MONTH(B1573),1)</f>
        <v/>
      </c>
    </row>
    <row r="1574">
      <c r="A1574" t="inlineStr">
        <is>
          <t>EM001573</t>
        </is>
      </c>
      <c r="B1574" s="7" t="n">
        <v>46141</v>
      </c>
      <c r="C1574" t="inlineStr">
        <is>
          <t>CR-202</t>
        </is>
      </c>
      <c r="D1574" t="inlineStr">
        <is>
          <t>ISO 8</t>
        </is>
      </c>
      <c r="E1574" t="inlineStr">
        <is>
          <t>Compressed air</t>
        </is>
      </c>
      <c r="F1574" t="n">
        <v>0</v>
      </c>
      <c r="G1574" t="inlineStr">
        <is>
          <t>Tech A</t>
        </is>
      </c>
      <c r="H1574">
        <f>INDEX(Limits!$B$2:$B$5,MATCH(E1574,Limits!$A$2:$A$5,0))</f>
        <v/>
      </c>
      <c r="I1574">
        <f>INDEX(Limits!$C$2:$C$5,MATCH(E1574,Limits!$A$2:$A$5,0))</f>
        <v/>
      </c>
      <c r="J1574">
        <f>IF(F1574&gt;=I1574,"Action",IF(F1574&gt;=H1574,"Alert","Pass"))</f>
        <v/>
      </c>
      <c r="K1574" s="4">
        <f>DATE(YEAR(B1574),MONTH(B1574),1)</f>
        <v/>
      </c>
    </row>
    <row r="1575">
      <c r="A1575" t="inlineStr">
        <is>
          <t>EM001574</t>
        </is>
      </c>
      <c r="B1575" s="7" t="n">
        <v>46141</v>
      </c>
      <c r="C1575" t="inlineStr">
        <is>
          <t>CR-202</t>
        </is>
      </c>
      <c r="D1575" t="inlineStr">
        <is>
          <t>ISO 8</t>
        </is>
      </c>
      <c r="E1575" t="inlineStr">
        <is>
          <t>Personnel glove</t>
        </is>
      </c>
      <c r="F1575" t="n">
        <v>0</v>
      </c>
      <c r="G1575" t="inlineStr">
        <is>
          <t>Tech C</t>
        </is>
      </c>
      <c r="H1575">
        <f>INDEX(Limits!$B$2:$B$5,MATCH(E1575,Limits!$A$2:$A$5,0))</f>
        <v/>
      </c>
      <c r="I1575">
        <f>INDEX(Limits!$C$2:$C$5,MATCH(E1575,Limits!$A$2:$A$5,0))</f>
        <v/>
      </c>
      <c r="J1575">
        <f>IF(F1575&gt;=I1575,"Action",IF(F1575&gt;=H1575,"Alert","Pass"))</f>
        <v/>
      </c>
      <c r="K1575" s="4">
        <f>DATE(YEAR(B1575),MONTH(B1575),1)</f>
        <v/>
      </c>
    </row>
    <row r="1576">
      <c r="A1576" t="inlineStr">
        <is>
          <t>EM001575</t>
        </is>
      </c>
      <c r="B1576" s="7" t="n">
        <v>46141</v>
      </c>
      <c r="C1576" t="inlineStr">
        <is>
          <t>Gowning</t>
        </is>
      </c>
      <c r="D1576" t="inlineStr">
        <is>
          <t>ISO 8</t>
        </is>
      </c>
      <c r="E1576" t="inlineStr">
        <is>
          <t>Active air</t>
        </is>
      </c>
      <c r="F1576" t="n">
        <v>3</v>
      </c>
      <c r="G1576" t="inlineStr">
        <is>
          <t>Tech A</t>
        </is>
      </c>
      <c r="H1576">
        <f>INDEX(Limits!$B$2:$B$5,MATCH(E1576,Limits!$A$2:$A$5,0))</f>
        <v/>
      </c>
      <c r="I1576">
        <f>INDEX(Limits!$C$2:$C$5,MATCH(E1576,Limits!$A$2:$A$5,0))</f>
        <v/>
      </c>
      <c r="J1576">
        <f>IF(F1576&gt;=I1576,"Action",IF(F1576&gt;=H1576,"Alert","Pass"))</f>
        <v/>
      </c>
      <c r="K1576" s="4">
        <f>DATE(YEAR(B1576),MONTH(B1576),1)</f>
        <v/>
      </c>
    </row>
    <row r="1577">
      <c r="A1577" t="inlineStr">
        <is>
          <t>EM001576</t>
        </is>
      </c>
      <c r="B1577" s="7" t="n">
        <v>46141</v>
      </c>
      <c r="C1577" t="inlineStr">
        <is>
          <t>Gowning</t>
        </is>
      </c>
      <c r="D1577" t="inlineStr">
        <is>
          <t>ISO 8</t>
        </is>
      </c>
      <c r="E1577" t="inlineStr">
        <is>
          <t>Surface contact</t>
        </is>
      </c>
      <c r="F1577" t="n">
        <v>0</v>
      </c>
      <c r="G1577" t="inlineStr">
        <is>
          <t>Tech A</t>
        </is>
      </c>
      <c r="H1577">
        <f>INDEX(Limits!$B$2:$B$5,MATCH(E1577,Limits!$A$2:$A$5,0))</f>
        <v/>
      </c>
      <c r="I1577">
        <f>INDEX(Limits!$C$2:$C$5,MATCH(E1577,Limits!$A$2:$A$5,0))</f>
        <v/>
      </c>
      <c r="J1577">
        <f>IF(F1577&gt;=I1577,"Action",IF(F1577&gt;=H1577,"Alert","Pass"))</f>
        <v/>
      </c>
      <c r="K1577" s="4">
        <f>DATE(YEAR(B1577),MONTH(B1577),1)</f>
        <v/>
      </c>
    </row>
    <row r="1578">
      <c r="A1578" t="inlineStr">
        <is>
          <t>EM001577</t>
        </is>
      </c>
      <c r="B1578" s="7" t="n">
        <v>46141</v>
      </c>
      <c r="C1578" t="inlineStr">
        <is>
          <t>Gowning</t>
        </is>
      </c>
      <c r="D1578" t="inlineStr">
        <is>
          <t>ISO 8</t>
        </is>
      </c>
      <c r="E1578" t="inlineStr">
        <is>
          <t>Personnel glove</t>
        </is>
      </c>
      <c r="F1578" t="n">
        <v>0</v>
      </c>
      <c r="G1578" t="inlineStr">
        <is>
          <t>Tech A</t>
        </is>
      </c>
      <c r="H1578">
        <f>INDEX(Limits!$B$2:$B$5,MATCH(E1578,Limits!$A$2:$A$5,0))</f>
        <v/>
      </c>
      <c r="I1578">
        <f>INDEX(Limits!$C$2:$C$5,MATCH(E1578,Limits!$A$2:$A$5,0))</f>
        <v/>
      </c>
      <c r="J1578">
        <f>IF(F1578&gt;=I1578,"Action",IF(F1578&gt;=H1578,"Alert","Pass"))</f>
        <v/>
      </c>
      <c r="K1578" s="4">
        <f>DATE(YEAR(B1578),MONTH(B1578),1)</f>
        <v/>
      </c>
    </row>
    <row r="1579">
      <c r="A1579" t="inlineStr">
        <is>
          <t>EM001578</t>
        </is>
      </c>
      <c r="B1579" s="7" t="n">
        <v>46142</v>
      </c>
      <c r="C1579" t="inlineStr">
        <is>
          <t>CR-101</t>
        </is>
      </c>
      <c r="D1579" t="inlineStr">
        <is>
          <t>ISO 7</t>
        </is>
      </c>
      <c r="E1579" t="inlineStr">
        <is>
          <t>Active air</t>
        </is>
      </c>
      <c r="F1579" t="n">
        <v>0</v>
      </c>
      <c r="G1579" t="inlineStr">
        <is>
          <t>Tech D</t>
        </is>
      </c>
      <c r="H1579">
        <f>INDEX(Limits!$B$2:$B$5,MATCH(E1579,Limits!$A$2:$A$5,0))</f>
        <v/>
      </c>
      <c r="I1579">
        <f>INDEX(Limits!$C$2:$C$5,MATCH(E1579,Limits!$A$2:$A$5,0))</f>
        <v/>
      </c>
      <c r="J1579">
        <f>IF(F1579&gt;=I1579,"Action",IF(F1579&gt;=H1579,"Alert","Pass"))</f>
        <v/>
      </c>
      <c r="K1579" s="4">
        <f>DATE(YEAR(B1579),MONTH(B1579),1)</f>
        <v/>
      </c>
    </row>
    <row r="1580">
      <c r="A1580" t="inlineStr">
        <is>
          <t>EM001579</t>
        </is>
      </c>
      <c r="B1580" s="7" t="n">
        <v>46142</v>
      </c>
      <c r="C1580" t="inlineStr">
        <is>
          <t>CR-101</t>
        </is>
      </c>
      <c r="D1580" t="inlineStr">
        <is>
          <t>ISO 7</t>
        </is>
      </c>
      <c r="E1580" t="inlineStr">
        <is>
          <t>Surface contact</t>
        </is>
      </c>
      <c r="F1580" t="n">
        <v>0</v>
      </c>
      <c r="G1580" t="inlineStr">
        <is>
          <t>Tech B</t>
        </is>
      </c>
      <c r="H1580">
        <f>INDEX(Limits!$B$2:$B$5,MATCH(E1580,Limits!$A$2:$A$5,0))</f>
        <v/>
      </c>
      <c r="I1580">
        <f>INDEX(Limits!$C$2:$C$5,MATCH(E1580,Limits!$A$2:$A$5,0))</f>
        <v/>
      </c>
      <c r="J1580">
        <f>IF(F1580&gt;=I1580,"Action",IF(F1580&gt;=H1580,"Alert","Pass"))</f>
        <v/>
      </c>
      <c r="K1580" s="4">
        <f>DATE(YEAR(B1580),MONTH(B1580),1)</f>
        <v/>
      </c>
    </row>
    <row r="1581">
      <c r="A1581" t="inlineStr">
        <is>
          <t>EM001580</t>
        </is>
      </c>
      <c r="B1581" s="7" t="n">
        <v>46142</v>
      </c>
      <c r="C1581" t="inlineStr">
        <is>
          <t>CR-101</t>
        </is>
      </c>
      <c r="D1581" t="inlineStr">
        <is>
          <t>ISO 7</t>
        </is>
      </c>
      <c r="E1581" t="inlineStr">
        <is>
          <t>Compressed air</t>
        </is>
      </c>
      <c r="F1581" t="n">
        <v>0</v>
      </c>
      <c r="G1581" t="inlineStr">
        <is>
          <t>Tech B</t>
        </is>
      </c>
      <c r="H1581">
        <f>INDEX(Limits!$B$2:$B$5,MATCH(E1581,Limits!$A$2:$A$5,0))</f>
        <v/>
      </c>
      <c r="I1581">
        <f>INDEX(Limits!$C$2:$C$5,MATCH(E1581,Limits!$A$2:$A$5,0))</f>
        <v/>
      </c>
      <c r="J1581">
        <f>IF(F1581&gt;=I1581,"Action",IF(F1581&gt;=H1581,"Alert","Pass"))</f>
        <v/>
      </c>
      <c r="K1581" s="4">
        <f>DATE(YEAR(B1581),MONTH(B1581),1)</f>
        <v/>
      </c>
    </row>
    <row r="1582">
      <c r="A1582" t="inlineStr">
        <is>
          <t>EM001581</t>
        </is>
      </c>
      <c r="B1582" s="7" t="n">
        <v>46142</v>
      </c>
      <c r="C1582" t="inlineStr">
        <is>
          <t>CR-101</t>
        </is>
      </c>
      <c r="D1582" t="inlineStr">
        <is>
          <t>ISO 7</t>
        </is>
      </c>
      <c r="E1582" t="inlineStr">
        <is>
          <t>Personnel glove</t>
        </is>
      </c>
      <c r="F1582" t="n">
        <v>0</v>
      </c>
      <c r="G1582" t="inlineStr">
        <is>
          <t>Tech D</t>
        </is>
      </c>
      <c r="H1582">
        <f>INDEX(Limits!$B$2:$B$5,MATCH(E1582,Limits!$A$2:$A$5,0))</f>
        <v/>
      </c>
      <c r="I1582">
        <f>INDEX(Limits!$C$2:$C$5,MATCH(E1582,Limits!$A$2:$A$5,0))</f>
        <v/>
      </c>
      <c r="J1582">
        <f>IF(F1582&gt;=I1582,"Action",IF(F1582&gt;=H1582,"Alert","Pass"))</f>
        <v/>
      </c>
      <c r="K1582" s="4">
        <f>DATE(YEAR(B1582),MONTH(B1582),1)</f>
        <v/>
      </c>
    </row>
    <row r="1583">
      <c r="A1583" t="inlineStr">
        <is>
          <t>EM001582</t>
        </is>
      </c>
      <c r="B1583" s="7" t="n">
        <v>46142</v>
      </c>
      <c r="C1583" t="inlineStr">
        <is>
          <t>CR-102</t>
        </is>
      </c>
      <c r="D1583" t="inlineStr">
        <is>
          <t>ISO 7</t>
        </is>
      </c>
      <c r="E1583" t="inlineStr">
        <is>
          <t>Active air</t>
        </is>
      </c>
      <c r="F1583" t="n">
        <v>2</v>
      </c>
      <c r="G1583" t="inlineStr">
        <is>
          <t>Tech A</t>
        </is>
      </c>
      <c r="H1583">
        <f>INDEX(Limits!$B$2:$B$5,MATCH(E1583,Limits!$A$2:$A$5,0))</f>
        <v/>
      </c>
      <c r="I1583">
        <f>INDEX(Limits!$C$2:$C$5,MATCH(E1583,Limits!$A$2:$A$5,0))</f>
        <v/>
      </c>
      <c r="J1583">
        <f>IF(F1583&gt;=I1583,"Action",IF(F1583&gt;=H1583,"Alert","Pass"))</f>
        <v/>
      </c>
      <c r="K1583" s="4">
        <f>DATE(YEAR(B1583),MONTH(B1583),1)</f>
        <v/>
      </c>
    </row>
    <row r="1584">
      <c r="A1584" t="inlineStr">
        <is>
          <t>EM001583</t>
        </is>
      </c>
      <c r="B1584" s="7" t="n">
        <v>46142</v>
      </c>
      <c r="C1584" t="inlineStr">
        <is>
          <t>CR-102</t>
        </is>
      </c>
      <c r="D1584" t="inlineStr">
        <is>
          <t>ISO 7</t>
        </is>
      </c>
      <c r="E1584" t="inlineStr">
        <is>
          <t>Surface contact</t>
        </is>
      </c>
      <c r="F1584" t="n">
        <v>1</v>
      </c>
      <c r="G1584" t="inlineStr">
        <is>
          <t>Tech C</t>
        </is>
      </c>
      <c r="H1584">
        <f>INDEX(Limits!$B$2:$B$5,MATCH(E1584,Limits!$A$2:$A$5,0))</f>
        <v/>
      </c>
      <c r="I1584">
        <f>INDEX(Limits!$C$2:$C$5,MATCH(E1584,Limits!$A$2:$A$5,0))</f>
        <v/>
      </c>
      <c r="J1584">
        <f>IF(F1584&gt;=I1584,"Action",IF(F1584&gt;=H1584,"Alert","Pass"))</f>
        <v/>
      </c>
      <c r="K1584" s="4">
        <f>DATE(YEAR(B1584),MONTH(B1584),1)</f>
        <v/>
      </c>
    </row>
    <row r="1585">
      <c r="A1585" t="inlineStr">
        <is>
          <t>EM001584</t>
        </is>
      </c>
      <c r="B1585" s="7" t="n">
        <v>46142</v>
      </c>
      <c r="C1585" t="inlineStr">
        <is>
          <t>CR-102</t>
        </is>
      </c>
      <c r="D1585" t="inlineStr">
        <is>
          <t>ISO 7</t>
        </is>
      </c>
      <c r="E1585" t="inlineStr">
        <is>
          <t>Compressed air</t>
        </is>
      </c>
      <c r="F1585" t="n">
        <v>0</v>
      </c>
      <c r="G1585" t="inlineStr">
        <is>
          <t>Tech B</t>
        </is>
      </c>
      <c r="H1585">
        <f>INDEX(Limits!$B$2:$B$5,MATCH(E1585,Limits!$A$2:$A$5,0))</f>
        <v/>
      </c>
      <c r="I1585">
        <f>INDEX(Limits!$C$2:$C$5,MATCH(E1585,Limits!$A$2:$A$5,0))</f>
        <v/>
      </c>
      <c r="J1585">
        <f>IF(F1585&gt;=I1585,"Action",IF(F1585&gt;=H1585,"Alert","Pass"))</f>
        <v/>
      </c>
      <c r="K1585" s="4">
        <f>DATE(YEAR(B1585),MONTH(B1585),1)</f>
        <v/>
      </c>
    </row>
    <row r="1586">
      <c r="A1586" t="inlineStr">
        <is>
          <t>EM001585</t>
        </is>
      </c>
      <c r="B1586" s="7" t="n">
        <v>46142</v>
      </c>
      <c r="C1586" t="inlineStr">
        <is>
          <t>CR-102</t>
        </is>
      </c>
      <c r="D1586" t="inlineStr">
        <is>
          <t>ISO 7</t>
        </is>
      </c>
      <c r="E1586" t="inlineStr">
        <is>
          <t>Personnel glove</t>
        </is>
      </c>
      <c r="F1586" t="n">
        <v>0</v>
      </c>
      <c r="G1586" t="inlineStr">
        <is>
          <t>Tech D</t>
        </is>
      </c>
      <c r="H1586">
        <f>INDEX(Limits!$B$2:$B$5,MATCH(E1586,Limits!$A$2:$A$5,0))</f>
        <v/>
      </c>
      <c r="I1586">
        <f>INDEX(Limits!$C$2:$C$5,MATCH(E1586,Limits!$A$2:$A$5,0))</f>
        <v/>
      </c>
      <c r="J1586">
        <f>IF(F1586&gt;=I1586,"Action",IF(F1586&gt;=H1586,"Alert","Pass"))</f>
        <v/>
      </c>
      <c r="K1586" s="4">
        <f>DATE(YEAR(B1586),MONTH(B1586),1)</f>
        <v/>
      </c>
    </row>
    <row r="1587">
      <c r="A1587" t="inlineStr">
        <is>
          <t>EM001586</t>
        </is>
      </c>
      <c r="B1587" s="7" t="n">
        <v>46142</v>
      </c>
      <c r="C1587" t="inlineStr">
        <is>
          <t>CR-201</t>
        </is>
      </c>
      <c r="D1587" t="inlineStr">
        <is>
          <t>ISO 8</t>
        </is>
      </c>
      <c r="E1587" t="inlineStr">
        <is>
          <t>Active air</t>
        </is>
      </c>
      <c r="F1587" t="n">
        <v>4</v>
      </c>
      <c r="G1587" t="inlineStr">
        <is>
          <t>Tech D</t>
        </is>
      </c>
      <c r="H1587">
        <f>INDEX(Limits!$B$2:$B$5,MATCH(E1587,Limits!$A$2:$A$5,0))</f>
        <v/>
      </c>
      <c r="I1587">
        <f>INDEX(Limits!$C$2:$C$5,MATCH(E1587,Limits!$A$2:$A$5,0))</f>
        <v/>
      </c>
      <c r="J1587">
        <f>IF(F1587&gt;=I1587,"Action",IF(F1587&gt;=H1587,"Alert","Pass"))</f>
        <v/>
      </c>
      <c r="K1587" s="4">
        <f>DATE(YEAR(B1587),MONTH(B1587),1)</f>
        <v/>
      </c>
    </row>
    <row r="1588">
      <c r="A1588" t="inlineStr">
        <is>
          <t>EM001587</t>
        </is>
      </c>
      <c r="B1588" s="7" t="n">
        <v>46142</v>
      </c>
      <c r="C1588" t="inlineStr">
        <is>
          <t>CR-201</t>
        </is>
      </c>
      <c r="D1588" t="inlineStr">
        <is>
          <t>ISO 8</t>
        </is>
      </c>
      <c r="E1588" t="inlineStr">
        <is>
          <t>Surface contact</t>
        </is>
      </c>
      <c r="F1588" t="n">
        <v>0</v>
      </c>
      <c r="G1588" t="inlineStr">
        <is>
          <t>Tech D</t>
        </is>
      </c>
      <c r="H1588">
        <f>INDEX(Limits!$B$2:$B$5,MATCH(E1588,Limits!$A$2:$A$5,0))</f>
        <v/>
      </c>
      <c r="I1588">
        <f>INDEX(Limits!$C$2:$C$5,MATCH(E1588,Limits!$A$2:$A$5,0))</f>
        <v/>
      </c>
      <c r="J1588">
        <f>IF(F1588&gt;=I1588,"Action",IF(F1588&gt;=H1588,"Alert","Pass"))</f>
        <v/>
      </c>
      <c r="K1588" s="4">
        <f>DATE(YEAR(B1588),MONTH(B1588),1)</f>
        <v/>
      </c>
    </row>
    <row r="1589">
      <c r="A1589" t="inlineStr">
        <is>
          <t>EM001588</t>
        </is>
      </c>
      <c r="B1589" s="7" t="n">
        <v>46142</v>
      </c>
      <c r="C1589" t="inlineStr">
        <is>
          <t>CR-201</t>
        </is>
      </c>
      <c r="D1589" t="inlineStr">
        <is>
          <t>ISO 8</t>
        </is>
      </c>
      <c r="E1589" t="inlineStr">
        <is>
          <t>Compressed air</t>
        </is>
      </c>
      <c r="F1589" t="n">
        <v>0</v>
      </c>
      <c r="G1589" t="inlineStr">
        <is>
          <t>Tech A</t>
        </is>
      </c>
      <c r="H1589">
        <f>INDEX(Limits!$B$2:$B$5,MATCH(E1589,Limits!$A$2:$A$5,0))</f>
        <v/>
      </c>
      <c r="I1589">
        <f>INDEX(Limits!$C$2:$C$5,MATCH(E1589,Limits!$A$2:$A$5,0))</f>
        <v/>
      </c>
      <c r="J1589">
        <f>IF(F1589&gt;=I1589,"Action",IF(F1589&gt;=H1589,"Alert","Pass"))</f>
        <v/>
      </c>
      <c r="K1589" s="4">
        <f>DATE(YEAR(B1589),MONTH(B1589),1)</f>
        <v/>
      </c>
    </row>
    <row r="1590">
      <c r="A1590" t="inlineStr">
        <is>
          <t>EM001589</t>
        </is>
      </c>
      <c r="B1590" s="7" t="n">
        <v>46142</v>
      </c>
      <c r="C1590" t="inlineStr">
        <is>
          <t>CR-201</t>
        </is>
      </c>
      <c r="D1590" t="inlineStr">
        <is>
          <t>ISO 8</t>
        </is>
      </c>
      <c r="E1590" t="inlineStr">
        <is>
          <t>Personnel glove</t>
        </is>
      </c>
      <c r="F1590" t="n">
        <v>0</v>
      </c>
      <c r="G1590" t="inlineStr">
        <is>
          <t>Tech D</t>
        </is>
      </c>
      <c r="H1590">
        <f>INDEX(Limits!$B$2:$B$5,MATCH(E1590,Limits!$A$2:$A$5,0))</f>
        <v/>
      </c>
      <c r="I1590">
        <f>INDEX(Limits!$C$2:$C$5,MATCH(E1590,Limits!$A$2:$A$5,0))</f>
        <v/>
      </c>
      <c r="J1590">
        <f>IF(F1590&gt;=I1590,"Action",IF(F1590&gt;=H1590,"Alert","Pass"))</f>
        <v/>
      </c>
      <c r="K1590" s="4">
        <f>DATE(YEAR(B1590),MONTH(B1590),1)</f>
        <v/>
      </c>
    </row>
    <row r="1591">
      <c r="A1591" t="inlineStr">
        <is>
          <t>EM001590</t>
        </is>
      </c>
      <c r="B1591" s="7" t="n">
        <v>46142</v>
      </c>
      <c r="C1591" t="inlineStr">
        <is>
          <t>CR-202</t>
        </is>
      </c>
      <c r="D1591" t="inlineStr">
        <is>
          <t>ISO 8</t>
        </is>
      </c>
      <c r="E1591" t="inlineStr">
        <is>
          <t>Active air</t>
        </is>
      </c>
      <c r="F1591" t="n">
        <v>2</v>
      </c>
      <c r="G1591" t="inlineStr">
        <is>
          <t>Tech D</t>
        </is>
      </c>
      <c r="H1591">
        <f>INDEX(Limits!$B$2:$B$5,MATCH(E1591,Limits!$A$2:$A$5,0))</f>
        <v/>
      </c>
      <c r="I1591">
        <f>INDEX(Limits!$C$2:$C$5,MATCH(E1591,Limits!$A$2:$A$5,0))</f>
        <v/>
      </c>
      <c r="J1591">
        <f>IF(F1591&gt;=I1591,"Action",IF(F1591&gt;=H1591,"Alert","Pass"))</f>
        <v/>
      </c>
      <c r="K1591" s="4">
        <f>DATE(YEAR(B1591),MONTH(B1591),1)</f>
        <v/>
      </c>
    </row>
    <row r="1592">
      <c r="A1592" t="inlineStr">
        <is>
          <t>EM001591</t>
        </is>
      </c>
      <c r="B1592" s="7" t="n">
        <v>46142</v>
      </c>
      <c r="C1592" t="inlineStr">
        <is>
          <t>CR-202</t>
        </is>
      </c>
      <c r="D1592" t="inlineStr">
        <is>
          <t>ISO 8</t>
        </is>
      </c>
      <c r="E1592" t="inlineStr">
        <is>
          <t>Surface contact</t>
        </is>
      </c>
      <c r="F1592" t="n">
        <v>1</v>
      </c>
      <c r="G1592" t="inlineStr">
        <is>
          <t>Tech D</t>
        </is>
      </c>
      <c r="H1592">
        <f>INDEX(Limits!$B$2:$B$5,MATCH(E1592,Limits!$A$2:$A$5,0))</f>
        <v/>
      </c>
      <c r="I1592">
        <f>INDEX(Limits!$C$2:$C$5,MATCH(E1592,Limits!$A$2:$A$5,0))</f>
        <v/>
      </c>
      <c r="J1592">
        <f>IF(F1592&gt;=I1592,"Action",IF(F1592&gt;=H1592,"Alert","Pass"))</f>
        <v/>
      </c>
      <c r="K1592" s="4">
        <f>DATE(YEAR(B1592),MONTH(B1592),1)</f>
        <v/>
      </c>
    </row>
    <row r="1593">
      <c r="A1593" t="inlineStr">
        <is>
          <t>EM001592</t>
        </is>
      </c>
      <c r="B1593" s="7" t="n">
        <v>46142</v>
      </c>
      <c r="C1593" t="inlineStr">
        <is>
          <t>CR-202</t>
        </is>
      </c>
      <c r="D1593" t="inlineStr">
        <is>
          <t>ISO 8</t>
        </is>
      </c>
      <c r="E1593" t="inlineStr">
        <is>
          <t>Compressed air</t>
        </is>
      </c>
      <c r="F1593" t="n">
        <v>0</v>
      </c>
      <c r="G1593" t="inlineStr">
        <is>
          <t>Tech D</t>
        </is>
      </c>
      <c r="H1593">
        <f>INDEX(Limits!$B$2:$B$5,MATCH(E1593,Limits!$A$2:$A$5,0))</f>
        <v/>
      </c>
      <c r="I1593">
        <f>INDEX(Limits!$C$2:$C$5,MATCH(E1593,Limits!$A$2:$A$5,0))</f>
        <v/>
      </c>
      <c r="J1593">
        <f>IF(F1593&gt;=I1593,"Action",IF(F1593&gt;=H1593,"Alert","Pass"))</f>
        <v/>
      </c>
      <c r="K1593" s="4">
        <f>DATE(YEAR(B1593),MONTH(B1593),1)</f>
        <v/>
      </c>
    </row>
    <row r="1594">
      <c r="A1594" t="inlineStr">
        <is>
          <t>EM001593</t>
        </is>
      </c>
      <c r="B1594" s="7" t="n">
        <v>46142</v>
      </c>
      <c r="C1594" t="inlineStr">
        <is>
          <t>CR-202</t>
        </is>
      </c>
      <c r="D1594" t="inlineStr">
        <is>
          <t>ISO 8</t>
        </is>
      </c>
      <c r="E1594" t="inlineStr">
        <is>
          <t>Personnel glove</t>
        </is>
      </c>
      <c r="F1594" t="n">
        <v>0</v>
      </c>
      <c r="G1594" t="inlineStr">
        <is>
          <t>Tech C</t>
        </is>
      </c>
      <c r="H1594">
        <f>INDEX(Limits!$B$2:$B$5,MATCH(E1594,Limits!$A$2:$A$5,0))</f>
        <v/>
      </c>
      <c r="I1594">
        <f>INDEX(Limits!$C$2:$C$5,MATCH(E1594,Limits!$A$2:$A$5,0))</f>
        <v/>
      </c>
      <c r="J1594">
        <f>IF(F1594&gt;=I1594,"Action",IF(F1594&gt;=H1594,"Alert","Pass"))</f>
        <v/>
      </c>
      <c r="K1594" s="4">
        <f>DATE(YEAR(B1594),MONTH(B1594),1)</f>
        <v/>
      </c>
    </row>
    <row r="1595">
      <c r="A1595" t="inlineStr">
        <is>
          <t>EM001594</t>
        </is>
      </c>
      <c r="B1595" s="7" t="n">
        <v>46142</v>
      </c>
      <c r="C1595" t="inlineStr">
        <is>
          <t>Gowning</t>
        </is>
      </c>
      <c r="D1595" t="inlineStr">
        <is>
          <t>ISO 8</t>
        </is>
      </c>
      <c r="E1595" t="inlineStr">
        <is>
          <t>Active air</t>
        </is>
      </c>
      <c r="F1595" t="n">
        <v>1</v>
      </c>
      <c r="G1595" t="inlineStr">
        <is>
          <t>Tech C</t>
        </is>
      </c>
      <c r="H1595">
        <f>INDEX(Limits!$B$2:$B$5,MATCH(E1595,Limits!$A$2:$A$5,0))</f>
        <v/>
      </c>
      <c r="I1595">
        <f>INDEX(Limits!$C$2:$C$5,MATCH(E1595,Limits!$A$2:$A$5,0))</f>
        <v/>
      </c>
      <c r="J1595">
        <f>IF(F1595&gt;=I1595,"Action",IF(F1595&gt;=H1595,"Alert","Pass"))</f>
        <v/>
      </c>
      <c r="K1595" s="4">
        <f>DATE(YEAR(B1595),MONTH(B1595),1)</f>
        <v/>
      </c>
    </row>
    <row r="1596">
      <c r="A1596" t="inlineStr">
        <is>
          <t>EM001595</t>
        </is>
      </c>
      <c r="B1596" s="7" t="n">
        <v>46142</v>
      </c>
      <c r="C1596" t="inlineStr">
        <is>
          <t>Gowning</t>
        </is>
      </c>
      <c r="D1596" t="inlineStr">
        <is>
          <t>ISO 8</t>
        </is>
      </c>
      <c r="E1596" t="inlineStr">
        <is>
          <t>Surface contact</t>
        </is>
      </c>
      <c r="F1596" t="n">
        <v>2</v>
      </c>
      <c r="G1596" t="inlineStr">
        <is>
          <t>Tech B</t>
        </is>
      </c>
      <c r="H1596">
        <f>INDEX(Limits!$B$2:$B$5,MATCH(E1596,Limits!$A$2:$A$5,0))</f>
        <v/>
      </c>
      <c r="I1596">
        <f>INDEX(Limits!$C$2:$C$5,MATCH(E1596,Limits!$A$2:$A$5,0))</f>
        <v/>
      </c>
      <c r="J1596">
        <f>IF(F1596&gt;=I1596,"Action",IF(F1596&gt;=H1596,"Alert","Pass"))</f>
        <v/>
      </c>
      <c r="K1596" s="4">
        <f>DATE(YEAR(B1596),MONTH(B1596),1)</f>
        <v/>
      </c>
    </row>
    <row r="1597">
      <c r="A1597" t="inlineStr">
        <is>
          <t>EM001596</t>
        </is>
      </c>
      <c r="B1597" s="7" t="n">
        <v>46142</v>
      </c>
      <c r="C1597" t="inlineStr">
        <is>
          <t>Gowning</t>
        </is>
      </c>
      <c r="D1597" t="inlineStr">
        <is>
          <t>ISO 8</t>
        </is>
      </c>
      <c r="E1597" t="inlineStr">
        <is>
          <t>Personnel glove</t>
        </is>
      </c>
      <c r="F1597" t="n">
        <v>0</v>
      </c>
      <c r="G1597" t="inlineStr">
        <is>
          <t>Tech B</t>
        </is>
      </c>
      <c r="H1597">
        <f>INDEX(Limits!$B$2:$B$5,MATCH(E1597,Limits!$A$2:$A$5,0))</f>
        <v/>
      </c>
      <c r="I1597">
        <f>INDEX(Limits!$C$2:$C$5,MATCH(E1597,Limits!$A$2:$A$5,0))</f>
        <v/>
      </c>
      <c r="J1597">
        <f>IF(F1597&gt;=I1597,"Action",IF(F1597&gt;=H1597,"Alert","Pass"))</f>
        <v/>
      </c>
      <c r="K1597" s="4">
        <f>DATE(YEAR(B1597),MONTH(B1597),1)</f>
        <v/>
      </c>
    </row>
    <row r="1598">
      <c r="A1598" t="inlineStr">
        <is>
          <t>EM001597</t>
        </is>
      </c>
      <c r="B1598" s="7" t="n">
        <v>46143</v>
      </c>
      <c r="C1598" t="inlineStr">
        <is>
          <t>CR-101</t>
        </is>
      </c>
      <c r="D1598" t="inlineStr">
        <is>
          <t>ISO 7</t>
        </is>
      </c>
      <c r="E1598" t="inlineStr">
        <is>
          <t>Active air</t>
        </is>
      </c>
      <c r="F1598" t="n">
        <v>0</v>
      </c>
      <c r="G1598" t="inlineStr">
        <is>
          <t>Tech B</t>
        </is>
      </c>
      <c r="H1598">
        <f>INDEX(Limits!$B$2:$B$5,MATCH(E1598,Limits!$A$2:$A$5,0))</f>
        <v/>
      </c>
      <c r="I1598">
        <f>INDEX(Limits!$C$2:$C$5,MATCH(E1598,Limits!$A$2:$A$5,0))</f>
        <v/>
      </c>
      <c r="J1598">
        <f>IF(F1598&gt;=I1598,"Action",IF(F1598&gt;=H1598,"Alert","Pass"))</f>
        <v/>
      </c>
      <c r="K1598" s="4">
        <f>DATE(YEAR(B1598),MONTH(B1598),1)</f>
        <v/>
      </c>
    </row>
    <row r="1599">
      <c r="A1599" t="inlineStr">
        <is>
          <t>EM001598</t>
        </is>
      </c>
      <c r="B1599" s="7" t="n">
        <v>46143</v>
      </c>
      <c r="C1599" t="inlineStr">
        <is>
          <t>CR-101</t>
        </is>
      </c>
      <c r="D1599" t="inlineStr">
        <is>
          <t>ISO 7</t>
        </is>
      </c>
      <c r="E1599" t="inlineStr">
        <is>
          <t>Surface contact</t>
        </is>
      </c>
      <c r="F1599" t="n">
        <v>0</v>
      </c>
      <c r="G1599" t="inlineStr">
        <is>
          <t>Tech D</t>
        </is>
      </c>
      <c r="H1599">
        <f>INDEX(Limits!$B$2:$B$5,MATCH(E1599,Limits!$A$2:$A$5,0))</f>
        <v/>
      </c>
      <c r="I1599">
        <f>INDEX(Limits!$C$2:$C$5,MATCH(E1599,Limits!$A$2:$A$5,0))</f>
        <v/>
      </c>
      <c r="J1599">
        <f>IF(F1599&gt;=I1599,"Action",IF(F1599&gt;=H1599,"Alert","Pass"))</f>
        <v/>
      </c>
      <c r="K1599" s="4">
        <f>DATE(YEAR(B1599),MONTH(B1599),1)</f>
        <v/>
      </c>
    </row>
    <row r="1600">
      <c r="A1600" t="inlineStr">
        <is>
          <t>EM001599</t>
        </is>
      </c>
      <c r="B1600" s="7" t="n">
        <v>46143</v>
      </c>
      <c r="C1600" t="inlineStr">
        <is>
          <t>CR-101</t>
        </is>
      </c>
      <c r="D1600" t="inlineStr">
        <is>
          <t>ISO 7</t>
        </is>
      </c>
      <c r="E1600" t="inlineStr">
        <is>
          <t>Compressed air</t>
        </is>
      </c>
      <c r="F1600" t="n">
        <v>0</v>
      </c>
      <c r="G1600" t="inlineStr">
        <is>
          <t>Tech D</t>
        </is>
      </c>
      <c r="H1600">
        <f>INDEX(Limits!$B$2:$B$5,MATCH(E1600,Limits!$A$2:$A$5,0))</f>
        <v/>
      </c>
      <c r="I1600">
        <f>INDEX(Limits!$C$2:$C$5,MATCH(E1600,Limits!$A$2:$A$5,0))</f>
        <v/>
      </c>
      <c r="J1600">
        <f>IF(F1600&gt;=I1600,"Action",IF(F1600&gt;=H1600,"Alert","Pass"))</f>
        <v/>
      </c>
      <c r="K1600" s="4">
        <f>DATE(YEAR(B1600),MONTH(B1600),1)</f>
        <v/>
      </c>
    </row>
    <row r="1601">
      <c r="A1601" t="inlineStr">
        <is>
          <t>EM001600</t>
        </is>
      </c>
      <c r="B1601" s="7" t="n">
        <v>46143</v>
      </c>
      <c r="C1601" t="inlineStr">
        <is>
          <t>CR-101</t>
        </is>
      </c>
      <c r="D1601" t="inlineStr">
        <is>
          <t>ISO 7</t>
        </is>
      </c>
      <c r="E1601" t="inlineStr">
        <is>
          <t>Personnel glove</t>
        </is>
      </c>
      <c r="F1601" t="n">
        <v>0</v>
      </c>
      <c r="G1601" t="inlineStr">
        <is>
          <t>Tech D</t>
        </is>
      </c>
      <c r="H1601">
        <f>INDEX(Limits!$B$2:$B$5,MATCH(E1601,Limits!$A$2:$A$5,0))</f>
        <v/>
      </c>
      <c r="I1601">
        <f>INDEX(Limits!$C$2:$C$5,MATCH(E1601,Limits!$A$2:$A$5,0))</f>
        <v/>
      </c>
      <c r="J1601">
        <f>IF(F1601&gt;=I1601,"Action",IF(F1601&gt;=H1601,"Alert","Pass"))</f>
        <v/>
      </c>
      <c r="K1601" s="4">
        <f>DATE(YEAR(B1601),MONTH(B1601),1)</f>
        <v/>
      </c>
    </row>
    <row r="1602">
      <c r="A1602" t="inlineStr">
        <is>
          <t>EM001601</t>
        </is>
      </c>
      <c r="B1602" s="7" t="n">
        <v>46143</v>
      </c>
      <c r="C1602" t="inlineStr">
        <is>
          <t>CR-102</t>
        </is>
      </c>
      <c r="D1602" t="inlineStr">
        <is>
          <t>ISO 7</t>
        </is>
      </c>
      <c r="E1602" t="inlineStr">
        <is>
          <t>Active air</t>
        </is>
      </c>
      <c r="F1602" t="n">
        <v>0</v>
      </c>
      <c r="G1602" t="inlineStr">
        <is>
          <t>Tech A</t>
        </is>
      </c>
      <c r="H1602">
        <f>INDEX(Limits!$B$2:$B$5,MATCH(E1602,Limits!$A$2:$A$5,0))</f>
        <v/>
      </c>
      <c r="I1602">
        <f>INDEX(Limits!$C$2:$C$5,MATCH(E1602,Limits!$A$2:$A$5,0))</f>
        <v/>
      </c>
      <c r="J1602">
        <f>IF(F1602&gt;=I1602,"Action",IF(F1602&gt;=H1602,"Alert","Pass"))</f>
        <v/>
      </c>
      <c r="K1602" s="4">
        <f>DATE(YEAR(B1602),MONTH(B1602),1)</f>
        <v/>
      </c>
    </row>
    <row r="1603">
      <c r="A1603" t="inlineStr">
        <is>
          <t>EM001602</t>
        </is>
      </c>
      <c r="B1603" s="7" t="n">
        <v>46143</v>
      </c>
      <c r="C1603" t="inlineStr">
        <is>
          <t>CR-102</t>
        </is>
      </c>
      <c r="D1603" t="inlineStr">
        <is>
          <t>ISO 7</t>
        </is>
      </c>
      <c r="E1603" t="inlineStr">
        <is>
          <t>Surface contact</t>
        </is>
      </c>
      <c r="F1603" t="n">
        <v>0</v>
      </c>
      <c r="G1603" t="inlineStr">
        <is>
          <t>Tech D</t>
        </is>
      </c>
      <c r="H1603">
        <f>INDEX(Limits!$B$2:$B$5,MATCH(E1603,Limits!$A$2:$A$5,0))</f>
        <v/>
      </c>
      <c r="I1603">
        <f>INDEX(Limits!$C$2:$C$5,MATCH(E1603,Limits!$A$2:$A$5,0))</f>
        <v/>
      </c>
      <c r="J1603">
        <f>IF(F1603&gt;=I1603,"Action",IF(F1603&gt;=H1603,"Alert","Pass"))</f>
        <v/>
      </c>
      <c r="K1603" s="4">
        <f>DATE(YEAR(B1603),MONTH(B1603),1)</f>
        <v/>
      </c>
    </row>
    <row r="1604">
      <c r="A1604" t="inlineStr">
        <is>
          <t>EM001603</t>
        </is>
      </c>
      <c r="B1604" s="7" t="n">
        <v>46143</v>
      </c>
      <c r="C1604" t="inlineStr">
        <is>
          <t>CR-102</t>
        </is>
      </c>
      <c r="D1604" t="inlineStr">
        <is>
          <t>ISO 7</t>
        </is>
      </c>
      <c r="E1604" t="inlineStr">
        <is>
          <t>Compressed air</t>
        </is>
      </c>
      <c r="F1604" t="n">
        <v>0</v>
      </c>
      <c r="G1604" t="inlineStr">
        <is>
          <t>Tech C</t>
        </is>
      </c>
      <c r="H1604">
        <f>INDEX(Limits!$B$2:$B$5,MATCH(E1604,Limits!$A$2:$A$5,0))</f>
        <v/>
      </c>
      <c r="I1604">
        <f>INDEX(Limits!$C$2:$C$5,MATCH(E1604,Limits!$A$2:$A$5,0))</f>
        <v/>
      </c>
      <c r="J1604">
        <f>IF(F1604&gt;=I1604,"Action",IF(F1604&gt;=H1604,"Alert","Pass"))</f>
        <v/>
      </c>
      <c r="K1604" s="4">
        <f>DATE(YEAR(B1604),MONTH(B1604),1)</f>
        <v/>
      </c>
    </row>
    <row r="1605">
      <c r="A1605" t="inlineStr">
        <is>
          <t>EM001604</t>
        </is>
      </c>
      <c r="B1605" s="7" t="n">
        <v>46143</v>
      </c>
      <c r="C1605" t="inlineStr">
        <is>
          <t>CR-102</t>
        </is>
      </c>
      <c r="D1605" t="inlineStr">
        <is>
          <t>ISO 7</t>
        </is>
      </c>
      <c r="E1605" t="inlineStr">
        <is>
          <t>Personnel glove</t>
        </is>
      </c>
      <c r="F1605" t="n">
        <v>0</v>
      </c>
      <c r="G1605" t="inlineStr">
        <is>
          <t>Tech B</t>
        </is>
      </c>
      <c r="H1605">
        <f>INDEX(Limits!$B$2:$B$5,MATCH(E1605,Limits!$A$2:$A$5,0))</f>
        <v/>
      </c>
      <c r="I1605">
        <f>INDEX(Limits!$C$2:$C$5,MATCH(E1605,Limits!$A$2:$A$5,0))</f>
        <v/>
      </c>
      <c r="J1605">
        <f>IF(F1605&gt;=I1605,"Action",IF(F1605&gt;=H1605,"Alert","Pass"))</f>
        <v/>
      </c>
      <c r="K1605" s="4">
        <f>DATE(YEAR(B1605),MONTH(B1605),1)</f>
        <v/>
      </c>
    </row>
    <row r="1606">
      <c r="A1606" t="inlineStr">
        <is>
          <t>EM001605</t>
        </is>
      </c>
      <c r="B1606" s="7" t="n">
        <v>46143</v>
      </c>
      <c r="C1606" t="inlineStr">
        <is>
          <t>CR-201</t>
        </is>
      </c>
      <c r="D1606" t="inlineStr">
        <is>
          <t>ISO 8</t>
        </is>
      </c>
      <c r="E1606" t="inlineStr">
        <is>
          <t>Active air</t>
        </is>
      </c>
      <c r="F1606" t="n">
        <v>0</v>
      </c>
      <c r="G1606" t="inlineStr">
        <is>
          <t>Tech C</t>
        </is>
      </c>
      <c r="H1606">
        <f>INDEX(Limits!$B$2:$B$5,MATCH(E1606,Limits!$A$2:$A$5,0))</f>
        <v/>
      </c>
      <c r="I1606">
        <f>INDEX(Limits!$C$2:$C$5,MATCH(E1606,Limits!$A$2:$A$5,0))</f>
        <v/>
      </c>
      <c r="J1606">
        <f>IF(F1606&gt;=I1606,"Action",IF(F1606&gt;=H1606,"Alert","Pass"))</f>
        <v/>
      </c>
      <c r="K1606" s="4">
        <f>DATE(YEAR(B1606),MONTH(B1606),1)</f>
        <v/>
      </c>
    </row>
    <row r="1607">
      <c r="A1607" t="inlineStr">
        <is>
          <t>EM001606</t>
        </is>
      </c>
      <c r="B1607" s="7" t="n">
        <v>46143</v>
      </c>
      <c r="C1607" t="inlineStr">
        <is>
          <t>CR-201</t>
        </is>
      </c>
      <c r="D1607" t="inlineStr">
        <is>
          <t>ISO 8</t>
        </is>
      </c>
      <c r="E1607" t="inlineStr">
        <is>
          <t>Surface contact</t>
        </is>
      </c>
      <c r="F1607" t="n">
        <v>0</v>
      </c>
      <c r="G1607" t="inlineStr">
        <is>
          <t>Tech C</t>
        </is>
      </c>
      <c r="H1607">
        <f>INDEX(Limits!$B$2:$B$5,MATCH(E1607,Limits!$A$2:$A$5,0))</f>
        <v/>
      </c>
      <c r="I1607">
        <f>INDEX(Limits!$C$2:$C$5,MATCH(E1607,Limits!$A$2:$A$5,0))</f>
        <v/>
      </c>
      <c r="J1607">
        <f>IF(F1607&gt;=I1607,"Action",IF(F1607&gt;=H1607,"Alert","Pass"))</f>
        <v/>
      </c>
      <c r="K1607" s="4">
        <f>DATE(YEAR(B1607),MONTH(B1607),1)</f>
        <v/>
      </c>
    </row>
    <row r="1608">
      <c r="A1608" t="inlineStr">
        <is>
          <t>EM001607</t>
        </is>
      </c>
      <c r="B1608" s="7" t="n">
        <v>46143</v>
      </c>
      <c r="C1608" t="inlineStr">
        <is>
          <t>CR-201</t>
        </is>
      </c>
      <c r="D1608" t="inlineStr">
        <is>
          <t>ISO 8</t>
        </is>
      </c>
      <c r="E1608" t="inlineStr">
        <is>
          <t>Compressed air</t>
        </is>
      </c>
      <c r="F1608" t="n">
        <v>0</v>
      </c>
      <c r="G1608" t="inlineStr">
        <is>
          <t>Tech B</t>
        </is>
      </c>
      <c r="H1608">
        <f>INDEX(Limits!$B$2:$B$5,MATCH(E1608,Limits!$A$2:$A$5,0))</f>
        <v/>
      </c>
      <c r="I1608">
        <f>INDEX(Limits!$C$2:$C$5,MATCH(E1608,Limits!$A$2:$A$5,0))</f>
        <v/>
      </c>
      <c r="J1608">
        <f>IF(F1608&gt;=I1608,"Action",IF(F1608&gt;=H1608,"Alert","Pass"))</f>
        <v/>
      </c>
      <c r="K1608" s="4">
        <f>DATE(YEAR(B1608),MONTH(B1608),1)</f>
        <v/>
      </c>
    </row>
    <row r="1609">
      <c r="A1609" t="inlineStr">
        <is>
          <t>EM001608</t>
        </is>
      </c>
      <c r="B1609" s="7" t="n">
        <v>46143</v>
      </c>
      <c r="C1609" t="inlineStr">
        <is>
          <t>CR-201</t>
        </is>
      </c>
      <c r="D1609" t="inlineStr">
        <is>
          <t>ISO 8</t>
        </is>
      </c>
      <c r="E1609" t="inlineStr">
        <is>
          <t>Personnel glove</t>
        </is>
      </c>
      <c r="F1609" t="n">
        <v>0</v>
      </c>
      <c r="G1609" t="inlineStr">
        <is>
          <t>Tech B</t>
        </is>
      </c>
      <c r="H1609">
        <f>INDEX(Limits!$B$2:$B$5,MATCH(E1609,Limits!$A$2:$A$5,0))</f>
        <v/>
      </c>
      <c r="I1609">
        <f>INDEX(Limits!$C$2:$C$5,MATCH(E1609,Limits!$A$2:$A$5,0))</f>
        <v/>
      </c>
      <c r="J1609">
        <f>IF(F1609&gt;=I1609,"Action",IF(F1609&gt;=H1609,"Alert","Pass"))</f>
        <v/>
      </c>
      <c r="K1609" s="4">
        <f>DATE(YEAR(B1609),MONTH(B1609),1)</f>
        <v/>
      </c>
    </row>
    <row r="1610">
      <c r="A1610" t="inlineStr">
        <is>
          <t>EM001609</t>
        </is>
      </c>
      <c r="B1610" s="7" t="n">
        <v>46143</v>
      </c>
      <c r="C1610" t="inlineStr">
        <is>
          <t>CR-202</t>
        </is>
      </c>
      <c r="D1610" t="inlineStr">
        <is>
          <t>ISO 8</t>
        </is>
      </c>
      <c r="E1610" t="inlineStr">
        <is>
          <t>Active air</t>
        </is>
      </c>
      <c r="F1610" t="n">
        <v>0</v>
      </c>
      <c r="G1610" t="inlineStr">
        <is>
          <t>Tech D</t>
        </is>
      </c>
      <c r="H1610">
        <f>INDEX(Limits!$B$2:$B$5,MATCH(E1610,Limits!$A$2:$A$5,0))</f>
        <v/>
      </c>
      <c r="I1610">
        <f>INDEX(Limits!$C$2:$C$5,MATCH(E1610,Limits!$A$2:$A$5,0))</f>
        <v/>
      </c>
      <c r="J1610">
        <f>IF(F1610&gt;=I1610,"Action",IF(F1610&gt;=H1610,"Alert","Pass"))</f>
        <v/>
      </c>
      <c r="K1610" s="4">
        <f>DATE(YEAR(B1610),MONTH(B1610),1)</f>
        <v/>
      </c>
    </row>
    <row r="1611">
      <c r="A1611" t="inlineStr">
        <is>
          <t>EM001610</t>
        </is>
      </c>
      <c r="B1611" s="7" t="n">
        <v>46143</v>
      </c>
      <c r="C1611" t="inlineStr">
        <is>
          <t>CR-202</t>
        </is>
      </c>
      <c r="D1611" t="inlineStr">
        <is>
          <t>ISO 8</t>
        </is>
      </c>
      <c r="E1611" t="inlineStr">
        <is>
          <t>Surface contact</t>
        </is>
      </c>
      <c r="F1611" t="n">
        <v>2</v>
      </c>
      <c r="G1611" t="inlineStr">
        <is>
          <t>Tech D</t>
        </is>
      </c>
      <c r="H1611">
        <f>INDEX(Limits!$B$2:$B$5,MATCH(E1611,Limits!$A$2:$A$5,0))</f>
        <v/>
      </c>
      <c r="I1611">
        <f>INDEX(Limits!$C$2:$C$5,MATCH(E1611,Limits!$A$2:$A$5,0))</f>
        <v/>
      </c>
      <c r="J1611">
        <f>IF(F1611&gt;=I1611,"Action",IF(F1611&gt;=H1611,"Alert","Pass"))</f>
        <v/>
      </c>
      <c r="K1611" s="4">
        <f>DATE(YEAR(B1611),MONTH(B1611),1)</f>
        <v/>
      </c>
    </row>
    <row r="1612">
      <c r="A1612" t="inlineStr">
        <is>
          <t>EM001611</t>
        </is>
      </c>
      <c r="B1612" s="7" t="n">
        <v>46143</v>
      </c>
      <c r="C1612" t="inlineStr">
        <is>
          <t>CR-202</t>
        </is>
      </c>
      <c r="D1612" t="inlineStr">
        <is>
          <t>ISO 8</t>
        </is>
      </c>
      <c r="E1612" t="inlineStr">
        <is>
          <t>Compressed air</t>
        </is>
      </c>
      <c r="F1612" t="n">
        <v>0</v>
      </c>
      <c r="G1612" t="inlineStr">
        <is>
          <t>Tech C</t>
        </is>
      </c>
      <c r="H1612">
        <f>INDEX(Limits!$B$2:$B$5,MATCH(E1612,Limits!$A$2:$A$5,0))</f>
        <v/>
      </c>
      <c r="I1612">
        <f>INDEX(Limits!$C$2:$C$5,MATCH(E1612,Limits!$A$2:$A$5,0))</f>
        <v/>
      </c>
      <c r="J1612">
        <f>IF(F1612&gt;=I1612,"Action",IF(F1612&gt;=H1612,"Alert","Pass"))</f>
        <v/>
      </c>
      <c r="K1612" s="4">
        <f>DATE(YEAR(B1612),MONTH(B1612),1)</f>
        <v/>
      </c>
    </row>
    <row r="1613">
      <c r="A1613" t="inlineStr">
        <is>
          <t>EM001612</t>
        </is>
      </c>
      <c r="B1613" s="7" t="n">
        <v>46143</v>
      </c>
      <c r="C1613" t="inlineStr">
        <is>
          <t>CR-202</t>
        </is>
      </c>
      <c r="D1613" t="inlineStr">
        <is>
          <t>ISO 8</t>
        </is>
      </c>
      <c r="E1613" t="inlineStr">
        <is>
          <t>Personnel glove</t>
        </is>
      </c>
      <c r="F1613" t="n">
        <v>0</v>
      </c>
      <c r="G1613" t="inlineStr">
        <is>
          <t>Tech A</t>
        </is>
      </c>
      <c r="H1613">
        <f>INDEX(Limits!$B$2:$B$5,MATCH(E1613,Limits!$A$2:$A$5,0))</f>
        <v/>
      </c>
      <c r="I1613">
        <f>INDEX(Limits!$C$2:$C$5,MATCH(E1613,Limits!$A$2:$A$5,0))</f>
        <v/>
      </c>
      <c r="J1613">
        <f>IF(F1613&gt;=I1613,"Action",IF(F1613&gt;=H1613,"Alert","Pass"))</f>
        <v/>
      </c>
      <c r="K1613" s="4">
        <f>DATE(YEAR(B1613),MONTH(B1613),1)</f>
        <v/>
      </c>
    </row>
    <row r="1614">
      <c r="A1614" t="inlineStr">
        <is>
          <t>EM001613</t>
        </is>
      </c>
      <c r="B1614" s="7" t="n">
        <v>46143</v>
      </c>
      <c r="C1614" t="inlineStr">
        <is>
          <t>Gowning</t>
        </is>
      </c>
      <c r="D1614" t="inlineStr">
        <is>
          <t>ISO 8</t>
        </is>
      </c>
      <c r="E1614" t="inlineStr">
        <is>
          <t>Active air</t>
        </is>
      </c>
      <c r="F1614" t="n">
        <v>2</v>
      </c>
      <c r="G1614" t="inlineStr">
        <is>
          <t>Tech C</t>
        </is>
      </c>
      <c r="H1614">
        <f>INDEX(Limits!$B$2:$B$5,MATCH(E1614,Limits!$A$2:$A$5,0))</f>
        <v/>
      </c>
      <c r="I1614">
        <f>INDEX(Limits!$C$2:$C$5,MATCH(E1614,Limits!$A$2:$A$5,0))</f>
        <v/>
      </c>
      <c r="J1614">
        <f>IF(F1614&gt;=I1614,"Action",IF(F1614&gt;=H1614,"Alert","Pass"))</f>
        <v/>
      </c>
      <c r="K1614" s="4">
        <f>DATE(YEAR(B1614),MONTH(B1614),1)</f>
        <v/>
      </c>
    </row>
    <row r="1615">
      <c r="A1615" t="inlineStr">
        <is>
          <t>EM001614</t>
        </is>
      </c>
      <c r="B1615" s="7" t="n">
        <v>46143</v>
      </c>
      <c r="C1615" t="inlineStr">
        <is>
          <t>Gowning</t>
        </is>
      </c>
      <c r="D1615" t="inlineStr">
        <is>
          <t>ISO 8</t>
        </is>
      </c>
      <c r="E1615" t="inlineStr">
        <is>
          <t>Surface contact</t>
        </is>
      </c>
      <c r="F1615" t="n">
        <v>1</v>
      </c>
      <c r="G1615" t="inlineStr">
        <is>
          <t>Tech B</t>
        </is>
      </c>
      <c r="H1615">
        <f>INDEX(Limits!$B$2:$B$5,MATCH(E1615,Limits!$A$2:$A$5,0))</f>
        <v/>
      </c>
      <c r="I1615">
        <f>INDEX(Limits!$C$2:$C$5,MATCH(E1615,Limits!$A$2:$A$5,0))</f>
        <v/>
      </c>
      <c r="J1615">
        <f>IF(F1615&gt;=I1615,"Action",IF(F1615&gt;=H1615,"Alert","Pass"))</f>
        <v/>
      </c>
      <c r="K1615" s="4">
        <f>DATE(YEAR(B1615),MONTH(B1615),1)</f>
        <v/>
      </c>
    </row>
    <row r="1616">
      <c r="A1616" t="inlineStr">
        <is>
          <t>EM001615</t>
        </is>
      </c>
      <c r="B1616" s="7" t="n">
        <v>46143</v>
      </c>
      <c r="C1616" t="inlineStr">
        <is>
          <t>Gowning</t>
        </is>
      </c>
      <c r="D1616" t="inlineStr">
        <is>
          <t>ISO 8</t>
        </is>
      </c>
      <c r="E1616" t="inlineStr">
        <is>
          <t>Personnel glove</t>
        </is>
      </c>
      <c r="F1616" t="n">
        <v>0</v>
      </c>
      <c r="G1616" t="inlineStr">
        <is>
          <t>Tech B</t>
        </is>
      </c>
      <c r="H1616">
        <f>INDEX(Limits!$B$2:$B$5,MATCH(E1616,Limits!$A$2:$A$5,0))</f>
        <v/>
      </c>
      <c r="I1616">
        <f>INDEX(Limits!$C$2:$C$5,MATCH(E1616,Limits!$A$2:$A$5,0))</f>
        <v/>
      </c>
      <c r="J1616">
        <f>IF(F1616&gt;=I1616,"Action",IF(F1616&gt;=H1616,"Alert","Pass"))</f>
        <v/>
      </c>
      <c r="K1616" s="4">
        <f>DATE(YEAR(B1616),MONTH(B1616),1)</f>
        <v/>
      </c>
    </row>
    <row r="1617">
      <c r="A1617" t="inlineStr">
        <is>
          <t>EM001616</t>
        </is>
      </c>
      <c r="B1617" s="7" t="n">
        <v>46146</v>
      </c>
      <c r="C1617" t="inlineStr">
        <is>
          <t>CR-101</t>
        </is>
      </c>
      <c r="D1617" t="inlineStr">
        <is>
          <t>ISO 7</t>
        </is>
      </c>
      <c r="E1617" t="inlineStr">
        <is>
          <t>Active air</t>
        </is>
      </c>
      <c r="F1617" t="n">
        <v>2</v>
      </c>
      <c r="G1617" t="inlineStr">
        <is>
          <t>Tech C</t>
        </is>
      </c>
      <c r="H1617">
        <f>INDEX(Limits!$B$2:$B$5,MATCH(E1617,Limits!$A$2:$A$5,0))</f>
        <v/>
      </c>
      <c r="I1617">
        <f>INDEX(Limits!$C$2:$C$5,MATCH(E1617,Limits!$A$2:$A$5,0))</f>
        <v/>
      </c>
      <c r="J1617">
        <f>IF(F1617&gt;=I1617,"Action",IF(F1617&gt;=H1617,"Alert","Pass"))</f>
        <v/>
      </c>
      <c r="K1617" s="4">
        <f>DATE(YEAR(B1617),MONTH(B1617),1)</f>
        <v/>
      </c>
    </row>
    <row r="1618">
      <c r="A1618" t="inlineStr">
        <is>
          <t>EM001617</t>
        </is>
      </c>
      <c r="B1618" s="7" t="n">
        <v>46146</v>
      </c>
      <c r="C1618" t="inlineStr">
        <is>
          <t>CR-101</t>
        </is>
      </c>
      <c r="D1618" t="inlineStr">
        <is>
          <t>ISO 7</t>
        </is>
      </c>
      <c r="E1618" t="inlineStr">
        <is>
          <t>Surface contact</t>
        </is>
      </c>
      <c r="F1618" t="n">
        <v>0</v>
      </c>
      <c r="G1618" t="inlineStr">
        <is>
          <t>Tech A</t>
        </is>
      </c>
      <c r="H1618">
        <f>INDEX(Limits!$B$2:$B$5,MATCH(E1618,Limits!$A$2:$A$5,0))</f>
        <v/>
      </c>
      <c r="I1618">
        <f>INDEX(Limits!$C$2:$C$5,MATCH(E1618,Limits!$A$2:$A$5,0))</f>
        <v/>
      </c>
      <c r="J1618">
        <f>IF(F1618&gt;=I1618,"Action",IF(F1618&gt;=H1618,"Alert","Pass"))</f>
        <v/>
      </c>
      <c r="K1618" s="4">
        <f>DATE(YEAR(B1618),MONTH(B1618),1)</f>
        <v/>
      </c>
    </row>
    <row r="1619">
      <c r="A1619" t="inlineStr">
        <is>
          <t>EM001618</t>
        </is>
      </c>
      <c r="B1619" s="7" t="n">
        <v>46146</v>
      </c>
      <c r="C1619" t="inlineStr">
        <is>
          <t>CR-101</t>
        </is>
      </c>
      <c r="D1619" t="inlineStr">
        <is>
          <t>ISO 7</t>
        </is>
      </c>
      <c r="E1619" t="inlineStr">
        <is>
          <t>Compressed air</t>
        </is>
      </c>
      <c r="F1619" t="n">
        <v>0</v>
      </c>
      <c r="G1619" t="inlineStr">
        <is>
          <t>Tech C</t>
        </is>
      </c>
      <c r="H1619">
        <f>INDEX(Limits!$B$2:$B$5,MATCH(E1619,Limits!$A$2:$A$5,0))</f>
        <v/>
      </c>
      <c r="I1619">
        <f>INDEX(Limits!$C$2:$C$5,MATCH(E1619,Limits!$A$2:$A$5,0))</f>
        <v/>
      </c>
      <c r="J1619">
        <f>IF(F1619&gt;=I1619,"Action",IF(F1619&gt;=H1619,"Alert","Pass"))</f>
        <v/>
      </c>
      <c r="K1619" s="4">
        <f>DATE(YEAR(B1619),MONTH(B1619),1)</f>
        <v/>
      </c>
    </row>
    <row r="1620">
      <c r="A1620" t="inlineStr">
        <is>
          <t>EM001619</t>
        </is>
      </c>
      <c r="B1620" s="7" t="n">
        <v>46146</v>
      </c>
      <c r="C1620" t="inlineStr">
        <is>
          <t>CR-101</t>
        </is>
      </c>
      <c r="D1620" t="inlineStr">
        <is>
          <t>ISO 7</t>
        </is>
      </c>
      <c r="E1620" t="inlineStr">
        <is>
          <t>Personnel glove</t>
        </is>
      </c>
      <c r="F1620" t="n">
        <v>0</v>
      </c>
      <c r="G1620" t="inlineStr">
        <is>
          <t>Tech C</t>
        </is>
      </c>
      <c r="H1620">
        <f>INDEX(Limits!$B$2:$B$5,MATCH(E1620,Limits!$A$2:$A$5,0))</f>
        <v/>
      </c>
      <c r="I1620">
        <f>INDEX(Limits!$C$2:$C$5,MATCH(E1620,Limits!$A$2:$A$5,0))</f>
        <v/>
      </c>
      <c r="J1620">
        <f>IF(F1620&gt;=I1620,"Action",IF(F1620&gt;=H1620,"Alert","Pass"))</f>
        <v/>
      </c>
      <c r="K1620" s="4">
        <f>DATE(YEAR(B1620),MONTH(B1620),1)</f>
        <v/>
      </c>
    </row>
    <row r="1621">
      <c r="A1621" t="inlineStr">
        <is>
          <t>EM001620</t>
        </is>
      </c>
      <c r="B1621" s="7" t="n">
        <v>46146</v>
      </c>
      <c r="C1621" t="inlineStr">
        <is>
          <t>CR-102</t>
        </is>
      </c>
      <c r="D1621" t="inlineStr">
        <is>
          <t>ISO 7</t>
        </is>
      </c>
      <c r="E1621" t="inlineStr">
        <is>
          <t>Active air</t>
        </is>
      </c>
      <c r="F1621" t="n">
        <v>1</v>
      </c>
      <c r="G1621" t="inlineStr">
        <is>
          <t>Tech A</t>
        </is>
      </c>
      <c r="H1621">
        <f>INDEX(Limits!$B$2:$B$5,MATCH(E1621,Limits!$A$2:$A$5,0))</f>
        <v/>
      </c>
      <c r="I1621">
        <f>INDEX(Limits!$C$2:$C$5,MATCH(E1621,Limits!$A$2:$A$5,0))</f>
        <v/>
      </c>
      <c r="J1621">
        <f>IF(F1621&gt;=I1621,"Action",IF(F1621&gt;=H1621,"Alert","Pass"))</f>
        <v/>
      </c>
      <c r="K1621" s="4">
        <f>DATE(YEAR(B1621),MONTH(B1621),1)</f>
        <v/>
      </c>
    </row>
    <row r="1622">
      <c r="A1622" t="inlineStr">
        <is>
          <t>EM001621</t>
        </is>
      </c>
      <c r="B1622" s="7" t="n">
        <v>46146</v>
      </c>
      <c r="C1622" t="inlineStr">
        <is>
          <t>CR-102</t>
        </is>
      </c>
      <c r="D1622" t="inlineStr">
        <is>
          <t>ISO 7</t>
        </is>
      </c>
      <c r="E1622" t="inlineStr">
        <is>
          <t>Surface contact</t>
        </is>
      </c>
      <c r="F1622" t="n">
        <v>0</v>
      </c>
      <c r="G1622" t="inlineStr">
        <is>
          <t>Tech B</t>
        </is>
      </c>
      <c r="H1622">
        <f>INDEX(Limits!$B$2:$B$5,MATCH(E1622,Limits!$A$2:$A$5,0))</f>
        <v/>
      </c>
      <c r="I1622">
        <f>INDEX(Limits!$C$2:$C$5,MATCH(E1622,Limits!$A$2:$A$5,0))</f>
        <v/>
      </c>
      <c r="J1622">
        <f>IF(F1622&gt;=I1622,"Action",IF(F1622&gt;=H1622,"Alert","Pass"))</f>
        <v/>
      </c>
      <c r="K1622" s="4">
        <f>DATE(YEAR(B1622),MONTH(B1622),1)</f>
        <v/>
      </c>
    </row>
    <row r="1623">
      <c r="A1623" t="inlineStr">
        <is>
          <t>EM001622</t>
        </is>
      </c>
      <c r="B1623" s="7" t="n">
        <v>46146</v>
      </c>
      <c r="C1623" t="inlineStr">
        <is>
          <t>CR-102</t>
        </is>
      </c>
      <c r="D1623" t="inlineStr">
        <is>
          <t>ISO 7</t>
        </is>
      </c>
      <c r="E1623" t="inlineStr">
        <is>
          <t>Compressed air</t>
        </is>
      </c>
      <c r="F1623" t="n">
        <v>0</v>
      </c>
      <c r="G1623" t="inlineStr">
        <is>
          <t>Tech B</t>
        </is>
      </c>
      <c r="H1623">
        <f>INDEX(Limits!$B$2:$B$5,MATCH(E1623,Limits!$A$2:$A$5,0))</f>
        <v/>
      </c>
      <c r="I1623">
        <f>INDEX(Limits!$C$2:$C$5,MATCH(E1623,Limits!$A$2:$A$5,0))</f>
        <v/>
      </c>
      <c r="J1623">
        <f>IF(F1623&gt;=I1623,"Action",IF(F1623&gt;=H1623,"Alert","Pass"))</f>
        <v/>
      </c>
      <c r="K1623" s="4">
        <f>DATE(YEAR(B1623),MONTH(B1623),1)</f>
        <v/>
      </c>
    </row>
    <row r="1624">
      <c r="A1624" t="inlineStr">
        <is>
          <t>EM001623</t>
        </is>
      </c>
      <c r="B1624" s="7" t="n">
        <v>46146</v>
      </c>
      <c r="C1624" t="inlineStr">
        <is>
          <t>CR-102</t>
        </is>
      </c>
      <c r="D1624" t="inlineStr">
        <is>
          <t>ISO 7</t>
        </is>
      </c>
      <c r="E1624" t="inlineStr">
        <is>
          <t>Personnel glove</t>
        </is>
      </c>
      <c r="F1624" t="n">
        <v>0</v>
      </c>
      <c r="G1624" t="inlineStr">
        <is>
          <t>Tech C</t>
        </is>
      </c>
      <c r="H1624">
        <f>INDEX(Limits!$B$2:$B$5,MATCH(E1624,Limits!$A$2:$A$5,0))</f>
        <v/>
      </c>
      <c r="I1624">
        <f>INDEX(Limits!$C$2:$C$5,MATCH(E1624,Limits!$A$2:$A$5,0))</f>
        <v/>
      </c>
      <c r="J1624">
        <f>IF(F1624&gt;=I1624,"Action",IF(F1624&gt;=H1624,"Alert","Pass"))</f>
        <v/>
      </c>
      <c r="K1624" s="4">
        <f>DATE(YEAR(B1624),MONTH(B1624),1)</f>
        <v/>
      </c>
    </row>
    <row r="1625">
      <c r="A1625" t="inlineStr">
        <is>
          <t>EM001624</t>
        </is>
      </c>
      <c r="B1625" s="7" t="n">
        <v>46146</v>
      </c>
      <c r="C1625" t="inlineStr">
        <is>
          <t>CR-201</t>
        </is>
      </c>
      <c r="D1625" t="inlineStr">
        <is>
          <t>ISO 8</t>
        </is>
      </c>
      <c r="E1625" t="inlineStr">
        <is>
          <t>Active air</t>
        </is>
      </c>
      <c r="F1625" t="n">
        <v>0</v>
      </c>
      <c r="G1625" t="inlineStr">
        <is>
          <t>Tech A</t>
        </is>
      </c>
      <c r="H1625">
        <f>INDEX(Limits!$B$2:$B$5,MATCH(E1625,Limits!$A$2:$A$5,0))</f>
        <v/>
      </c>
      <c r="I1625">
        <f>INDEX(Limits!$C$2:$C$5,MATCH(E1625,Limits!$A$2:$A$5,0))</f>
        <v/>
      </c>
      <c r="J1625">
        <f>IF(F1625&gt;=I1625,"Action",IF(F1625&gt;=H1625,"Alert","Pass"))</f>
        <v/>
      </c>
      <c r="K1625" s="4">
        <f>DATE(YEAR(B1625),MONTH(B1625),1)</f>
        <v/>
      </c>
    </row>
    <row r="1626">
      <c r="A1626" t="inlineStr">
        <is>
          <t>EM001625</t>
        </is>
      </c>
      <c r="B1626" s="7" t="n">
        <v>46146</v>
      </c>
      <c r="C1626" t="inlineStr">
        <is>
          <t>CR-201</t>
        </is>
      </c>
      <c r="D1626" t="inlineStr">
        <is>
          <t>ISO 8</t>
        </is>
      </c>
      <c r="E1626" t="inlineStr">
        <is>
          <t>Surface contact</t>
        </is>
      </c>
      <c r="F1626" t="n">
        <v>0</v>
      </c>
      <c r="G1626" t="inlineStr">
        <is>
          <t>Tech C</t>
        </is>
      </c>
      <c r="H1626">
        <f>INDEX(Limits!$B$2:$B$5,MATCH(E1626,Limits!$A$2:$A$5,0))</f>
        <v/>
      </c>
      <c r="I1626">
        <f>INDEX(Limits!$C$2:$C$5,MATCH(E1626,Limits!$A$2:$A$5,0))</f>
        <v/>
      </c>
      <c r="J1626">
        <f>IF(F1626&gt;=I1626,"Action",IF(F1626&gt;=H1626,"Alert","Pass"))</f>
        <v/>
      </c>
      <c r="K1626" s="4">
        <f>DATE(YEAR(B1626),MONTH(B1626),1)</f>
        <v/>
      </c>
    </row>
    <row r="1627">
      <c r="A1627" t="inlineStr">
        <is>
          <t>EM001626</t>
        </is>
      </c>
      <c r="B1627" s="7" t="n">
        <v>46146</v>
      </c>
      <c r="C1627" t="inlineStr">
        <is>
          <t>CR-201</t>
        </is>
      </c>
      <c r="D1627" t="inlineStr">
        <is>
          <t>ISO 8</t>
        </is>
      </c>
      <c r="E1627" t="inlineStr">
        <is>
          <t>Compressed air</t>
        </is>
      </c>
      <c r="F1627" t="n">
        <v>0</v>
      </c>
      <c r="G1627" t="inlineStr">
        <is>
          <t>Tech D</t>
        </is>
      </c>
      <c r="H1627">
        <f>INDEX(Limits!$B$2:$B$5,MATCH(E1627,Limits!$A$2:$A$5,0))</f>
        <v/>
      </c>
      <c r="I1627">
        <f>INDEX(Limits!$C$2:$C$5,MATCH(E1627,Limits!$A$2:$A$5,0))</f>
        <v/>
      </c>
      <c r="J1627">
        <f>IF(F1627&gt;=I1627,"Action",IF(F1627&gt;=H1627,"Alert","Pass"))</f>
        <v/>
      </c>
      <c r="K1627" s="4">
        <f>DATE(YEAR(B1627),MONTH(B1627),1)</f>
        <v/>
      </c>
    </row>
    <row r="1628">
      <c r="A1628" t="inlineStr">
        <is>
          <t>EM001627</t>
        </is>
      </c>
      <c r="B1628" s="7" t="n">
        <v>46146</v>
      </c>
      <c r="C1628" t="inlineStr">
        <is>
          <t>CR-201</t>
        </is>
      </c>
      <c r="D1628" t="inlineStr">
        <is>
          <t>ISO 8</t>
        </is>
      </c>
      <c r="E1628" t="inlineStr">
        <is>
          <t>Personnel glove</t>
        </is>
      </c>
      <c r="F1628" t="n">
        <v>0</v>
      </c>
      <c r="G1628" t="inlineStr">
        <is>
          <t>Tech B</t>
        </is>
      </c>
      <c r="H1628">
        <f>INDEX(Limits!$B$2:$B$5,MATCH(E1628,Limits!$A$2:$A$5,0))</f>
        <v/>
      </c>
      <c r="I1628">
        <f>INDEX(Limits!$C$2:$C$5,MATCH(E1628,Limits!$A$2:$A$5,0))</f>
        <v/>
      </c>
      <c r="J1628">
        <f>IF(F1628&gt;=I1628,"Action",IF(F1628&gt;=H1628,"Alert","Pass"))</f>
        <v/>
      </c>
      <c r="K1628" s="4">
        <f>DATE(YEAR(B1628),MONTH(B1628),1)</f>
        <v/>
      </c>
    </row>
    <row r="1629">
      <c r="A1629" t="inlineStr">
        <is>
          <t>EM001628</t>
        </is>
      </c>
      <c r="B1629" s="7" t="n">
        <v>46146</v>
      </c>
      <c r="C1629" t="inlineStr">
        <is>
          <t>CR-202</t>
        </is>
      </c>
      <c r="D1629" t="inlineStr">
        <is>
          <t>ISO 8</t>
        </is>
      </c>
      <c r="E1629" t="inlineStr">
        <is>
          <t>Active air</t>
        </is>
      </c>
      <c r="F1629" t="n">
        <v>0</v>
      </c>
      <c r="G1629" t="inlineStr">
        <is>
          <t>Tech C</t>
        </is>
      </c>
      <c r="H1629">
        <f>INDEX(Limits!$B$2:$B$5,MATCH(E1629,Limits!$A$2:$A$5,0))</f>
        <v/>
      </c>
      <c r="I1629">
        <f>INDEX(Limits!$C$2:$C$5,MATCH(E1629,Limits!$A$2:$A$5,0))</f>
        <v/>
      </c>
      <c r="J1629">
        <f>IF(F1629&gt;=I1629,"Action",IF(F1629&gt;=H1629,"Alert","Pass"))</f>
        <v/>
      </c>
      <c r="K1629" s="4">
        <f>DATE(YEAR(B1629),MONTH(B1629),1)</f>
        <v/>
      </c>
    </row>
    <row r="1630">
      <c r="A1630" t="inlineStr">
        <is>
          <t>EM001629</t>
        </is>
      </c>
      <c r="B1630" s="7" t="n">
        <v>46146</v>
      </c>
      <c r="C1630" t="inlineStr">
        <is>
          <t>CR-202</t>
        </is>
      </c>
      <c r="D1630" t="inlineStr">
        <is>
          <t>ISO 8</t>
        </is>
      </c>
      <c r="E1630" t="inlineStr">
        <is>
          <t>Surface contact</t>
        </is>
      </c>
      <c r="F1630" t="n">
        <v>0</v>
      </c>
      <c r="G1630" t="inlineStr">
        <is>
          <t>Tech B</t>
        </is>
      </c>
      <c r="H1630">
        <f>INDEX(Limits!$B$2:$B$5,MATCH(E1630,Limits!$A$2:$A$5,0))</f>
        <v/>
      </c>
      <c r="I1630">
        <f>INDEX(Limits!$C$2:$C$5,MATCH(E1630,Limits!$A$2:$A$5,0))</f>
        <v/>
      </c>
      <c r="J1630">
        <f>IF(F1630&gt;=I1630,"Action",IF(F1630&gt;=H1630,"Alert","Pass"))</f>
        <v/>
      </c>
      <c r="K1630" s="4">
        <f>DATE(YEAR(B1630),MONTH(B1630),1)</f>
        <v/>
      </c>
    </row>
    <row r="1631">
      <c r="A1631" t="inlineStr">
        <is>
          <t>EM001630</t>
        </is>
      </c>
      <c r="B1631" s="7" t="n">
        <v>46146</v>
      </c>
      <c r="C1631" t="inlineStr">
        <is>
          <t>CR-202</t>
        </is>
      </c>
      <c r="D1631" t="inlineStr">
        <is>
          <t>ISO 8</t>
        </is>
      </c>
      <c r="E1631" t="inlineStr">
        <is>
          <t>Compressed air</t>
        </is>
      </c>
      <c r="F1631" t="n">
        <v>0</v>
      </c>
      <c r="G1631" t="inlineStr">
        <is>
          <t>Tech A</t>
        </is>
      </c>
      <c r="H1631">
        <f>INDEX(Limits!$B$2:$B$5,MATCH(E1631,Limits!$A$2:$A$5,0))</f>
        <v/>
      </c>
      <c r="I1631">
        <f>INDEX(Limits!$C$2:$C$5,MATCH(E1631,Limits!$A$2:$A$5,0))</f>
        <v/>
      </c>
      <c r="J1631">
        <f>IF(F1631&gt;=I1631,"Action",IF(F1631&gt;=H1631,"Alert","Pass"))</f>
        <v/>
      </c>
      <c r="K1631" s="4">
        <f>DATE(YEAR(B1631),MONTH(B1631),1)</f>
        <v/>
      </c>
    </row>
    <row r="1632">
      <c r="A1632" t="inlineStr">
        <is>
          <t>EM001631</t>
        </is>
      </c>
      <c r="B1632" s="7" t="n">
        <v>46146</v>
      </c>
      <c r="C1632" t="inlineStr">
        <is>
          <t>CR-202</t>
        </is>
      </c>
      <c r="D1632" t="inlineStr">
        <is>
          <t>ISO 8</t>
        </is>
      </c>
      <c r="E1632" t="inlineStr">
        <is>
          <t>Personnel glove</t>
        </is>
      </c>
      <c r="F1632" t="n">
        <v>0</v>
      </c>
      <c r="G1632" t="inlineStr">
        <is>
          <t>Tech A</t>
        </is>
      </c>
      <c r="H1632">
        <f>INDEX(Limits!$B$2:$B$5,MATCH(E1632,Limits!$A$2:$A$5,0))</f>
        <v/>
      </c>
      <c r="I1632">
        <f>INDEX(Limits!$C$2:$C$5,MATCH(E1632,Limits!$A$2:$A$5,0))</f>
        <v/>
      </c>
      <c r="J1632">
        <f>IF(F1632&gt;=I1632,"Action",IF(F1632&gt;=H1632,"Alert","Pass"))</f>
        <v/>
      </c>
      <c r="K1632" s="4">
        <f>DATE(YEAR(B1632),MONTH(B1632),1)</f>
        <v/>
      </c>
    </row>
    <row r="1633">
      <c r="A1633" t="inlineStr">
        <is>
          <t>EM001632</t>
        </is>
      </c>
      <c r="B1633" s="7" t="n">
        <v>46146</v>
      </c>
      <c r="C1633" t="inlineStr">
        <is>
          <t>Gowning</t>
        </is>
      </c>
      <c r="D1633" t="inlineStr">
        <is>
          <t>ISO 8</t>
        </is>
      </c>
      <c r="E1633" t="inlineStr">
        <is>
          <t>Active air</t>
        </is>
      </c>
      <c r="F1633" t="n">
        <v>2</v>
      </c>
      <c r="G1633" t="inlineStr">
        <is>
          <t>Tech C</t>
        </is>
      </c>
      <c r="H1633">
        <f>INDEX(Limits!$B$2:$B$5,MATCH(E1633,Limits!$A$2:$A$5,0))</f>
        <v/>
      </c>
      <c r="I1633">
        <f>INDEX(Limits!$C$2:$C$5,MATCH(E1633,Limits!$A$2:$A$5,0))</f>
        <v/>
      </c>
      <c r="J1633">
        <f>IF(F1633&gt;=I1633,"Action",IF(F1633&gt;=H1633,"Alert","Pass"))</f>
        <v/>
      </c>
      <c r="K1633" s="4">
        <f>DATE(YEAR(B1633),MONTH(B1633),1)</f>
        <v/>
      </c>
    </row>
    <row r="1634">
      <c r="A1634" t="inlineStr">
        <is>
          <t>EM001633</t>
        </is>
      </c>
      <c r="B1634" s="7" t="n">
        <v>46146</v>
      </c>
      <c r="C1634" t="inlineStr">
        <is>
          <t>Gowning</t>
        </is>
      </c>
      <c r="D1634" t="inlineStr">
        <is>
          <t>ISO 8</t>
        </is>
      </c>
      <c r="E1634" t="inlineStr">
        <is>
          <t>Surface contact</t>
        </is>
      </c>
      <c r="F1634" t="n">
        <v>0</v>
      </c>
      <c r="G1634" t="inlineStr">
        <is>
          <t>Tech A</t>
        </is>
      </c>
      <c r="H1634">
        <f>INDEX(Limits!$B$2:$B$5,MATCH(E1634,Limits!$A$2:$A$5,0))</f>
        <v/>
      </c>
      <c r="I1634">
        <f>INDEX(Limits!$C$2:$C$5,MATCH(E1634,Limits!$A$2:$A$5,0))</f>
        <v/>
      </c>
      <c r="J1634">
        <f>IF(F1634&gt;=I1634,"Action",IF(F1634&gt;=H1634,"Alert","Pass"))</f>
        <v/>
      </c>
      <c r="K1634" s="4">
        <f>DATE(YEAR(B1634),MONTH(B1634),1)</f>
        <v/>
      </c>
    </row>
    <row r="1635">
      <c r="A1635" t="inlineStr">
        <is>
          <t>EM001634</t>
        </is>
      </c>
      <c r="B1635" s="7" t="n">
        <v>46146</v>
      </c>
      <c r="C1635" t="inlineStr">
        <is>
          <t>Gowning</t>
        </is>
      </c>
      <c r="D1635" t="inlineStr">
        <is>
          <t>ISO 8</t>
        </is>
      </c>
      <c r="E1635" t="inlineStr">
        <is>
          <t>Personnel glove</t>
        </is>
      </c>
      <c r="F1635" t="n">
        <v>0</v>
      </c>
      <c r="G1635" t="inlineStr">
        <is>
          <t>Tech C</t>
        </is>
      </c>
      <c r="H1635">
        <f>INDEX(Limits!$B$2:$B$5,MATCH(E1635,Limits!$A$2:$A$5,0))</f>
        <v/>
      </c>
      <c r="I1635">
        <f>INDEX(Limits!$C$2:$C$5,MATCH(E1635,Limits!$A$2:$A$5,0))</f>
        <v/>
      </c>
      <c r="J1635">
        <f>IF(F1635&gt;=I1635,"Action",IF(F1635&gt;=H1635,"Alert","Pass"))</f>
        <v/>
      </c>
      <c r="K1635" s="4">
        <f>DATE(YEAR(B1635),MONTH(B1635),1)</f>
        <v/>
      </c>
    </row>
    <row r="1636">
      <c r="A1636" t="inlineStr">
        <is>
          <t>EM001635</t>
        </is>
      </c>
      <c r="B1636" s="7" t="n">
        <v>46147</v>
      </c>
      <c r="C1636" t="inlineStr">
        <is>
          <t>CR-101</t>
        </is>
      </c>
      <c r="D1636" t="inlineStr">
        <is>
          <t>ISO 7</t>
        </is>
      </c>
      <c r="E1636" t="inlineStr">
        <is>
          <t>Active air</t>
        </is>
      </c>
      <c r="F1636" t="n">
        <v>0</v>
      </c>
      <c r="G1636" t="inlineStr">
        <is>
          <t>Tech B</t>
        </is>
      </c>
      <c r="H1636">
        <f>INDEX(Limits!$B$2:$B$5,MATCH(E1636,Limits!$A$2:$A$5,0))</f>
        <v/>
      </c>
      <c r="I1636">
        <f>INDEX(Limits!$C$2:$C$5,MATCH(E1636,Limits!$A$2:$A$5,0))</f>
        <v/>
      </c>
      <c r="J1636">
        <f>IF(F1636&gt;=I1636,"Action",IF(F1636&gt;=H1636,"Alert","Pass"))</f>
        <v/>
      </c>
      <c r="K1636" s="4">
        <f>DATE(YEAR(B1636),MONTH(B1636),1)</f>
        <v/>
      </c>
    </row>
    <row r="1637">
      <c r="A1637" t="inlineStr">
        <is>
          <t>EM001636</t>
        </is>
      </c>
      <c r="B1637" s="7" t="n">
        <v>46147</v>
      </c>
      <c r="C1637" t="inlineStr">
        <is>
          <t>CR-101</t>
        </is>
      </c>
      <c r="D1637" t="inlineStr">
        <is>
          <t>ISO 7</t>
        </is>
      </c>
      <c r="E1637" t="inlineStr">
        <is>
          <t>Surface contact</t>
        </is>
      </c>
      <c r="F1637" t="n">
        <v>2</v>
      </c>
      <c r="G1637" t="inlineStr">
        <is>
          <t>Tech D</t>
        </is>
      </c>
      <c r="H1637">
        <f>INDEX(Limits!$B$2:$B$5,MATCH(E1637,Limits!$A$2:$A$5,0))</f>
        <v/>
      </c>
      <c r="I1637">
        <f>INDEX(Limits!$C$2:$C$5,MATCH(E1637,Limits!$A$2:$A$5,0))</f>
        <v/>
      </c>
      <c r="J1637">
        <f>IF(F1637&gt;=I1637,"Action",IF(F1637&gt;=H1637,"Alert","Pass"))</f>
        <v/>
      </c>
      <c r="K1637" s="4">
        <f>DATE(YEAR(B1637),MONTH(B1637),1)</f>
        <v/>
      </c>
    </row>
    <row r="1638">
      <c r="A1638" t="inlineStr">
        <is>
          <t>EM001637</t>
        </is>
      </c>
      <c r="B1638" s="7" t="n">
        <v>46147</v>
      </c>
      <c r="C1638" t="inlineStr">
        <is>
          <t>CR-101</t>
        </is>
      </c>
      <c r="D1638" t="inlineStr">
        <is>
          <t>ISO 7</t>
        </is>
      </c>
      <c r="E1638" t="inlineStr">
        <is>
          <t>Compressed air</t>
        </is>
      </c>
      <c r="F1638" t="n">
        <v>0</v>
      </c>
      <c r="G1638" t="inlineStr">
        <is>
          <t>Tech A</t>
        </is>
      </c>
      <c r="H1638">
        <f>INDEX(Limits!$B$2:$B$5,MATCH(E1638,Limits!$A$2:$A$5,0))</f>
        <v/>
      </c>
      <c r="I1638">
        <f>INDEX(Limits!$C$2:$C$5,MATCH(E1638,Limits!$A$2:$A$5,0))</f>
        <v/>
      </c>
      <c r="J1638">
        <f>IF(F1638&gt;=I1638,"Action",IF(F1638&gt;=H1638,"Alert","Pass"))</f>
        <v/>
      </c>
      <c r="K1638" s="4">
        <f>DATE(YEAR(B1638),MONTH(B1638),1)</f>
        <v/>
      </c>
    </row>
    <row r="1639">
      <c r="A1639" t="inlineStr">
        <is>
          <t>EM001638</t>
        </is>
      </c>
      <c r="B1639" s="7" t="n">
        <v>46147</v>
      </c>
      <c r="C1639" t="inlineStr">
        <is>
          <t>CR-101</t>
        </is>
      </c>
      <c r="D1639" t="inlineStr">
        <is>
          <t>ISO 7</t>
        </is>
      </c>
      <c r="E1639" t="inlineStr">
        <is>
          <t>Personnel glove</t>
        </is>
      </c>
      <c r="F1639" t="n">
        <v>0</v>
      </c>
      <c r="G1639" t="inlineStr">
        <is>
          <t>Tech C</t>
        </is>
      </c>
      <c r="H1639">
        <f>INDEX(Limits!$B$2:$B$5,MATCH(E1639,Limits!$A$2:$A$5,0))</f>
        <v/>
      </c>
      <c r="I1639">
        <f>INDEX(Limits!$C$2:$C$5,MATCH(E1639,Limits!$A$2:$A$5,0))</f>
        <v/>
      </c>
      <c r="J1639">
        <f>IF(F1639&gt;=I1639,"Action",IF(F1639&gt;=H1639,"Alert","Pass"))</f>
        <v/>
      </c>
      <c r="K1639" s="4">
        <f>DATE(YEAR(B1639),MONTH(B1639),1)</f>
        <v/>
      </c>
    </row>
    <row r="1640">
      <c r="A1640" t="inlineStr">
        <is>
          <t>EM001639</t>
        </is>
      </c>
      <c r="B1640" s="7" t="n">
        <v>46147</v>
      </c>
      <c r="C1640" t="inlineStr">
        <is>
          <t>CR-102</t>
        </is>
      </c>
      <c r="D1640" t="inlineStr">
        <is>
          <t>ISO 7</t>
        </is>
      </c>
      <c r="E1640" t="inlineStr">
        <is>
          <t>Active air</t>
        </is>
      </c>
      <c r="F1640" t="n">
        <v>2</v>
      </c>
      <c r="G1640" t="inlineStr">
        <is>
          <t>Tech C</t>
        </is>
      </c>
      <c r="H1640">
        <f>INDEX(Limits!$B$2:$B$5,MATCH(E1640,Limits!$A$2:$A$5,0))</f>
        <v/>
      </c>
      <c r="I1640">
        <f>INDEX(Limits!$C$2:$C$5,MATCH(E1640,Limits!$A$2:$A$5,0))</f>
        <v/>
      </c>
      <c r="J1640">
        <f>IF(F1640&gt;=I1640,"Action",IF(F1640&gt;=H1640,"Alert","Pass"))</f>
        <v/>
      </c>
      <c r="K1640" s="4">
        <f>DATE(YEAR(B1640),MONTH(B1640),1)</f>
        <v/>
      </c>
    </row>
    <row r="1641">
      <c r="A1641" t="inlineStr">
        <is>
          <t>EM001640</t>
        </is>
      </c>
      <c r="B1641" s="7" t="n">
        <v>46147</v>
      </c>
      <c r="C1641" t="inlineStr">
        <is>
          <t>CR-102</t>
        </is>
      </c>
      <c r="D1641" t="inlineStr">
        <is>
          <t>ISO 7</t>
        </is>
      </c>
      <c r="E1641" t="inlineStr">
        <is>
          <t>Surface contact</t>
        </is>
      </c>
      <c r="F1641" t="n">
        <v>1</v>
      </c>
      <c r="G1641" t="inlineStr">
        <is>
          <t>Tech D</t>
        </is>
      </c>
      <c r="H1641">
        <f>INDEX(Limits!$B$2:$B$5,MATCH(E1641,Limits!$A$2:$A$5,0))</f>
        <v/>
      </c>
      <c r="I1641">
        <f>INDEX(Limits!$C$2:$C$5,MATCH(E1641,Limits!$A$2:$A$5,0))</f>
        <v/>
      </c>
      <c r="J1641">
        <f>IF(F1641&gt;=I1641,"Action",IF(F1641&gt;=H1641,"Alert","Pass"))</f>
        <v/>
      </c>
      <c r="K1641" s="4">
        <f>DATE(YEAR(B1641),MONTH(B1641),1)</f>
        <v/>
      </c>
    </row>
    <row r="1642">
      <c r="A1642" t="inlineStr">
        <is>
          <t>EM001641</t>
        </is>
      </c>
      <c r="B1642" s="7" t="n">
        <v>46147</v>
      </c>
      <c r="C1642" t="inlineStr">
        <is>
          <t>CR-102</t>
        </is>
      </c>
      <c r="D1642" t="inlineStr">
        <is>
          <t>ISO 7</t>
        </is>
      </c>
      <c r="E1642" t="inlineStr">
        <is>
          <t>Compressed air</t>
        </is>
      </c>
      <c r="F1642" t="n">
        <v>0</v>
      </c>
      <c r="G1642" t="inlineStr">
        <is>
          <t>Tech A</t>
        </is>
      </c>
      <c r="H1642">
        <f>INDEX(Limits!$B$2:$B$5,MATCH(E1642,Limits!$A$2:$A$5,0))</f>
        <v/>
      </c>
      <c r="I1642">
        <f>INDEX(Limits!$C$2:$C$5,MATCH(E1642,Limits!$A$2:$A$5,0))</f>
        <v/>
      </c>
      <c r="J1642">
        <f>IF(F1642&gt;=I1642,"Action",IF(F1642&gt;=H1642,"Alert","Pass"))</f>
        <v/>
      </c>
      <c r="K1642" s="4">
        <f>DATE(YEAR(B1642),MONTH(B1642),1)</f>
        <v/>
      </c>
    </row>
    <row r="1643">
      <c r="A1643" t="inlineStr">
        <is>
          <t>EM001642</t>
        </is>
      </c>
      <c r="B1643" s="7" t="n">
        <v>46147</v>
      </c>
      <c r="C1643" t="inlineStr">
        <is>
          <t>CR-102</t>
        </is>
      </c>
      <c r="D1643" t="inlineStr">
        <is>
          <t>ISO 7</t>
        </is>
      </c>
      <c r="E1643" t="inlineStr">
        <is>
          <t>Personnel glove</t>
        </is>
      </c>
      <c r="F1643" t="n">
        <v>0</v>
      </c>
      <c r="G1643" t="inlineStr">
        <is>
          <t>Tech B</t>
        </is>
      </c>
      <c r="H1643">
        <f>INDEX(Limits!$B$2:$B$5,MATCH(E1643,Limits!$A$2:$A$5,0))</f>
        <v/>
      </c>
      <c r="I1643">
        <f>INDEX(Limits!$C$2:$C$5,MATCH(E1643,Limits!$A$2:$A$5,0))</f>
        <v/>
      </c>
      <c r="J1643">
        <f>IF(F1643&gt;=I1643,"Action",IF(F1643&gt;=H1643,"Alert","Pass"))</f>
        <v/>
      </c>
      <c r="K1643" s="4">
        <f>DATE(YEAR(B1643),MONTH(B1643),1)</f>
        <v/>
      </c>
    </row>
    <row r="1644">
      <c r="A1644" t="inlineStr">
        <is>
          <t>EM001643</t>
        </is>
      </c>
      <c r="B1644" s="7" t="n">
        <v>46147</v>
      </c>
      <c r="C1644" t="inlineStr">
        <is>
          <t>CR-201</t>
        </is>
      </c>
      <c r="D1644" t="inlineStr">
        <is>
          <t>ISO 8</t>
        </is>
      </c>
      <c r="E1644" t="inlineStr">
        <is>
          <t>Active air</t>
        </is>
      </c>
      <c r="F1644" t="n">
        <v>3</v>
      </c>
      <c r="G1644" t="inlineStr">
        <is>
          <t>Tech A</t>
        </is>
      </c>
      <c r="H1644">
        <f>INDEX(Limits!$B$2:$B$5,MATCH(E1644,Limits!$A$2:$A$5,0))</f>
        <v/>
      </c>
      <c r="I1644">
        <f>INDEX(Limits!$C$2:$C$5,MATCH(E1644,Limits!$A$2:$A$5,0))</f>
        <v/>
      </c>
      <c r="J1644">
        <f>IF(F1644&gt;=I1644,"Action",IF(F1644&gt;=H1644,"Alert","Pass"))</f>
        <v/>
      </c>
      <c r="K1644" s="4">
        <f>DATE(YEAR(B1644),MONTH(B1644),1)</f>
        <v/>
      </c>
    </row>
    <row r="1645">
      <c r="A1645" t="inlineStr">
        <is>
          <t>EM001644</t>
        </is>
      </c>
      <c r="B1645" s="7" t="n">
        <v>46147</v>
      </c>
      <c r="C1645" t="inlineStr">
        <is>
          <t>CR-201</t>
        </is>
      </c>
      <c r="D1645" t="inlineStr">
        <is>
          <t>ISO 8</t>
        </is>
      </c>
      <c r="E1645" t="inlineStr">
        <is>
          <t>Surface contact</t>
        </is>
      </c>
      <c r="F1645" t="n">
        <v>1</v>
      </c>
      <c r="G1645" t="inlineStr">
        <is>
          <t>Tech C</t>
        </is>
      </c>
      <c r="H1645">
        <f>INDEX(Limits!$B$2:$B$5,MATCH(E1645,Limits!$A$2:$A$5,0))</f>
        <v/>
      </c>
      <c r="I1645">
        <f>INDEX(Limits!$C$2:$C$5,MATCH(E1645,Limits!$A$2:$A$5,0))</f>
        <v/>
      </c>
      <c r="J1645">
        <f>IF(F1645&gt;=I1645,"Action",IF(F1645&gt;=H1645,"Alert","Pass"))</f>
        <v/>
      </c>
      <c r="K1645" s="4">
        <f>DATE(YEAR(B1645),MONTH(B1645),1)</f>
        <v/>
      </c>
    </row>
    <row r="1646">
      <c r="A1646" t="inlineStr">
        <is>
          <t>EM001645</t>
        </is>
      </c>
      <c r="B1646" s="7" t="n">
        <v>46147</v>
      </c>
      <c r="C1646" t="inlineStr">
        <is>
          <t>CR-201</t>
        </is>
      </c>
      <c r="D1646" t="inlineStr">
        <is>
          <t>ISO 8</t>
        </is>
      </c>
      <c r="E1646" t="inlineStr">
        <is>
          <t>Compressed air</t>
        </is>
      </c>
      <c r="F1646" t="n">
        <v>0</v>
      </c>
      <c r="G1646" t="inlineStr">
        <is>
          <t>Tech C</t>
        </is>
      </c>
      <c r="H1646">
        <f>INDEX(Limits!$B$2:$B$5,MATCH(E1646,Limits!$A$2:$A$5,0))</f>
        <v/>
      </c>
      <c r="I1646">
        <f>INDEX(Limits!$C$2:$C$5,MATCH(E1646,Limits!$A$2:$A$5,0))</f>
        <v/>
      </c>
      <c r="J1646">
        <f>IF(F1646&gt;=I1646,"Action",IF(F1646&gt;=H1646,"Alert","Pass"))</f>
        <v/>
      </c>
      <c r="K1646" s="4">
        <f>DATE(YEAR(B1646),MONTH(B1646),1)</f>
        <v/>
      </c>
    </row>
    <row r="1647">
      <c r="A1647" t="inlineStr">
        <is>
          <t>EM001646</t>
        </is>
      </c>
      <c r="B1647" s="7" t="n">
        <v>46147</v>
      </c>
      <c r="C1647" t="inlineStr">
        <is>
          <t>CR-201</t>
        </is>
      </c>
      <c r="D1647" t="inlineStr">
        <is>
          <t>ISO 8</t>
        </is>
      </c>
      <c r="E1647" t="inlineStr">
        <is>
          <t>Personnel glove</t>
        </is>
      </c>
      <c r="F1647" t="n">
        <v>0</v>
      </c>
      <c r="G1647" t="inlineStr">
        <is>
          <t>Tech B</t>
        </is>
      </c>
      <c r="H1647">
        <f>INDEX(Limits!$B$2:$B$5,MATCH(E1647,Limits!$A$2:$A$5,0))</f>
        <v/>
      </c>
      <c r="I1647">
        <f>INDEX(Limits!$C$2:$C$5,MATCH(E1647,Limits!$A$2:$A$5,0))</f>
        <v/>
      </c>
      <c r="J1647">
        <f>IF(F1647&gt;=I1647,"Action",IF(F1647&gt;=H1647,"Alert","Pass"))</f>
        <v/>
      </c>
      <c r="K1647" s="4">
        <f>DATE(YEAR(B1647),MONTH(B1647),1)</f>
        <v/>
      </c>
    </row>
    <row r="1648">
      <c r="A1648" t="inlineStr">
        <is>
          <t>EM001647</t>
        </is>
      </c>
      <c r="B1648" s="7" t="n">
        <v>46147</v>
      </c>
      <c r="C1648" t="inlineStr">
        <is>
          <t>CR-202</t>
        </is>
      </c>
      <c r="D1648" t="inlineStr">
        <is>
          <t>ISO 8</t>
        </is>
      </c>
      <c r="E1648" t="inlineStr">
        <is>
          <t>Active air</t>
        </is>
      </c>
      <c r="F1648" t="n">
        <v>1</v>
      </c>
      <c r="G1648" t="inlineStr">
        <is>
          <t>Tech A</t>
        </is>
      </c>
      <c r="H1648">
        <f>INDEX(Limits!$B$2:$B$5,MATCH(E1648,Limits!$A$2:$A$5,0))</f>
        <v/>
      </c>
      <c r="I1648">
        <f>INDEX(Limits!$C$2:$C$5,MATCH(E1648,Limits!$A$2:$A$5,0))</f>
        <v/>
      </c>
      <c r="J1648">
        <f>IF(F1648&gt;=I1648,"Action",IF(F1648&gt;=H1648,"Alert","Pass"))</f>
        <v/>
      </c>
      <c r="K1648" s="4">
        <f>DATE(YEAR(B1648),MONTH(B1648),1)</f>
        <v/>
      </c>
    </row>
    <row r="1649">
      <c r="A1649" t="inlineStr">
        <is>
          <t>EM001648</t>
        </is>
      </c>
      <c r="B1649" s="7" t="n">
        <v>46147</v>
      </c>
      <c r="C1649" t="inlineStr">
        <is>
          <t>CR-202</t>
        </is>
      </c>
      <c r="D1649" t="inlineStr">
        <is>
          <t>ISO 8</t>
        </is>
      </c>
      <c r="E1649" t="inlineStr">
        <is>
          <t>Surface contact</t>
        </is>
      </c>
      <c r="F1649" t="n">
        <v>0</v>
      </c>
      <c r="G1649" t="inlineStr">
        <is>
          <t>Tech C</t>
        </is>
      </c>
      <c r="H1649">
        <f>INDEX(Limits!$B$2:$B$5,MATCH(E1649,Limits!$A$2:$A$5,0))</f>
        <v/>
      </c>
      <c r="I1649">
        <f>INDEX(Limits!$C$2:$C$5,MATCH(E1649,Limits!$A$2:$A$5,0))</f>
        <v/>
      </c>
      <c r="J1649">
        <f>IF(F1649&gt;=I1649,"Action",IF(F1649&gt;=H1649,"Alert","Pass"))</f>
        <v/>
      </c>
      <c r="K1649" s="4">
        <f>DATE(YEAR(B1649),MONTH(B1649),1)</f>
        <v/>
      </c>
    </row>
    <row r="1650">
      <c r="A1650" t="inlineStr">
        <is>
          <t>EM001649</t>
        </is>
      </c>
      <c r="B1650" s="7" t="n">
        <v>46147</v>
      </c>
      <c r="C1650" t="inlineStr">
        <is>
          <t>CR-202</t>
        </is>
      </c>
      <c r="D1650" t="inlineStr">
        <is>
          <t>ISO 8</t>
        </is>
      </c>
      <c r="E1650" t="inlineStr">
        <is>
          <t>Compressed air</t>
        </is>
      </c>
      <c r="F1650" t="n">
        <v>0</v>
      </c>
      <c r="G1650" t="inlineStr">
        <is>
          <t>Tech B</t>
        </is>
      </c>
      <c r="H1650">
        <f>INDEX(Limits!$B$2:$B$5,MATCH(E1650,Limits!$A$2:$A$5,0))</f>
        <v/>
      </c>
      <c r="I1650">
        <f>INDEX(Limits!$C$2:$C$5,MATCH(E1650,Limits!$A$2:$A$5,0))</f>
        <v/>
      </c>
      <c r="J1650">
        <f>IF(F1650&gt;=I1650,"Action",IF(F1650&gt;=H1650,"Alert","Pass"))</f>
        <v/>
      </c>
      <c r="K1650" s="4">
        <f>DATE(YEAR(B1650),MONTH(B1650),1)</f>
        <v/>
      </c>
    </row>
    <row r="1651">
      <c r="A1651" t="inlineStr">
        <is>
          <t>EM001650</t>
        </is>
      </c>
      <c r="B1651" s="7" t="n">
        <v>46147</v>
      </c>
      <c r="C1651" t="inlineStr">
        <is>
          <t>CR-202</t>
        </is>
      </c>
      <c r="D1651" t="inlineStr">
        <is>
          <t>ISO 8</t>
        </is>
      </c>
      <c r="E1651" t="inlineStr">
        <is>
          <t>Personnel glove</t>
        </is>
      </c>
      <c r="F1651" t="n">
        <v>0</v>
      </c>
      <c r="G1651" t="inlineStr">
        <is>
          <t>Tech D</t>
        </is>
      </c>
      <c r="H1651">
        <f>INDEX(Limits!$B$2:$B$5,MATCH(E1651,Limits!$A$2:$A$5,0))</f>
        <v/>
      </c>
      <c r="I1651">
        <f>INDEX(Limits!$C$2:$C$5,MATCH(E1651,Limits!$A$2:$A$5,0))</f>
        <v/>
      </c>
      <c r="J1651">
        <f>IF(F1651&gt;=I1651,"Action",IF(F1651&gt;=H1651,"Alert","Pass"))</f>
        <v/>
      </c>
      <c r="K1651" s="4">
        <f>DATE(YEAR(B1651),MONTH(B1651),1)</f>
        <v/>
      </c>
    </row>
    <row r="1652">
      <c r="A1652" t="inlineStr">
        <is>
          <t>EM001651</t>
        </is>
      </c>
      <c r="B1652" s="7" t="n">
        <v>46147</v>
      </c>
      <c r="C1652" t="inlineStr">
        <is>
          <t>Gowning</t>
        </is>
      </c>
      <c r="D1652" t="inlineStr">
        <is>
          <t>ISO 8</t>
        </is>
      </c>
      <c r="E1652" t="inlineStr">
        <is>
          <t>Active air</t>
        </is>
      </c>
      <c r="F1652" t="n">
        <v>2</v>
      </c>
      <c r="G1652" t="inlineStr">
        <is>
          <t>Tech D</t>
        </is>
      </c>
      <c r="H1652">
        <f>INDEX(Limits!$B$2:$B$5,MATCH(E1652,Limits!$A$2:$A$5,0))</f>
        <v/>
      </c>
      <c r="I1652">
        <f>INDEX(Limits!$C$2:$C$5,MATCH(E1652,Limits!$A$2:$A$5,0))</f>
        <v/>
      </c>
      <c r="J1652">
        <f>IF(F1652&gt;=I1652,"Action",IF(F1652&gt;=H1652,"Alert","Pass"))</f>
        <v/>
      </c>
      <c r="K1652" s="4">
        <f>DATE(YEAR(B1652),MONTH(B1652),1)</f>
        <v/>
      </c>
    </row>
    <row r="1653">
      <c r="A1653" t="inlineStr">
        <is>
          <t>EM001652</t>
        </is>
      </c>
      <c r="B1653" s="7" t="n">
        <v>46147</v>
      </c>
      <c r="C1653" t="inlineStr">
        <is>
          <t>Gowning</t>
        </is>
      </c>
      <c r="D1653" t="inlineStr">
        <is>
          <t>ISO 8</t>
        </is>
      </c>
      <c r="E1653" t="inlineStr">
        <is>
          <t>Surface contact</t>
        </is>
      </c>
      <c r="F1653" t="n">
        <v>1</v>
      </c>
      <c r="G1653" t="inlineStr">
        <is>
          <t>Tech D</t>
        </is>
      </c>
      <c r="H1653">
        <f>INDEX(Limits!$B$2:$B$5,MATCH(E1653,Limits!$A$2:$A$5,0))</f>
        <v/>
      </c>
      <c r="I1653">
        <f>INDEX(Limits!$C$2:$C$5,MATCH(E1653,Limits!$A$2:$A$5,0))</f>
        <v/>
      </c>
      <c r="J1653">
        <f>IF(F1653&gt;=I1653,"Action",IF(F1653&gt;=H1653,"Alert","Pass"))</f>
        <v/>
      </c>
      <c r="K1653" s="4">
        <f>DATE(YEAR(B1653),MONTH(B1653),1)</f>
        <v/>
      </c>
    </row>
    <row r="1654">
      <c r="A1654" t="inlineStr">
        <is>
          <t>EM001653</t>
        </is>
      </c>
      <c r="B1654" s="7" t="n">
        <v>46147</v>
      </c>
      <c r="C1654" t="inlineStr">
        <is>
          <t>Gowning</t>
        </is>
      </c>
      <c r="D1654" t="inlineStr">
        <is>
          <t>ISO 8</t>
        </is>
      </c>
      <c r="E1654" t="inlineStr">
        <is>
          <t>Personnel glove</t>
        </is>
      </c>
      <c r="F1654" t="n">
        <v>1</v>
      </c>
      <c r="G1654" t="inlineStr">
        <is>
          <t>Tech B</t>
        </is>
      </c>
      <c r="H1654">
        <f>INDEX(Limits!$B$2:$B$5,MATCH(E1654,Limits!$A$2:$A$5,0))</f>
        <v/>
      </c>
      <c r="I1654">
        <f>INDEX(Limits!$C$2:$C$5,MATCH(E1654,Limits!$A$2:$A$5,0))</f>
        <v/>
      </c>
      <c r="J1654">
        <f>IF(F1654&gt;=I1654,"Action",IF(F1654&gt;=H1654,"Alert","Pass"))</f>
        <v/>
      </c>
      <c r="K1654" s="4">
        <f>DATE(YEAR(B1654),MONTH(B1654),1)</f>
        <v/>
      </c>
    </row>
    <row r="1655">
      <c r="A1655" t="inlineStr">
        <is>
          <t>EM001654</t>
        </is>
      </c>
      <c r="B1655" s="7" t="n">
        <v>46148</v>
      </c>
      <c r="C1655" t="inlineStr">
        <is>
          <t>CR-101</t>
        </is>
      </c>
      <c r="D1655" t="inlineStr">
        <is>
          <t>ISO 7</t>
        </is>
      </c>
      <c r="E1655" t="inlineStr">
        <is>
          <t>Active air</t>
        </is>
      </c>
      <c r="F1655" t="n">
        <v>1</v>
      </c>
      <c r="G1655" t="inlineStr">
        <is>
          <t>Tech A</t>
        </is>
      </c>
      <c r="H1655">
        <f>INDEX(Limits!$B$2:$B$5,MATCH(E1655,Limits!$A$2:$A$5,0))</f>
        <v/>
      </c>
      <c r="I1655">
        <f>INDEX(Limits!$C$2:$C$5,MATCH(E1655,Limits!$A$2:$A$5,0))</f>
        <v/>
      </c>
      <c r="J1655">
        <f>IF(F1655&gt;=I1655,"Action",IF(F1655&gt;=H1655,"Alert","Pass"))</f>
        <v/>
      </c>
      <c r="K1655" s="4">
        <f>DATE(YEAR(B1655),MONTH(B1655),1)</f>
        <v/>
      </c>
    </row>
    <row r="1656">
      <c r="A1656" t="inlineStr">
        <is>
          <t>EM001655</t>
        </is>
      </c>
      <c r="B1656" s="7" t="n">
        <v>46148</v>
      </c>
      <c r="C1656" t="inlineStr">
        <is>
          <t>CR-101</t>
        </is>
      </c>
      <c r="D1656" t="inlineStr">
        <is>
          <t>ISO 7</t>
        </is>
      </c>
      <c r="E1656" t="inlineStr">
        <is>
          <t>Surface contact</t>
        </is>
      </c>
      <c r="F1656" t="n">
        <v>0</v>
      </c>
      <c r="G1656" t="inlineStr">
        <is>
          <t>Tech B</t>
        </is>
      </c>
      <c r="H1656">
        <f>INDEX(Limits!$B$2:$B$5,MATCH(E1656,Limits!$A$2:$A$5,0))</f>
        <v/>
      </c>
      <c r="I1656">
        <f>INDEX(Limits!$C$2:$C$5,MATCH(E1656,Limits!$A$2:$A$5,0))</f>
        <v/>
      </c>
      <c r="J1656">
        <f>IF(F1656&gt;=I1656,"Action",IF(F1656&gt;=H1656,"Alert","Pass"))</f>
        <v/>
      </c>
      <c r="K1656" s="4">
        <f>DATE(YEAR(B1656),MONTH(B1656),1)</f>
        <v/>
      </c>
    </row>
    <row r="1657">
      <c r="A1657" t="inlineStr">
        <is>
          <t>EM001656</t>
        </is>
      </c>
      <c r="B1657" s="7" t="n">
        <v>46148</v>
      </c>
      <c r="C1657" t="inlineStr">
        <is>
          <t>CR-101</t>
        </is>
      </c>
      <c r="D1657" t="inlineStr">
        <is>
          <t>ISO 7</t>
        </is>
      </c>
      <c r="E1657" t="inlineStr">
        <is>
          <t>Compressed air</t>
        </is>
      </c>
      <c r="F1657" t="n">
        <v>0</v>
      </c>
      <c r="G1657" t="inlineStr">
        <is>
          <t>Tech B</t>
        </is>
      </c>
      <c r="H1657">
        <f>INDEX(Limits!$B$2:$B$5,MATCH(E1657,Limits!$A$2:$A$5,0))</f>
        <v/>
      </c>
      <c r="I1657">
        <f>INDEX(Limits!$C$2:$C$5,MATCH(E1657,Limits!$A$2:$A$5,0))</f>
        <v/>
      </c>
      <c r="J1657">
        <f>IF(F1657&gt;=I1657,"Action",IF(F1657&gt;=H1657,"Alert","Pass"))</f>
        <v/>
      </c>
      <c r="K1657" s="4">
        <f>DATE(YEAR(B1657),MONTH(B1657),1)</f>
        <v/>
      </c>
    </row>
    <row r="1658">
      <c r="A1658" t="inlineStr">
        <is>
          <t>EM001657</t>
        </is>
      </c>
      <c r="B1658" s="7" t="n">
        <v>46148</v>
      </c>
      <c r="C1658" t="inlineStr">
        <is>
          <t>CR-101</t>
        </is>
      </c>
      <c r="D1658" t="inlineStr">
        <is>
          <t>ISO 7</t>
        </is>
      </c>
      <c r="E1658" t="inlineStr">
        <is>
          <t>Personnel glove</t>
        </is>
      </c>
      <c r="F1658" t="n">
        <v>0</v>
      </c>
      <c r="G1658" t="inlineStr">
        <is>
          <t>Tech A</t>
        </is>
      </c>
      <c r="H1658">
        <f>INDEX(Limits!$B$2:$B$5,MATCH(E1658,Limits!$A$2:$A$5,0))</f>
        <v/>
      </c>
      <c r="I1658">
        <f>INDEX(Limits!$C$2:$C$5,MATCH(E1658,Limits!$A$2:$A$5,0))</f>
        <v/>
      </c>
      <c r="J1658">
        <f>IF(F1658&gt;=I1658,"Action",IF(F1658&gt;=H1658,"Alert","Pass"))</f>
        <v/>
      </c>
      <c r="K1658" s="4">
        <f>DATE(YEAR(B1658),MONTH(B1658),1)</f>
        <v/>
      </c>
    </row>
    <row r="1659">
      <c r="A1659" t="inlineStr">
        <is>
          <t>EM001658</t>
        </is>
      </c>
      <c r="B1659" s="7" t="n">
        <v>46148</v>
      </c>
      <c r="C1659" t="inlineStr">
        <is>
          <t>CR-102</t>
        </is>
      </c>
      <c r="D1659" t="inlineStr">
        <is>
          <t>ISO 7</t>
        </is>
      </c>
      <c r="E1659" t="inlineStr">
        <is>
          <t>Active air</t>
        </is>
      </c>
      <c r="F1659" t="n">
        <v>1</v>
      </c>
      <c r="G1659" t="inlineStr">
        <is>
          <t>Tech B</t>
        </is>
      </c>
      <c r="H1659">
        <f>INDEX(Limits!$B$2:$B$5,MATCH(E1659,Limits!$A$2:$A$5,0))</f>
        <v/>
      </c>
      <c r="I1659">
        <f>INDEX(Limits!$C$2:$C$5,MATCH(E1659,Limits!$A$2:$A$5,0))</f>
        <v/>
      </c>
      <c r="J1659">
        <f>IF(F1659&gt;=I1659,"Action",IF(F1659&gt;=H1659,"Alert","Pass"))</f>
        <v/>
      </c>
      <c r="K1659" s="4">
        <f>DATE(YEAR(B1659),MONTH(B1659),1)</f>
        <v/>
      </c>
    </row>
    <row r="1660">
      <c r="A1660" t="inlineStr">
        <is>
          <t>EM001659</t>
        </is>
      </c>
      <c r="B1660" s="7" t="n">
        <v>46148</v>
      </c>
      <c r="C1660" t="inlineStr">
        <is>
          <t>CR-102</t>
        </is>
      </c>
      <c r="D1660" t="inlineStr">
        <is>
          <t>ISO 7</t>
        </is>
      </c>
      <c r="E1660" t="inlineStr">
        <is>
          <t>Surface contact</t>
        </is>
      </c>
      <c r="F1660" t="n">
        <v>0</v>
      </c>
      <c r="G1660" t="inlineStr">
        <is>
          <t>Tech D</t>
        </is>
      </c>
      <c r="H1660">
        <f>INDEX(Limits!$B$2:$B$5,MATCH(E1660,Limits!$A$2:$A$5,0))</f>
        <v/>
      </c>
      <c r="I1660">
        <f>INDEX(Limits!$C$2:$C$5,MATCH(E1660,Limits!$A$2:$A$5,0))</f>
        <v/>
      </c>
      <c r="J1660">
        <f>IF(F1660&gt;=I1660,"Action",IF(F1660&gt;=H1660,"Alert","Pass"))</f>
        <v/>
      </c>
      <c r="K1660" s="4">
        <f>DATE(YEAR(B1660),MONTH(B1660),1)</f>
        <v/>
      </c>
    </row>
    <row r="1661">
      <c r="A1661" t="inlineStr">
        <is>
          <t>EM001660</t>
        </is>
      </c>
      <c r="B1661" s="7" t="n">
        <v>46148</v>
      </c>
      <c r="C1661" t="inlineStr">
        <is>
          <t>CR-102</t>
        </is>
      </c>
      <c r="D1661" t="inlineStr">
        <is>
          <t>ISO 7</t>
        </is>
      </c>
      <c r="E1661" t="inlineStr">
        <is>
          <t>Compressed air</t>
        </is>
      </c>
      <c r="F1661" t="n">
        <v>0</v>
      </c>
      <c r="G1661" t="inlineStr">
        <is>
          <t>Tech A</t>
        </is>
      </c>
      <c r="H1661">
        <f>INDEX(Limits!$B$2:$B$5,MATCH(E1661,Limits!$A$2:$A$5,0))</f>
        <v/>
      </c>
      <c r="I1661">
        <f>INDEX(Limits!$C$2:$C$5,MATCH(E1661,Limits!$A$2:$A$5,0))</f>
        <v/>
      </c>
      <c r="J1661">
        <f>IF(F1661&gt;=I1661,"Action",IF(F1661&gt;=H1661,"Alert","Pass"))</f>
        <v/>
      </c>
      <c r="K1661" s="4">
        <f>DATE(YEAR(B1661),MONTH(B1661),1)</f>
        <v/>
      </c>
    </row>
    <row r="1662">
      <c r="A1662" t="inlineStr">
        <is>
          <t>EM001661</t>
        </is>
      </c>
      <c r="B1662" s="7" t="n">
        <v>46148</v>
      </c>
      <c r="C1662" t="inlineStr">
        <is>
          <t>CR-102</t>
        </is>
      </c>
      <c r="D1662" t="inlineStr">
        <is>
          <t>ISO 7</t>
        </is>
      </c>
      <c r="E1662" t="inlineStr">
        <is>
          <t>Personnel glove</t>
        </is>
      </c>
      <c r="F1662" t="n">
        <v>0</v>
      </c>
      <c r="G1662" t="inlineStr">
        <is>
          <t>Tech B</t>
        </is>
      </c>
      <c r="H1662">
        <f>INDEX(Limits!$B$2:$B$5,MATCH(E1662,Limits!$A$2:$A$5,0))</f>
        <v/>
      </c>
      <c r="I1662">
        <f>INDEX(Limits!$C$2:$C$5,MATCH(E1662,Limits!$A$2:$A$5,0))</f>
        <v/>
      </c>
      <c r="J1662">
        <f>IF(F1662&gt;=I1662,"Action",IF(F1662&gt;=H1662,"Alert","Pass"))</f>
        <v/>
      </c>
      <c r="K1662" s="4">
        <f>DATE(YEAR(B1662),MONTH(B1662),1)</f>
        <v/>
      </c>
    </row>
    <row r="1663">
      <c r="A1663" t="inlineStr">
        <is>
          <t>EM001662</t>
        </is>
      </c>
      <c r="B1663" s="7" t="n">
        <v>46148</v>
      </c>
      <c r="C1663" t="inlineStr">
        <is>
          <t>CR-201</t>
        </is>
      </c>
      <c r="D1663" t="inlineStr">
        <is>
          <t>ISO 8</t>
        </is>
      </c>
      <c r="E1663" t="inlineStr">
        <is>
          <t>Active air</t>
        </is>
      </c>
      <c r="F1663" t="n">
        <v>2</v>
      </c>
      <c r="G1663" t="inlineStr">
        <is>
          <t>Tech B</t>
        </is>
      </c>
      <c r="H1663">
        <f>INDEX(Limits!$B$2:$B$5,MATCH(E1663,Limits!$A$2:$A$5,0))</f>
        <v/>
      </c>
      <c r="I1663">
        <f>INDEX(Limits!$C$2:$C$5,MATCH(E1663,Limits!$A$2:$A$5,0))</f>
        <v/>
      </c>
      <c r="J1663">
        <f>IF(F1663&gt;=I1663,"Action",IF(F1663&gt;=H1663,"Alert","Pass"))</f>
        <v/>
      </c>
      <c r="K1663" s="4">
        <f>DATE(YEAR(B1663),MONTH(B1663),1)</f>
        <v/>
      </c>
    </row>
    <row r="1664">
      <c r="A1664" t="inlineStr">
        <is>
          <t>EM001663</t>
        </is>
      </c>
      <c r="B1664" s="7" t="n">
        <v>46148</v>
      </c>
      <c r="C1664" t="inlineStr">
        <is>
          <t>CR-201</t>
        </is>
      </c>
      <c r="D1664" t="inlineStr">
        <is>
          <t>ISO 8</t>
        </is>
      </c>
      <c r="E1664" t="inlineStr">
        <is>
          <t>Surface contact</t>
        </is>
      </c>
      <c r="F1664" t="n">
        <v>1</v>
      </c>
      <c r="G1664" t="inlineStr">
        <is>
          <t>Tech A</t>
        </is>
      </c>
      <c r="H1664">
        <f>INDEX(Limits!$B$2:$B$5,MATCH(E1664,Limits!$A$2:$A$5,0))</f>
        <v/>
      </c>
      <c r="I1664">
        <f>INDEX(Limits!$C$2:$C$5,MATCH(E1664,Limits!$A$2:$A$5,0))</f>
        <v/>
      </c>
      <c r="J1664">
        <f>IF(F1664&gt;=I1664,"Action",IF(F1664&gt;=H1664,"Alert","Pass"))</f>
        <v/>
      </c>
      <c r="K1664" s="4">
        <f>DATE(YEAR(B1664),MONTH(B1664),1)</f>
        <v/>
      </c>
    </row>
    <row r="1665">
      <c r="A1665" t="inlineStr">
        <is>
          <t>EM001664</t>
        </is>
      </c>
      <c r="B1665" s="7" t="n">
        <v>46148</v>
      </c>
      <c r="C1665" t="inlineStr">
        <is>
          <t>CR-201</t>
        </is>
      </c>
      <c r="D1665" t="inlineStr">
        <is>
          <t>ISO 8</t>
        </is>
      </c>
      <c r="E1665" t="inlineStr">
        <is>
          <t>Compressed air</t>
        </is>
      </c>
      <c r="F1665" t="n">
        <v>0</v>
      </c>
      <c r="G1665" t="inlineStr">
        <is>
          <t>Tech B</t>
        </is>
      </c>
      <c r="H1665">
        <f>INDEX(Limits!$B$2:$B$5,MATCH(E1665,Limits!$A$2:$A$5,0))</f>
        <v/>
      </c>
      <c r="I1665">
        <f>INDEX(Limits!$C$2:$C$5,MATCH(E1665,Limits!$A$2:$A$5,0))</f>
        <v/>
      </c>
      <c r="J1665">
        <f>IF(F1665&gt;=I1665,"Action",IF(F1665&gt;=H1665,"Alert","Pass"))</f>
        <v/>
      </c>
      <c r="K1665" s="4">
        <f>DATE(YEAR(B1665),MONTH(B1665),1)</f>
        <v/>
      </c>
    </row>
    <row r="1666">
      <c r="A1666" t="inlineStr">
        <is>
          <t>EM001665</t>
        </is>
      </c>
      <c r="B1666" s="7" t="n">
        <v>46148</v>
      </c>
      <c r="C1666" t="inlineStr">
        <is>
          <t>CR-201</t>
        </is>
      </c>
      <c r="D1666" t="inlineStr">
        <is>
          <t>ISO 8</t>
        </is>
      </c>
      <c r="E1666" t="inlineStr">
        <is>
          <t>Personnel glove</t>
        </is>
      </c>
      <c r="F1666" t="n">
        <v>0</v>
      </c>
      <c r="G1666" t="inlineStr">
        <is>
          <t>Tech D</t>
        </is>
      </c>
      <c r="H1666">
        <f>INDEX(Limits!$B$2:$B$5,MATCH(E1666,Limits!$A$2:$A$5,0))</f>
        <v/>
      </c>
      <c r="I1666">
        <f>INDEX(Limits!$C$2:$C$5,MATCH(E1666,Limits!$A$2:$A$5,0))</f>
        <v/>
      </c>
      <c r="J1666">
        <f>IF(F1666&gt;=I1666,"Action",IF(F1666&gt;=H1666,"Alert","Pass"))</f>
        <v/>
      </c>
      <c r="K1666" s="4">
        <f>DATE(YEAR(B1666),MONTH(B1666),1)</f>
        <v/>
      </c>
    </row>
    <row r="1667">
      <c r="A1667" t="inlineStr">
        <is>
          <t>EM001666</t>
        </is>
      </c>
      <c r="B1667" s="7" t="n">
        <v>46148</v>
      </c>
      <c r="C1667" t="inlineStr">
        <is>
          <t>CR-202</t>
        </is>
      </c>
      <c r="D1667" t="inlineStr">
        <is>
          <t>ISO 8</t>
        </is>
      </c>
      <c r="E1667" t="inlineStr">
        <is>
          <t>Active air</t>
        </is>
      </c>
      <c r="F1667" t="n">
        <v>1</v>
      </c>
      <c r="G1667" t="inlineStr">
        <is>
          <t>Tech A</t>
        </is>
      </c>
      <c r="H1667">
        <f>INDEX(Limits!$B$2:$B$5,MATCH(E1667,Limits!$A$2:$A$5,0))</f>
        <v/>
      </c>
      <c r="I1667">
        <f>INDEX(Limits!$C$2:$C$5,MATCH(E1667,Limits!$A$2:$A$5,0))</f>
        <v/>
      </c>
      <c r="J1667">
        <f>IF(F1667&gt;=I1667,"Action",IF(F1667&gt;=H1667,"Alert","Pass"))</f>
        <v/>
      </c>
      <c r="K1667" s="4">
        <f>DATE(YEAR(B1667),MONTH(B1667),1)</f>
        <v/>
      </c>
    </row>
    <row r="1668">
      <c r="A1668" t="inlineStr">
        <is>
          <t>EM001667</t>
        </is>
      </c>
      <c r="B1668" s="7" t="n">
        <v>46148</v>
      </c>
      <c r="C1668" t="inlineStr">
        <is>
          <t>CR-202</t>
        </is>
      </c>
      <c r="D1668" t="inlineStr">
        <is>
          <t>ISO 8</t>
        </is>
      </c>
      <c r="E1668" t="inlineStr">
        <is>
          <t>Surface contact</t>
        </is>
      </c>
      <c r="F1668" t="n">
        <v>0</v>
      </c>
      <c r="G1668" t="inlineStr">
        <is>
          <t>Tech B</t>
        </is>
      </c>
      <c r="H1668">
        <f>INDEX(Limits!$B$2:$B$5,MATCH(E1668,Limits!$A$2:$A$5,0))</f>
        <v/>
      </c>
      <c r="I1668">
        <f>INDEX(Limits!$C$2:$C$5,MATCH(E1668,Limits!$A$2:$A$5,0))</f>
        <v/>
      </c>
      <c r="J1668">
        <f>IF(F1668&gt;=I1668,"Action",IF(F1668&gt;=H1668,"Alert","Pass"))</f>
        <v/>
      </c>
      <c r="K1668" s="4">
        <f>DATE(YEAR(B1668),MONTH(B1668),1)</f>
        <v/>
      </c>
    </row>
    <row r="1669">
      <c r="A1669" t="inlineStr">
        <is>
          <t>EM001668</t>
        </is>
      </c>
      <c r="B1669" s="7" t="n">
        <v>46148</v>
      </c>
      <c r="C1669" t="inlineStr">
        <is>
          <t>CR-202</t>
        </is>
      </c>
      <c r="D1669" t="inlineStr">
        <is>
          <t>ISO 8</t>
        </is>
      </c>
      <c r="E1669" t="inlineStr">
        <is>
          <t>Compressed air</t>
        </is>
      </c>
      <c r="F1669" t="n">
        <v>0</v>
      </c>
      <c r="G1669" t="inlineStr">
        <is>
          <t>Tech D</t>
        </is>
      </c>
      <c r="H1669">
        <f>INDEX(Limits!$B$2:$B$5,MATCH(E1669,Limits!$A$2:$A$5,0))</f>
        <v/>
      </c>
      <c r="I1669">
        <f>INDEX(Limits!$C$2:$C$5,MATCH(E1669,Limits!$A$2:$A$5,0))</f>
        <v/>
      </c>
      <c r="J1669">
        <f>IF(F1669&gt;=I1669,"Action",IF(F1669&gt;=H1669,"Alert","Pass"))</f>
        <v/>
      </c>
      <c r="K1669" s="4">
        <f>DATE(YEAR(B1669),MONTH(B1669),1)</f>
        <v/>
      </c>
    </row>
    <row r="1670">
      <c r="A1670" t="inlineStr">
        <is>
          <t>EM001669</t>
        </is>
      </c>
      <c r="B1670" s="7" t="n">
        <v>46148</v>
      </c>
      <c r="C1670" t="inlineStr">
        <is>
          <t>CR-202</t>
        </is>
      </c>
      <c r="D1670" t="inlineStr">
        <is>
          <t>ISO 8</t>
        </is>
      </c>
      <c r="E1670" t="inlineStr">
        <is>
          <t>Personnel glove</t>
        </is>
      </c>
      <c r="F1670" t="n">
        <v>0</v>
      </c>
      <c r="G1670" t="inlineStr">
        <is>
          <t>Tech C</t>
        </is>
      </c>
      <c r="H1670">
        <f>INDEX(Limits!$B$2:$B$5,MATCH(E1670,Limits!$A$2:$A$5,0))</f>
        <v/>
      </c>
      <c r="I1670">
        <f>INDEX(Limits!$C$2:$C$5,MATCH(E1670,Limits!$A$2:$A$5,0))</f>
        <v/>
      </c>
      <c r="J1670">
        <f>IF(F1670&gt;=I1670,"Action",IF(F1670&gt;=H1670,"Alert","Pass"))</f>
        <v/>
      </c>
      <c r="K1670" s="4">
        <f>DATE(YEAR(B1670),MONTH(B1670),1)</f>
        <v/>
      </c>
    </row>
    <row r="1671">
      <c r="A1671" t="inlineStr">
        <is>
          <t>EM001670</t>
        </is>
      </c>
      <c r="B1671" s="7" t="n">
        <v>46148</v>
      </c>
      <c r="C1671" t="inlineStr">
        <is>
          <t>Gowning</t>
        </is>
      </c>
      <c r="D1671" t="inlineStr">
        <is>
          <t>ISO 8</t>
        </is>
      </c>
      <c r="E1671" t="inlineStr">
        <is>
          <t>Active air</t>
        </is>
      </c>
      <c r="F1671" t="n">
        <v>2</v>
      </c>
      <c r="G1671" t="inlineStr">
        <is>
          <t>Tech D</t>
        </is>
      </c>
      <c r="H1671">
        <f>INDEX(Limits!$B$2:$B$5,MATCH(E1671,Limits!$A$2:$A$5,0))</f>
        <v/>
      </c>
      <c r="I1671">
        <f>INDEX(Limits!$C$2:$C$5,MATCH(E1671,Limits!$A$2:$A$5,0))</f>
        <v/>
      </c>
      <c r="J1671">
        <f>IF(F1671&gt;=I1671,"Action",IF(F1671&gt;=H1671,"Alert","Pass"))</f>
        <v/>
      </c>
      <c r="K1671" s="4">
        <f>DATE(YEAR(B1671),MONTH(B1671),1)</f>
        <v/>
      </c>
    </row>
    <row r="1672">
      <c r="A1672" t="inlineStr">
        <is>
          <t>EM001671</t>
        </is>
      </c>
      <c r="B1672" s="7" t="n">
        <v>46148</v>
      </c>
      <c r="C1672" t="inlineStr">
        <is>
          <t>Gowning</t>
        </is>
      </c>
      <c r="D1672" t="inlineStr">
        <is>
          <t>ISO 8</t>
        </is>
      </c>
      <c r="E1672" t="inlineStr">
        <is>
          <t>Surface contact</t>
        </is>
      </c>
      <c r="F1672" t="n">
        <v>0</v>
      </c>
      <c r="G1672" t="inlineStr">
        <is>
          <t>Tech C</t>
        </is>
      </c>
      <c r="H1672">
        <f>INDEX(Limits!$B$2:$B$5,MATCH(E1672,Limits!$A$2:$A$5,0))</f>
        <v/>
      </c>
      <c r="I1672">
        <f>INDEX(Limits!$C$2:$C$5,MATCH(E1672,Limits!$A$2:$A$5,0))</f>
        <v/>
      </c>
      <c r="J1672">
        <f>IF(F1672&gt;=I1672,"Action",IF(F1672&gt;=H1672,"Alert","Pass"))</f>
        <v/>
      </c>
      <c r="K1672" s="4">
        <f>DATE(YEAR(B1672),MONTH(B1672),1)</f>
        <v/>
      </c>
    </row>
    <row r="1673">
      <c r="A1673" t="inlineStr">
        <is>
          <t>EM001672</t>
        </is>
      </c>
      <c r="B1673" s="7" t="n">
        <v>46148</v>
      </c>
      <c r="C1673" t="inlineStr">
        <is>
          <t>Gowning</t>
        </is>
      </c>
      <c r="D1673" t="inlineStr">
        <is>
          <t>ISO 8</t>
        </is>
      </c>
      <c r="E1673" t="inlineStr">
        <is>
          <t>Personnel glove</t>
        </is>
      </c>
      <c r="F1673" t="n">
        <v>0</v>
      </c>
      <c r="G1673" t="inlineStr">
        <is>
          <t>Tech A</t>
        </is>
      </c>
      <c r="H1673">
        <f>INDEX(Limits!$B$2:$B$5,MATCH(E1673,Limits!$A$2:$A$5,0))</f>
        <v/>
      </c>
      <c r="I1673">
        <f>INDEX(Limits!$C$2:$C$5,MATCH(E1673,Limits!$A$2:$A$5,0))</f>
        <v/>
      </c>
      <c r="J1673">
        <f>IF(F1673&gt;=I1673,"Action",IF(F1673&gt;=H1673,"Alert","Pass"))</f>
        <v/>
      </c>
      <c r="K1673" s="4">
        <f>DATE(YEAR(B1673),MONTH(B1673),1)</f>
        <v/>
      </c>
    </row>
    <row r="1674">
      <c r="A1674" t="inlineStr">
        <is>
          <t>EM001673</t>
        </is>
      </c>
      <c r="B1674" s="7" t="n">
        <v>46149</v>
      </c>
      <c r="C1674" t="inlineStr">
        <is>
          <t>CR-101</t>
        </is>
      </c>
      <c r="D1674" t="inlineStr">
        <is>
          <t>ISO 7</t>
        </is>
      </c>
      <c r="E1674" t="inlineStr">
        <is>
          <t>Active air</t>
        </is>
      </c>
      <c r="F1674" t="n">
        <v>1</v>
      </c>
      <c r="G1674" t="inlineStr">
        <is>
          <t>Tech D</t>
        </is>
      </c>
      <c r="H1674">
        <f>INDEX(Limits!$B$2:$B$5,MATCH(E1674,Limits!$A$2:$A$5,0))</f>
        <v/>
      </c>
      <c r="I1674">
        <f>INDEX(Limits!$C$2:$C$5,MATCH(E1674,Limits!$A$2:$A$5,0))</f>
        <v/>
      </c>
      <c r="J1674">
        <f>IF(F1674&gt;=I1674,"Action",IF(F1674&gt;=H1674,"Alert","Pass"))</f>
        <v/>
      </c>
      <c r="K1674" s="4">
        <f>DATE(YEAR(B1674),MONTH(B1674),1)</f>
        <v/>
      </c>
    </row>
    <row r="1675">
      <c r="A1675" t="inlineStr">
        <is>
          <t>EM001674</t>
        </is>
      </c>
      <c r="B1675" s="7" t="n">
        <v>46149</v>
      </c>
      <c r="C1675" t="inlineStr">
        <is>
          <t>CR-101</t>
        </is>
      </c>
      <c r="D1675" t="inlineStr">
        <is>
          <t>ISO 7</t>
        </is>
      </c>
      <c r="E1675" t="inlineStr">
        <is>
          <t>Surface contact</t>
        </is>
      </c>
      <c r="F1675" t="n">
        <v>0</v>
      </c>
      <c r="G1675" t="inlineStr">
        <is>
          <t>Tech D</t>
        </is>
      </c>
      <c r="H1675">
        <f>INDEX(Limits!$B$2:$B$5,MATCH(E1675,Limits!$A$2:$A$5,0))</f>
        <v/>
      </c>
      <c r="I1675">
        <f>INDEX(Limits!$C$2:$C$5,MATCH(E1675,Limits!$A$2:$A$5,0))</f>
        <v/>
      </c>
      <c r="J1675">
        <f>IF(F1675&gt;=I1675,"Action",IF(F1675&gt;=H1675,"Alert","Pass"))</f>
        <v/>
      </c>
      <c r="K1675" s="4">
        <f>DATE(YEAR(B1675),MONTH(B1675),1)</f>
        <v/>
      </c>
    </row>
    <row r="1676">
      <c r="A1676" t="inlineStr">
        <is>
          <t>EM001675</t>
        </is>
      </c>
      <c r="B1676" s="7" t="n">
        <v>46149</v>
      </c>
      <c r="C1676" t="inlineStr">
        <is>
          <t>CR-101</t>
        </is>
      </c>
      <c r="D1676" t="inlineStr">
        <is>
          <t>ISO 7</t>
        </is>
      </c>
      <c r="E1676" t="inlineStr">
        <is>
          <t>Compressed air</t>
        </is>
      </c>
      <c r="F1676" t="n">
        <v>0</v>
      </c>
      <c r="G1676" t="inlineStr">
        <is>
          <t>Tech D</t>
        </is>
      </c>
      <c r="H1676">
        <f>INDEX(Limits!$B$2:$B$5,MATCH(E1676,Limits!$A$2:$A$5,0))</f>
        <v/>
      </c>
      <c r="I1676">
        <f>INDEX(Limits!$C$2:$C$5,MATCH(E1676,Limits!$A$2:$A$5,0))</f>
        <v/>
      </c>
      <c r="J1676">
        <f>IF(F1676&gt;=I1676,"Action",IF(F1676&gt;=H1676,"Alert","Pass"))</f>
        <v/>
      </c>
      <c r="K1676" s="4">
        <f>DATE(YEAR(B1676),MONTH(B1676),1)</f>
        <v/>
      </c>
    </row>
    <row r="1677">
      <c r="A1677" t="inlineStr">
        <is>
          <t>EM001676</t>
        </is>
      </c>
      <c r="B1677" s="7" t="n">
        <v>46149</v>
      </c>
      <c r="C1677" t="inlineStr">
        <is>
          <t>CR-101</t>
        </is>
      </c>
      <c r="D1677" t="inlineStr">
        <is>
          <t>ISO 7</t>
        </is>
      </c>
      <c r="E1677" t="inlineStr">
        <is>
          <t>Personnel glove</t>
        </is>
      </c>
      <c r="F1677" t="n">
        <v>0</v>
      </c>
      <c r="G1677" t="inlineStr">
        <is>
          <t>Tech D</t>
        </is>
      </c>
      <c r="H1677">
        <f>INDEX(Limits!$B$2:$B$5,MATCH(E1677,Limits!$A$2:$A$5,0))</f>
        <v/>
      </c>
      <c r="I1677">
        <f>INDEX(Limits!$C$2:$C$5,MATCH(E1677,Limits!$A$2:$A$5,0))</f>
        <v/>
      </c>
      <c r="J1677">
        <f>IF(F1677&gt;=I1677,"Action",IF(F1677&gt;=H1677,"Alert","Pass"))</f>
        <v/>
      </c>
      <c r="K1677" s="4">
        <f>DATE(YEAR(B1677),MONTH(B1677),1)</f>
        <v/>
      </c>
    </row>
    <row r="1678">
      <c r="A1678" t="inlineStr">
        <is>
          <t>EM001677</t>
        </is>
      </c>
      <c r="B1678" s="7" t="n">
        <v>46149</v>
      </c>
      <c r="C1678" t="inlineStr">
        <is>
          <t>CR-102</t>
        </is>
      </c>
      <c r="D1678" t="inlineStr">
        <is>
          <t>ISO 7</t>
        </is>
      </c>
      <c r="E1678" t="inlineStr">
        <is>
          <t>Active air</t>
        </is>
      </c>
      <c r="F1678" t="n">
        <v>3</v>
      </c>
      <c r="G1678" t="inlineStr">
        <is>
          <t>Tech A</t>
        </is>
      </c>
      <c r="H1678">
        <f>INDEX(Limits!$B$2:$B$5,MATCH(E1678,Limits!$A$2:$A$5,0))</f>
        <v/>
      </c>
      <c r="I1678">
        <f>INDEX(Limits!$C$2:$C$5,MATCH(E1678,Limits!$A$2:$A$5,0))</f>
        <v/>
      </c>
      <c r="J1678">
        <f>IF(F1678&gt;=I1678,"Action",IF(F1678&gt;=H1678,"Alert","Pass"))</f>
        <v/>
      </c>
      <c r="K1678" s="4">
        <f>DATE(YEAR(B1678),MONTH(B1678),1)</f>
        <v/>
      </c>
    </row>
    <row r="1679">
      <c r="A1679" t="inlineStr">
        <is>
          <t>EM001678</t>
        </is>
      </c>
      <c r="B1679" s="7" t="n">
        <v>46149</v>
      </c>
      <c r="C1679" t="inlineStr">
        <is>
          <t>CR-102</t>
        </is>
      </c>
      <c r="D1679" t="inlineStr">
        <is>
          <t>ISO 7</t>
        </is>
      </c>
      <c r="E1679" t="inlineStr">
        <is>
          <t>Surface contact</t>
        </is>
      </c>
      <c r="F1679" t="n">
        <v>1</v>
      </c>
      <c r="G1679" t="inlineStr">
        <is>
          <t>Tech A</t>
        </is>
      </c>
      <c r="H1679">
        <f>INDEX(Limits!$B$2:$B$5,MATCH(E1679,Limits!$A$2:$A$5,0))</f>
        <v/>
      </c>
      <c r="I1679">
        <f>INDEX(Limits!$C$2:$C$5,MATCH(E1679,Limits!$A$2:$A$5,0))</f>
        <v/>
      </c>
      <c r="J1679">
        <f>IF(F1679&gt;=I1679,"Action",IF(F1679&gt;=H1679,"Alert","Pass"))</f>
        <v/>
      </c>
      <c r="K1679" s="4">
        <f>DATE(YEAR(B1679),MONTH(B1679),1)</f>
        <v/>
      </c>
    </row>
    <row r="1680">
      <c r="A1680" t="inlineStr">
        <is>
          <t>EM001679</t>
        </is>
      </c>
      <c r="B1680" s="7" t="n">
        <v>46149</v>
      </c>
      <c r="C1680" t="inlineStr">
        <is>
          <t>CR-102</t>
        </is>
      </c>
      <c r="D1680" t="inlineStr">
        <is>
          <t>ISO 7</t>
        </is>
      </c>
      <c r="E1680" t="inlineStr">
        <is>
          <t>Compressed air</t>
        </is>
      </c>
      <c r="F1680" t="n">
        <v>0</v>
      </c>
      <c r="G1680" t="inlineStr">
        <is>
          <t>Tech C</t>
        </is>
      </c>
      <c r="H1680">
        <f>INDEX(Limits!$B$2:$B$5,MATCH(E1680,Limits!$A$2:$A$5,0))</f>
        <v/>
      </c>
      <c r="I1680">
        <f>INDEX(Limits!$C$2:$C$5,MATCH(E1680,Limits!$A$2:$A$5,0))</f>
        <v/>
      </c>
      <c r="J1680">
        <f>IF(F1680&gt;=I1680,"Action",IF(F1680&gt;=H1680,"Alert","Pass"))</f>
        <v/>
      </c>
      <c r="K1680" s="4">
        <f>DATE(YEAR(B1680),MONTH(B1680),1)</f>
        <v/>
      </c>
    </row>
    <row r="1681">
      <c r="A1681" t="inlineStr">
        <is>
          <t>EM001680</t>
        </is>
      </c>
      <c r="B1681" s="7" t="n">
        <v>46149</v>
      </c>
      <c r="C1681" t="inlineStr">
        <is>
          <t>CR-102</t>
        </is>
      </c>
      <c r="D1681" t="inlineStr">
        <is>
          <t>ISO 7</t>
        </is>
      </c>
      <c r="E1681" t="inlineStr">
        <is>
          <t>Personnel glove</t>
        </is>
      </c>
      <c r="F1681" t="n">
        <v>0</v>
      </c>
      <c r="G1681" t="inlineStr">
        <is>
          <t>Tech D</t>
        </is>
      </c>
      <c r="H1681">
        <f>INDEX(Limits!$B$2:$B$5,MATCH(E1681,Limits!$A$2:$A$5,0))</f>
        <v/>
      </c>
      <c r="I1681">
        <f>INDEX(Limits!$C$2:$C$5,MATCH(E1681,Limits!$A$2:$A$5,0))</f>
        <v/>
      </c>
      <c r="J1681">
        <f>IF(F1681&gt;=I1681,"Action",IF(F1681&gt;=H1681,"Alert","Pass"))</f>
        <v/>
      </c>
      <c r="K1681" s="4">
        <f>DATE(YEAR(B1681),MONTH(B1681),1)</f>
        <v/>
      </c>
    </row>
    <row r="1682">
      <c r="A1682" t="inlineStr">
        <is>
          <t>EM001681</t>
        </is>
      </c>
      <c r="B1682" s="7" t="n">
        <v>46149</v>
      </c>
      <c r="C1682" t="inlineStr">
        <is>
          <t>CR-201</t>
        </is>
      </c>
      <c r="D1682" t="inlineStr">
        <is>
          <t>ISO 8</t>
        </is>
      </c>
      <c r="E1682" t="inlineStr">
        <is>
          <t>Active air</t>
        </is>
      </c>
      <c r="F1682" t="n">
        <v>3</v>
      </c>
      <c r="G1682" t="inlineStr">
        <is>
          <t>Tech B</t>
        </is>
      </c>
      <c r="H1682">
        <f>INDEX(Limits!$B$2:$B$5,MATCH(E1682,Limits!$A$2:$A$5,0))</f>
        <v/>
      </c>
      <c r="I1682">
        <f>INDEX(Limits!$C$2:$C$5,MATCH(E1682,Limits!$A$2:$A$5,0))</f>
        <v/>
      </c>
      <c r="J1682">
        <f>IF(F1682&gt;=I1682,"Action",IF(F1682&gt;=H1682,"Alert","Pass"))</f>
        <v/>
      </c>
      <c r="K1682" s="4">
        <f>DATE(YEAR(B1682),MONTH(B1682),1)</f>
        <v/>
      </c>
    </row>
    <row r="1683">
      <c r="A1683" t="inlineStr">
        <is>
          <t>EM001682</t>
        </is>
      </c>
      <c r="B1683" s="7" t="n">
        <v>46149</v>
      </c>
      <c r="C1683" t="inlineStr">
        <is>
          <t>CR-201</t>
        </is>
      </c>
      <c r="D1683" t="inlineStr">
        <is>
          <t>ISO 8</t>
        </is>
      </c>
      <c r="E1683" t="inlineStr">
        <is>
          <t>Surface contact</t>
        </is>
      </c>
      <c r="F1683" t="n">
        <v>1</v>
      </c>
      <c r="G1683" t="inlineStr">
        <is>
          <t>Tech D</t>
        </is>
      </c>
      <c r="H1683">
        <f>INDEX(Limits!$B$2:$B$5,MATCH(E1683,Limits!$A$2:$A$5,0))</f>
        <v/>
      </c>
      <c r="I1683">
        <f>INDEX(Limits!$C$2:$C$5,MATCH(E1683,Limits!$A$2:$A$5,0))</f>
        <v/>
      </c>
      <c r="J1683">
        <f>IF(F1683&gt;=I1683,"Action",IF(F1683&gt;=H1683,"Alert","Pass"))</f>
        <v/>
      </c>
      <c r="K1683" s="4">
        <f>DATE(YEAR(B1683),MONTH(B1683),1)</f>
        <v/>
      </c>
    </row>
    <row r="1684">
      <c r="A1684" t="inlineStr">
        <is>
          <t>EM001683</t>
        </is>
      </c>
      <c r="B1684" s="7" t="n">
        <v>46149</v>
      </c>
      <c r="C1684" t="inlineStr">
        <is>
          <t>CR-201</t>
        </is>
      </c>
      <c r="D1684" t="inlineStr">
        <is>
          <t>ISO 8</t>
        </is>
      </c>
      <c r="E1684" t="inlineStr">
        <is>
          <t>Compressed air</t>
        </is>
      </c>
      <c r="F1684" t="n">
        <v>0</v>
      </c>
      <c r="G1684" t="inlineStr">
        <is>
          <t>Tech B</t>
        </is>
      </c>
      <c r="H1684">
        <f>INDEX(Limits!$B$2:$B$5,MATCH(E1684,Limits!$A$2:$A$5,0))</f>
        <v/>
      </c>
      <c r="I1684">
        <f>INDEX(Limits!$C$2:$C$5,MATCH(E1684,Limits!$A$2:$A$5,0))</f>
        <v/>
      </c>
      <c r="J1684">
        <f>IF(F1684&gt;=I1684,"Action",IF(F1684&gt;=H1684,"Alert","Pass"))</f>
        <v/>
      </c>
      <c r="K1684" s="4">
        <f>DATE(YEAR(B1684),MONTH(B1684),1)</f>
        <v/>
      </c>
    </row>
    <row r="1685">
      <c r="A1685" t="inlineStr">
        <is>
          <t>EM001684</t>
        </is>
      </c>
      <c r="B1685" s="7" t="n">
        <v>46149</v>
      </c>
      <c r="C1685" t="inlineStr">
        <is>
          <t>CR-201</t>
        </is>
      </c>
      <c r="D1685" t="inlineStr">
        <is>
          <t>ISO 8</t>
        </is>
      </c>
      <c r="E1685" t="inlineStr">
        <is>
          <t>Personnel glove</t>
        </is>
      </c>
      <c r="F1685" t="n">
        <v>0</v>
      </c>
      <c r="G1685" t="inlineStr">
        <is>
          <t>Tech A</t>
        </is>
      </c>
      <c r="H1685">
        <f>INDEX(Limits!$B$2:$B$5,MATCH(E1685,Limits!$A$2:$A$5,0))</f>
        <v/>
      </c>
      <c r="I1685">
        <f>INDEX(Limits!$C$2:$C$5,MATCH(E1685,Limits!$A$2:$A$5,0))</f>
        <v/>
      </c>
      <c r="J1685">
        <f>IF(F1685&gt;=I1685,"Action",IF(F1685&gt;=H1685,"Alert","Pass"))</f>
        <v/>
      </c>
      <c r="K1685" s="4">
        <f>DATE(YEAR(B1685),MONTH(B1685),1)</f>
        <v/>
      </c>
    </row>
    <row r="1686">
      <c r="A1686" t="inlineStr">
        <is>
          <t>EM001685</t>
        </is>
      </c>
      <c r="B1686" s="7" t="n">
        <v>46149</v>
      </c>
      <c r="C1686" t="inlineStr">
        <is>
          <t>CR-202</t>
        </is>
      </c>
      <c r="D1686" t="inlineStr">
        <is>
          <t>ISO 8</t>
        </is>
      </c>
      <c r="E1686" t="inlineStr">
        <is>
          <t>Active air</t>
        </is>
      </c>
      <c r="F1686" t="n">
        <v>1</v>
      </c>
      <c r="G1686" t="inlineStr">
        <is>
          <t>Tech D</t>
        </is>
      </c>
      <c r="H1686">
        <f>INDEX(Limits!$B$2:$B$5,MATCH(E1686,Limits!$A$2:$A$5,0))</f>
        <v/>
      </c>
      <c r="I1686">
        <f>INDEX(Limits!$C$2:$C$5,MATCH(E1686,Limits!$A$2:$A$5,0))</f>
        <v/>
      </c>
      <c r="J1686">
        <f>IF(F1686&gt;=I1686,"Action",IF(F1686&gt;=H1686,"Alert","Pass"))</f>
        <v/>
      </c>
      <c r="K1686" s="4">
        <f>DATE(YEAR(B1686),MONTH(B1686),1)</f>
        <v/>
      </c>
    </row>
    <row r="1687">
      <c r="A1687" t="inlineStr">
        <is>
          <t>EM001686</t>
        </is>
      </c>
      <c r="B1687" s="7" t="n">
        <v>46149</v>
      </c>
      <c r="C1687" t="inlineStr">
        <is>
          <t>CR-202</t>
        </is>
      </c>
      <c r="D1687" t="inlineStr">
        <is>
          <t>ISO 8</t>
        </is>
      </c>
      <c r="E1687" t="inlineStr">
        <is>
          <t>Surface contact</t>
        </is>
      </c>
      <c r="F1687" t="n">
        <v>1</v>
      </c>
      <c r="G1687" t="inlineStr">
        <is>
          <t>Tech D</t>
        </is>
      </c>
      <c r="H1687">
        <f>INDEX(Limits!$B$2:$B$5,MATCH(E1687,Limits!$A$2:$A$5,0))</f>
        <v/>
      </c>
      <c r="I1687">
        <f>INDEX(Limits!$C$2:$C$5,MATCH(E1687,Limits!$A$2:$A$5,0))</f>
        <v/>
      </c>
      <c r="J1687">
        <f>IF(F1687&gt;=I1687,"Action",IF(F1687&gt;=H1687,"Alert","Pass"))</f>
        <v/>
      </c>
      <c r="K1687" s="4">
        <f>DATE(YEAR(B1687),MONTH(B1687),1)</f>
        <v/>
      </c>
    </row>
    <row r="1688">
      <c r="A1688" t="inlineStr">
        <is>
          <t>EM001687</t>
        </is>
      </c>
      <c r="B1688" s="7" t="n">
        <v>46149</v>
      </c>
      <c r="C1688" t="inlineStr">
        <is>
          <t>CR-202</t>
        </is>
      </c>
      <c r="D1688" t="inlineStr">
        <is>
          <t>ISO 8</t>
        </is>
      </c>
      <c r="E1688" t="inlineStr">
        <is>
          <t>Compressed air</t>
        </is>
      </c>
      <c r="F1688" t="n">
        <v>0</v>
      </c>
      <c r="G1688" t="inlineStr">
        <is>
          <t>Tech C</t>
        </is>
      </c>
      <c r="H1688">
        <f>INDEX(Limits!$B$2:$B$5,MATCH(E1688,Limits!$A$2:$A$5,0))</f>
        <v/>
      </c>
      <c r="I1688">
        <f>INDEX(Limits!$C$2:$C$5,MATCH(E1688,Limits!$A$2:$A$5,0))</f>
        <v/>
      </c>
      <c r="J1688">
        <f>IF(F1688&gt;=I1688,"Action",IF(F1688&gt;=H1688,"Alert","Pass"))</f>
        <v/>
      </c>
      <c r="K1688" s="4">
        <f>DATE(YEAR(B1688),MONTH(B1688),1)</f>
        <v/>
      </c>
    </row>
    <row r="1689">
      <c r="A1689" t="inlineStr">
        <is>
          <t>EM001688</t>
        </is>
      </c>
      <c r="B1689" s="7" t="n">
        <v>46149</v>
      </c>
      <c r="C1689" t="inlineStr">
        <is>
          <t>CR-202</t>
        </is>
      </c>
      <c r="D1689" t="inlineStr">
        <is>
          <t>ISO 8</t>
        </is>
      </c>
      <c r="E1689" t="inlineStr">
        <is>
          <t>Personnel glove</t>
        </is>
      </c>
      <c r="F1689" t="n">
        <v>0</v>
      </c>
      <c r="G1689" t="inlineStr">
        <is>
          <t>Tech C</t>
        </is>
      </c>
      <c r="H1689">
        <f>INDEX(Limits!$B$2:$B$5,MATCH(E1689,Limits!$A$2:$A$5,0))</f>
        <v/>
      </c>
      <c r="I1689">
        <f>INDEX(Limits!$C$2:$C$5,MATCH(E1689,Limits!$A$2:$A$5,0))</f>
        <v/>
      </c>
      <c r="J1689">
        <f>IF(F1689&gt;=I1689,"Action",IF(F1689&gt;=H1689,"Alert","Pass"))</f>
        <v/>
      </c>
      <c r="K1689" s="4">
        <f>DATE(YEAR(B1689),MONTH(B1689),1)</f>
        <v/>
      </c>
    </row>
    <row r="1690">
      <c r="A1690" t="inlineStr">
        <is>
          <t>EM001689</t>
        </is>
      </c>
      <c r="B1690" s="7" t="n">
        <v>46149</v>
      </c>
      <c r="C1690" t="inlineStr">
        <is>
          <t>Gowning</t>
        </is>
      </c>
      <c r="D1690" t="inlineStr">
        <is>
          <t>ISO 8</t>
        </is>
      </c>
      <c r="E1690" t="inlineStr">
        <is>
          <t>Active air</t>
        </is>
      </c>
      <c r="F1690" t="n">
        <v>3</v>
      </c>
      <c r="G1690" t="inlineStr">
        <is>
          <t>Tech C</t>
        </is>
      </c>
      <c r="H1690">
        <f>INDEX(Limits!$B$2:$B$5,MATCH(E1690,Limits!$A$2:$A$5,0))</f>
        <v/>
      </c>
      <c r="I1690">
        <f>INDEX(Limits!$C$2:$C$5,MATCH(E1690,Limits!$A$2:$A$5,0))</f>
        <v/>
      </c>
      <c r="J1690">
        <f>IF(F1690&gt;=I1690,"Action",IF(F1690&gt;=H1690,"Alert","Pass"))</f>
        <v/>
      </c>
      <c r="K1690" s="4">
        <f>DATE(YEAR(B1690),MONTH(B1690),1)</f>
        <v/>
      </c>
    </row>
    <row r="1691">
      <c r="A1691" t="inlineStr">
        <is>
          <t>EM001690</t>
        </is>
      </c>
      <c r="B1691" s="7" t="n">
        <v>46149</v>
      </c>
      <c r="C1691" t="inlineStr">
        <is>
          <t>Gowning</t>
        </is>
      </c>
      <c r="D1691" t="inlineStr">
        <is>
          <t>ISO 8</t>
        </is>
      </c>
      <c r="E1691" t="inlineStr">
        <is>
          <t>Surface contact</t>
        </is>
      </c>
      <c r="F1691" t="n">
        <v>1</v>
      </c>
      <c r="G1691" t="inlineStr">
        <is>
          <t>Tech A</t>
        </is>
      </c>
      <c r="H1691">
        <f>INDEX(Limits!$B$2:$B$5,MATCH(E1691,Limits!$A$2:$A$5,0))</f>
        <v/>
      </c>
      <c r="I1691">
        <f>INDEX(Limits!$C$2:$C$5,MATCH(E1691,Limits!$A$2:$A$5,0))</f>
        <v/>
      </c>
      <c r="J1691">
        <f>IF(F1691&gt;=I1691,"Action",IF(F1691&gt;=H1691,"Alert","Pass"))</f>
        <v/>
      </c>
      <c r="K1691" s="4">
        <f>DATE(YEAR(B1691),MONTH(B1691),1)</f>
        <v/>
      </c>
    </row>
    <row r="1692">
      <c r="A1692" t="inlineStr">
        <is>
          <t>EM001691</t>
        </is>
      </c>
      <c r="B1692" s="7" t="n">
        <v>46149</v>
      </c>
      <c r="C1692" t="inlineStr">
        <is>
          <t>Gowning</t>
        </is>
      </c>
      <c r="D1692" t="inlineStr">
        <is>
          <t>ISO 8</t>
        </is>
      </c>
      <c r="E1692" t="inlineStr">
        <is>
          <t>Personnel glove</t>
        </is>
      </c>
      <c r="F1692" t="n">
        <v>1</v>
      </c>
      <c r="G1692" t="inlineStr">
        <is>
          <t>Tech D</t>
        </is>
      </c>
      <c r="H1692">
        <f>INDEX(Limits!$B$2:$B$5,MATCH(E1692,Limits!$A$2:$A$5,0))</f>
        <v/>
      </c>
      <c r="I1692">
        <f>INDEX(Limits!$C$2:$C$5,MATCH(E1692,Limits!$A$2:$A$5,0))</f>
        <v/>
      </c>
      <c r="J1692">
        <f>IF(F1692&gt;=I1692,"Action",IF(F1692&gt;=H1692,"Alert","Pass"))</f>
        <v/>
      </c>
      <c r="K1692" s="4">
        <f>DATE(YEAR(B1692),MONTH(B1692),1)</f>
        <v/>
      </c>
    </row>
    <row r="1693">
      <c r="A1693" t="inlineStr">
        <is>
          <t>EM001692</t>
        </is>
      </c>
      <c r="B1693" s="7" t="n">
        <v>46150</v>
      </c>
      <c r="C1693" t="inlineStr">
        <is>
          <t>CR-101</t>
        </is>
      </c>
      <c r="D1693" t="inlineStr">
        <is>
          <t>ISO 7</t>
        </is>
      </c>
      <c r="E1693" t="inlineStr">
        <is>
          <t>Active air</t>
        </is>
      </c>
      <c r="F1693" t="n">
        <v>0</v>
      </c>
      <c r="G1693" t="inlineStr">
        <is>
          <t>Tech D</t>
        </is>
      </c>
      <c r="H1693">
        <f>INDEX(Limits!$B$2:$B$5,MATCH(E1693,Limits!$A$2:$A$5,0))</f>
        <v/>
      </c>
      <c r="I1693">
        <f>INDEX(Limits!$C$2:$C$5,MATCH(E1693,Limits!$A$2:$A$5,0))</f>
        <v/>
      </c>
      <c r="J1693">
        <f>IF(F1693&gt;=I1693,"Action",IF(F1693&gt;=H1693,"Alert","Pass"))</f>
        <v/>
      </c>
      <c r="K1693" s="4">
        <f>DATE(YEAR(B1693),MONTH(B1693),1)</f>
        <v/>
      </c>
    </row>
    <row r="1694">
      <c r="A1694" t="inlineStr">
        <is>
          <t>EM001693</t>
        </is>
      </c>
      <c r="B1694" s="7" t="n">
        <v>46150</v>
      </c>
      <c r="C1694" t="inlineStr">
        <is>
          <t>CR-101</t>
        </is>
      </c>
      <c r="D1694" t="inlineStr">
        <is>
          <t>ISO 7</t>
        </is>
      </c>
      <c r="E1694" t="inlineStr">
        <is>
          <t>Surface contact</t>
        </is>
      </c>
      <c r="F1694" t="n">
        <v>0</v>
      </c>
      <c r="G1694" t="inlineStr">
        <is>
          <t>Tech D</t>
        </is>
      </c>
      <c r="H1694">
        <f>INDEX(Limits!$B$2:$B$5,MATCH(E1694,Limits!$A$2:$A$5,0))</f>
        <v/>
      </c>
      <c r="I1694">
        <f>INDEX(Limits!$C$2:$C$5,MATCH(E1694,Limits!$A$2:$A$5,0))</f>
        <v/>
      </c>
      <c r="J1694">
        <f>IF(F1694&gt;=I1694,"Action",IF(F1694&gt;=H1694,"Alert","Pass"))</f>
        <v/>
      </c>
      <c r="K1694" s="4">
        <f>DATE(YEAR(B1694),MONTH(B1694),1)</f>
        <v/>
      </c>
    </row>
    <row r="1695">
      <c r="A1695" t="inlineStr">
        <is>
          <t>EM001694</t>
        </is>
      </c>
      <c r="B1695" s="7" t="n">
        <v>46150</v>
      </c>
      <c r="C1695" t="inlineStr">
        <is>
          <t>CR-101</t>
        </is>
      </c>
      <c r="D1695" t="inlineStr">
        <is>
          <t>ISO 7</t>
        </is>
      </c>
      <c r="E1695" t="inlineStr">
        <is>
          <t>Compressed air</t>
        </is>
      </c>
      <c r="F1695" t="n">
        <v>0</v>
      </c>
      <c r="G1695" t="inlineStr">
        <is>
          <t>Tech D</t>
        </is>
      </c>
      <c r="H1695">
        <f>INDEX(Limits!$B$2:$B$5,MATCH(E1695,Limits!$A$2:$A$5,0))</f>
        <v/>
      </c>
      <c r="I1695">
        <f>INDEX(Limits!$C$2:$C$5,MATCH(E1695,Limits!$A$2:$A$5,0))</f>
        <v/>
      </c>
      <c r="J1695">
        <f>IF(F1695&gt;=I1695,"Action",IF(F1695&gt;=H1695,"Alert","Pass"))</f>
        <v/>
      </c>
      <c r="K1695" s="4">
        <f>DATE(YEAR(B1695),MONTH(B1695),1)</f>
        <v/>
      </c>
    </row>
    <row r="1696">
      <c r="A1696" t="inlineStr">
        <is>
          <t>EM001695</t>
        </is>
      </c>
      <c r="B1696" s="7" t="n">
        <v>46150</v>
      </c>
      <c r="C1696" t="inlineStr">
        <is>
          <t>CR-101</t>
        </is>
      </c>
      <c r="D1696" t="inlineStr">
        <is>
          <t>ISO 7</t>
        </is>
      </c>
      <c r="E1696" t="inlineStr">
        <is>
          <t>Personnel glove</t>
        </is>
      </c>
      <c r="F1696" t="n">
        <v>0</v>
      </c>
      <c r="G1696" t="inlineStr">
        <is>
          <t>Tech D</t>
        </is>
      </c>
      <c r="H1696">
        <f>INDEX(Limits!$B$2:$B$5,MATCH(E1696,Limits!$A$2:$A$5,0))</f>
        <v/>
      </c>
      <c r="I1696">
        <f>INDEX(Limits!$C$2:$C$5,MATCH(E1696,Limits!$A$2:$A$5,0))</f>
        <v/>
      </c>
      <c r="J1696">
        <f>IF(F1696&gt;=I1696,"Action",IF(F1696&gt;=H1696,"Alert","Pass"))</f>
        <v/>
      </c>
      <c r="K1696" s="4">
        <f>DATE(YEAR(B1696),MONTH(B1696),1)</f>
        <v/>
      </c>
    </row>
    <row r="1697">
      <c r="A1697" t="inlineStr">
        <is>
          <t>EM001696</t>
        </is>
      </c>
      <c r="B1697" s="7" t="n">
        <v>46150</v>
      </c>
      <c r="C1697" t="inlineStr">
        <is>
          <t>CR-102</t>
        </is>
      </c>
      <c r="D1697" t="inlineStr">
        <is>
          <t>ISO 7</t>
        </is>
      </c>
      <c r="E1697" t="inlineStr">
        <is>
          <t>Active air</t>
        </is>
      </c>
      <c r="F1697" t="n">
        <v>0</v>
      </c>
      <c r="G1697" t="inlineStr">
        <is>
          <t>Tech A</t>
        </is>
      </c>
      <c r="H1697">
        <f>INDEX(Limits!$B$2:$B$5,MATCH(E1697,Limits!$A$2:$A$5,0))</f>
        <v/>
      </c>
      <c r="I1697">
        <f>INDEX(Limits!$C$2:$C$5,MATCH(E1697,Limits!$A$2:$A$5,0))</f>
        <v/>
      </c>
      <c r="J1697">
        <f>IF(F1697&gt;=I1697,"Action",IF(F1697&gt;=H1697,"Alert","Pass"))</f>
        <v/>
      </c>
      <c r="K1697" s="4">
        <f>DATE(YEAR(B1697),MONTH(B1697),1)</f>
        <v/>
      </c>
    </row>
    <row r="1698">
      <c r="A1698" t="inlineStr">
        <is>
          <t>EM001697</t>
        </is>
      </c>
      <c r="B1698" s="7" t="n">
        <v>46150</v>
      </c>
      <c r="C1698" t="inlineStr">
        <is>
          <t>CR-102</t>
        </is>
      </c>
      <c r="D1698" t="inlineStr">
        <is>
          <t>ISO 7</t>
        </is>
      </c>
      <c r="E1698" t="inlineStr">
        <is>
          <t>Surface contact</t>
        </is>
      </c>
      <c r="F1698" t="n">
        <v>2</v>
      </c>
      <c r="G1698" t="inlineStr">
        <is>
          <t>Tech D</t>
        </is>
      </c>
      <c r="H1698">
        <f>INDEX(Limits!$B$2:$B$5,MATCH(E1698,Limits!$A$2:$A$5,0))</f>
        <v/>
      </c>
      <c r="I1698">
        <f>INDEX(Limits!$C$2:$C$5,MATCH(E1698,Limits!$A$2:$A$5,0))</f>
        <v/>
      </c>
      <c r="J1698">
        <f>IF(F1698&gt;=I1698,"Action",IF(F1698&gt;=H1698,"Alert","Pass"))</f>
        <v/>
      </c>
      <c r="K1698" s="4">
        <f>DATE(YEAR(B1698),MONTH(B1698),1)</f>
        <v/>
      </c>
    </row>
    <row r="1699">
      <c r="A1699" t="inlineStr">
        <is>
          <t>EM001698</t>
        </is>
      </c>
      <c r="B1699" s="7" t="n">
        <v>46150</v>
      </c>
      <c r="C1699" t="inlineStr">
        <is>
          <t>CR-102</t>
        </is>
      </c>
      <c r="D1699" t="inlineStr">
        <is>
          <t>ISO 7</t>
        </is>
      </c>
      <c r="E1699" t="inlineStr">
        <is>
          <t>Compressed air</t>
        </is>
      </c>
      <c r="F1699" t="n">
        <v>0</v>
      </c>
      <c r="G1699" t="inlineStr">
        <is>
          <t>Tech C</t>
        </is>
      </c>
      <c r="H1699">
        <f>INDEX(Limits!$B$2:$B$5,MATCH(E1699,Limits!$A$2:$A$5,0))</f>
        <v/>
      </c>
      <c r="I1699">
        <f>INDEX(Limits!$C$2:$C$5,MATCH(E1699,Limits!$A$2:$A$5,0))</f>
        <v/>
      </c>
      <c r="J1699">
        <f>IF(F1699&gt;=I1699,"Action",IF(F1699&gt;=H1699,"Alert","Pass"))</f>
        <v/>
      </c>
      <c r="K1699" s="4">
        <f>DATE(YEAR(B1699),MONTH(B1699),1)</f>
        <v/>
      </c>
    </row>
    <row r="1700">
      <c r="A1700" t="inlineStr">
        <is>
          <t>EM001699</t>
        </is>
      </c>
      <c r="B1700" s="7" t="n">
        <v>46150</v>
      </c>
      <c r="C1700" t="inlineStr">
        <is>
          <t>CR-102</t>
        </is>
      </c>
      <c r="D1700" t="inlineStr">
        <is>
          <t>ISO 7</t>
        </is>
      </c>
      <c r="E1700" t="inlineStr">
        <is>
          <t>Personnel glove</t>
        </is>
      </c>
      <c r="F1700" t="n">
        <v>0</v>
      </c>
      <c r="G1700" t="inlineStr">
        <is>
          <t>Tech B</t>
        </is>
      </c>
      <c r="H1700">
        <f>INDEX(Limits!$B$2:$B$5,MATCH(E1700,Limits!$A$2:$A$5,0))</f>
        <v/>
      </c>
      <c r="I1700">
        <f>INDEX(Limits!$C$2:$C$5,MATCH(E1700,Limits!$A$2:$A$5,0))</f>
        <v/>
      </c>
      <c r="J1700">
        <f>IF(F1700&gt;=I1700,"Action",IF(F1700&gt;=H1700,"Alert","Pass"))</f>
        <v/>
      </c>
      <c r="K1700" s="4">
        <f>DATE(YEAR(B1700),MONTH(B1700),1)</f>
        <v/>
      </c>
    </row>
    <row r="1701">
      <c r="A1701" t="inlineStr">
        <is>
          <t>EM001700</t>
        </is>
      </c>
      <c r="B1701" s="7" t="n">
        <v>46150</v>
      </c>
      <c r="C1701" t="inlineStr">
        <is>
          <t>CR-201</t>
        </is>
      </c>
      <c r="D1701" t="inlineStr">
        <is>
          <t>ISO 8</t>
        </is>
      </c>
      <c r="E1701" t="inlineStr">
        <is>
          <t>Active air</t>
        </is>
      </c>
      <c r="F1701" t="n">
        <v>4</v>
      </c>
      <c r="G1701" t="inlineStr">
        <is>
          <t>Tech D</t>
        </is>
      </c>
      <c r="H1701">
        <f>INDEX(Limits!$B$2:$B$5,MATCH(E1701,Limits!$A$2:$A$5,0))</f>
        <v/>
      </c>
      <c r="I1701">
        <f>INDEX(Limits!$C$2:$C$5,MATCH(E1701,Limits!$A$2:$A$5,0))</f>
        <v/>
      </c>
      <c r="J1701">
        <f>IF(F1701&gt;=I1701,"Action",IF(F1701&gt;=H1701,"Alert","Pass"))</f>
        <v/>
      </c>
      <c r="K1701" s="4">
        <f>DATE(YEAR(B1701),MONTH(B1701),1)</f>
        <v/>
      </c>
    </row>
    <row r="1702">
      <c r="A1702" t="inlineStr">
        <is>
          <t>EM001701</t>
        </is>
      </c>
      <c r="B1702" s="7" t="n">
        <v>46150</v>
      </c>
      <c r="C1702" t="inlineStr">
        <is>
          <t>CR-201</t>
        </is>
      </c>
      <c r="D1702" t="inlineStr">
        <is>
          <t>ISO 8</t>
        </is>
      </c>
      <c r="E1702" t="inlineStr">
        <is>
          <t>Surface contact</t>
        </is>
      </c>
      <c r="F1702" t="n">
        <v>1</v>
      </c>
      <c r="G1702" t="inlineStr">
        <is>
          <t>Tech A</t>
        </is>
      </c>
      <c r="H1702">
        <f>INDEX(Limits!$B$2:$B$5,MATCH(E1702,Limits!$A$2:$A$5,0))</f>
        <v/>
      </c>
      <c r="I1702">
        <f>INDEX(Limits!$C$2:$C$5,MATCH(E1702,Limits!$A$2:$A$5,0))</f>
        <v/>
      </c>
      <c r="J1702">
        <f>IF(F1702&gt;=I1702,"Action",IF(F1702&gt;=H1702,"Alert","Pass"))</f>
        <v/>
      </c>
      <c r="K1702" s="4">
        <f>DATE(YEAR(B1702),MONTH(B1702),1)</f>
        <v/>
      </c>
    </row>
    <row r="1703">
      <c r="A1703" t="inlineStr">
        <is>
          <t>EM001702</t>
        </is>
      </c>
      <c r="B1703" s="7" t="n">
        <v>46150</v>
      </c>
      <c r="C1703" t="inlineStr">
        <is>
          <t>CR-201</t>
        </is>
      </c>
      <c r="D1703" t="inlineStr">
        <is>
          <t>ISO 8</t>
        </is>
      </c>
      <c r="E1703" t="inlineStr">
        <is>
          <t>Compressed air</t>
        </is>
      </c>
      <c r="F1703" t="n">
        <v>0</v>
      </c>
      <c r="G1703" t="inlineStr">
        <is>
          <t>Tech B</t>
        </is>
      </c>
      <c r="H1703">
        <f>INDEX(Limits!$B$2:$B$5,MATCH(E1703,Limits!$A$2:$A$5,0))</f>
        <v/>
      </c>
      <c r="I1703">
        <f>INDEX(Limits!$C$2:$C$5,MATCH(E1703,Limits!$A$2:$A$5,0))</f>
        <v/>
      </c>
      <c r="J1703">
        <f>IF(F1703&gt;=I1703,"Action",IF(F1703&gt;=H1703,"Alert","Pass"))</f>
        <v/>
      </c>
      <c r="K1703" s="4">
        <f>DATE(YEAR(B1703),MONTH(B1703),1)</f>
        <v/>
      </c>
    </row>
    <row r="1704">
      <c r="A1704" t="inlineStr">
        <is>
          <t>EM001703</t>
        </is>
      </c>
      <c r="B1704" s="7" t="n">
        <v>46150</v>
      </c>
      <c r="C1704" t="inlineStr">
        <is>
          <t>CR-201</t>
        </is>
      </c>
      <c r="D1704" t="inlineStr">
        <is>
          <t>ISO 8</t>
        </is>
      </c>
      <c r="E1704" t="inlineStr">
        <is>
          <t>Personnel glove</t>
        </is>
      </c>
      <c r="F1704" t="n">
        <v>0</v>
      </c>
      <c r="G1704" t="inlineStr">
        <is>
          <t>Tech B</t>
        </is>
      </c>
      <c r="H1704">
        <f>INDEX(Limits!$B$2:$B$5,MATCH(E1704,Limits!$A$2:$A$5,0))</f>
        <v/>
      </c>
      <c r="I1704">
        <f>INDEX(Limits!$C$2:$C$5,MATCH(E1704,Limits!$A$2:$A$5,0))</f>
        <v/>
      </c>
      <c r="J1704">
        <f>IF(F1704&gt;=I1704,"Action",IF(F1704&gt;=H1704,"Alert","Pass"))</f>
        <v/>
      </c>
      <c r="K1704" s="4">
        <f>DATE(YEAR(B1704),MONTH(B1704),1)</f>
        <v/>
      </c>
    </row>
    <row r="1705">
      <c r="A1705" t="inlineStr">
        <is>
          <t>EM001704</t>
        </is>
      </c>
      <c r="B1705" s="7" t="n">
        <v>46150</v>
      </c>
      <c r="C1705" t="inlineStr">
        <is>
          <t>CR-202</t>
        </is>
      </c>
      <c r="D1705" t="inlineStr">
        <is>
          <t>ISO 8</t>
        </is>
      </c>
      <c r="E1705" t="inlineStr">
        <is>
          <t>Active air</t>
        </is>
      </c>
      <c r="F1705" t="n">
        <v>1</v>
      </c>
      <c r="G1705" t="inlineStr">
        <is>
          <t>Tech A</t>
        </is>
      </c>
      <c r="H1705">
        <f>INDEX(Limits!$B$2:$B$5,MATCH(E1705,Limits!$A$2:$A$5,0))</f>
        <v/>
      </c>
      <c r="I1705">
        <f>INDEX(Limits!$C$2:$C$5,MATCH(E1705,Limits!$A$2:$A$5,0))</f>
        <v/>
      </c>
      <c r="J1705">
        <f>IF(F1705&gt;=I1705,"Action",IF(F1705&gt;=H1705,"Alert","Pass"))</f>
        <v/>
      </c>
      <c r="K1705" s="4">
        <f>DATE(YEAR(B1705),MONTH(B1705),1)</f>
        <v/>
      </c>
    </row>
    <row r="1706">
      <c r="A1706" t="inlineStr">
        <is>
          <t>EM001705</t>
        </is>
      </c>
      <c r="B1706" s="7" t="n">
        <v>46150</v>
      </c>
      <c r="C1706" t="inlineStr">
        <is>
          <t>CR-202</t>
        </is>
      </c>
      <c r="D1706" t="inlineStr">
        <is>
          <t>ISO 8</t>
        </is>
      </c>
      <c r="E1706" t="inlineStr">
        <is>
          <t>Surface contact</t>
        </is>
      </c>
      <c r="F1706" t="n">
        <v>0</v>
      </c>
      <c r="G1706" t="inlineStr">
        <is>
          <t>Tech A</t>
        </is>
      </c>
      <c r="H1706">
        <f>INDEX(Limits!$B$2:$B$5,MATCH(E1706,Limits!$A$2:$A$5,0))</f>
        <v/>
      </c>
      <c r="I1706">
        <f>INDEX(Limits!$C$2:$C$5,MATCH(E1706,Limits!$A$2:$A$5,0))</f>
        <v/>
      </c>
      <c r="J1706">
        <f>IF(F1706&gt;=I1706,"Action",IF(F1706&gt;=H1706,"Alert","Pass"))</f>
        <v/>
      </c>
      <c r="K1706" s="4">
        <f>DATE(YEAR(B1706),MONTH(B1706),1)</f>
        <v/>
      </c>
    </row>
    <row r="1707">
      <c r="A1707" t="inlineStr">
        <is>
          <t>EM001706</t>
        </is>
      </c>
      <c r="B1707" s="7" t="n">
        <v>46150</v>
      </c>
      <c r="C1707" t="inlineStr">
        <is>
          <t>CR-202</t>
        </is>
      </c>
      <c r="D1707" t="inlineStr">
        <is>
          <t>ISO 8</t>
        </is>
      </c>
      <c r="E1707" t="inlineStr">
        <is>
          <t>Compressed air</t>
        </is>
      </c>
      <c r="F1707" t="n">
        <v>0</v>
      </c>
      <c r="G1707" t="inlineStr">
        <is>
          <t>Tech C</t>
        </is>
      </c>
      <c r="H1707">
        <f>INDEX(Limits!$B$2:$B$5,MATCH(E1707,Limits!$A$2:$A$5,0))</f>
        <v/>
      </c>
      <c r="I1707">
        <f>INDEX(Limits!$C$2:$C$5,MATCH(E1707,Limits!$A$2:$A$5,0))</f>
        <v/>
      </c>
      <c r="J1707">
        <f>IF(F1707&gt;=I1707,"Action",IF(F1707&gt;=H1707,"Alert","Pass"))</f>
        <v/>
      </c>
      <c r="K1707" s="4">
        <f>DATE(YEAR(B1707),MONTH(B1707),1)</f>
        <v/>
      </c>
    </row>
    <row r="1708">
      <c r="A1708" t="inlineStr">
        <is>
          <t>EM001707</t>
        </is>
      </c>
      <c r="B1708" s="7" t="n">
        <v>46150</v>
      </c>
      <c r="C1708" t="inlineStr">
        <is>
          <t>CR-202</t>
        </is>
      </c>
      <c r="D1708" t="inlineStr">
        <is>
          <t>ISO 8</t>
        </is>
      </c>
      <c r="E1708" t="inlineStr">
        <is>
          <t>Personnel glove</t>
        </is>
      </c>
      <c r="F1708" t="n">
        <v>0</v>
      </c>
      <c r="G1708" t="inlineStr">
        <is>
          <t>Tech C</t>
        </is>
      </c>
      <c r="H1708">
        <f>INDEX(Limits!$B$2:$B$5,MATCH(E1708,Limits!$A$2:$A$5,0))</f>
        <v/>
      </c>
      <c r="I1708">
        <f>INDEX(Limits!$C$2:$C$5,MATCH(E1708,Limits!$A$2:$A$5,0))</f>
        <v/>
      </c>
      <c r="J1708">
        <f>IF(F1708&gt;=I1708,"Action",IF(F1708&gt;=H1708,"Alert","Pass"))</f>
        <v/>
      </c>
      <c r="K1708" s="4">
        <f>DATE(YEAR(B1708),MONTH(B1708),1)</f>
        <v/>
      </c>
    </row>
    <row r="1709">
      <c r="A1709" t="inlineStr">
        <is>
          <t>EM001708</t>
        </is>
      </c>
      <c r="B1709" s="7" t="n">
        <v>46150</v>
      </c>
      <c r="C1709" t="inlineStr">
        <is>
          <t>Gowning</t>
        </is>
      </c>
      <c r="D1709" t="inlineStr">
        <is>
          <t>ISO 8</t>
        </is>
      </c>
      <c r="E1709" t="inlineStr">
        <is>
          <t>Active air</t>
        </is>
      </c>
      <c r="F1709" t="n">
        <v>3</v>
      </c>
      <c r="G1709" t="inlineStr">
        <is>
          <t>Tech B</t>
        </is>
      </c>
      <c r="H1709">
        <f>INDEX(Limits!$B$2:$B$5,MATCH(E1709,Limits!$A$2:$A$5,0))</f>
        <v/>
      </c>
      <c r="I1709">
        <f>INDEX(Limits!$C$2:$C$5,MATCH(E1709,Limits!$A$2:$A$5,0))</f>
        <v/>
      </c>
      <c r="J1709">
        <f>IF(F1709&gt;=I1709,"Action",IF(F1709&gt;=H1709,"Alert","Pass"))</f>
        <v/>
      </c>
      <c r="K1709" s="4">
        <f>DATE(YEAR(B1709),MONTH(B1709),1)</f>
        <v/>
      </c>
    </row>
    <row r="1710">
      <c r="A1710" t="inlineStr">
        <is>
          <t>EM001709</t>
        </is>
      </c>
      <c r="B1710" s="7" t="n">
        <v>46150</v>
      </c>
      <c r="C1710" t="inlineStr">
        <is>
          <t>Gowning</t>
        </is>
      </c>
      <c r="D1710" t="inlineStr">
        <is>
          <t>ISO 8</t>
        </is>
      </c>
      <c r="E1710" t="inlineStr">
        <is>
          <t>Surface contact</t>
        </is>
      </c>
      <c r="F1710" t="n">
        <v>1</v>
      </c>
      <c r="G1710" t="inlineStr">
        <is>
          <t>Tech C</t>
        </is>
      </c>
      <c r="H1710">
        <f>INDEX(Limits!$B$2:$B$5,MATCH(E1710,Limits!$A$2:$A$5,0))</f>
        <v/>
      </c>
      <c r="I1710">
        <f>INDEX(Limits!$C$2:$C$5,MATCH(E1710,Limits!$A$2:$A$5,0))</f>
        <v/>
      </c>
      <c r="J1710">
        <f>IF(F1710&gt;=I1710,"Action",IF(F1710&gt;=H1710,"Alert","Pass"))</f>
        <v/>
      </c>
      <c r="K1710" s="4">
        <f>DATE(YEAR(B1710),MONTH(B1710),1)</f>
        <v/>
      </c>
    </row>
    <row r="1711">
      <c r="A1711" t="inlineStr">
        <is>
          <t>EM001710</t>
        </is>
      </c>
      <c r="B1711" s="7" t="n">
        <v>46150</v>
      </c>
      <c r="C1711" t="inlineStr">
        <is>
          <t>Gowning</t>
        </is>
      </c>
      <c r="D1711" t="inlineStr">
        <is>
          <t>ISO 8</t>
        </is>
      </c>
      <c r="E1711" t="inlineStr">
        <is>
          <t>Personnel glove</t>
        </is>
      </c>
      <c r="F1711" t="n">
        <v>0</v>
      </c>
      <c r="G1711" t="inlineStr">
        <is>
          <t>Tech B</t>
        </is>
      </c>
      <c r="H1711">
        <f>INDEX(Limits!$B$2:$B$5,MATCH(E1711,Limits!$A$2:$A$5,0))</f>
        <v/>
      </c>
      <c r="I1711">
        <f>INDEX(Limits!$C$2:$C$5,MATCH(E1711,Limits!$A$2:$A$5,0))</f>
        <v/>
      </c>
      <c r="J1711">
        <f>IF(F1711&gt;=I1711,"Action",IF(F1711&gt;=H1711,"Alert","Pass"))</f>
        <v/>
      </c>
      <c r="K1711" s="4">
        <f>DATE(YEAR(B1711),MONTH(B1711),1)</f>
        <v/>
      </c>
    </row>
    <row r="1712">
      <c r="A1712" t="inlineStr">
        <is>
          <t>EM001711</t>
        </is>
      </c>
      <c r="B1712" s="7" t="n">
        <v>46153</v>
      </c>
      <c r="C1712" t="inlineStr">
        <is>
          <t>CR-101</t>
        </is>
      </c>
      <c r="D1712" t="inlineStr">
        <is>
          <t>ISO 7</t>
        </is>
      </c>
      <c r="E1712" t="inlineStr">
        <is>
          <t>Active air</t>
        </is>
      </c>
      <c r="F1712" t="n">
        <v>2</v>
      </c>
      <c r="G1712" t="inlineStr">
        <is>
          <t>Tech C</t>
        </is>
      </c>
      <c r="H1712">
        <f>INDEX(Limits!$B$2:$B$5,MATCH(E1712,Limits!$A$2:$A$5,0))</f>
        <v/>
      </c>
      <c r="I1712">
        <f>INDEX(Limits!$C$2:$C$5,MATCH(E1712,Limits!$A$2:$A$5,0))</f>
        <v/>
      </c>
      <c r="J1712">
        <f>IF(F1712&gt;=I1712,"Action",IF(F1712&gt;=H1712,"Alert","Pass"))</f>
        <v/>
      </c>
      <c r="K1712" s="4">
        <f>DATE(YEAR(B1712),MONTH(B1712),1)</f>
        <v/>
      </c>
    </row>
    <row r="1713">
      <c r="A1713" t="inlineStr">
        <is>
          <t>EM001712</t>
        </is>
      </c>
      <c r="B1713" s="7" t="n">
        <v>46153</v>
      </c>
      <c r="C1713" t="inlineStr">
        <is>
          <t>CR-101</t>
        </is>
      </c>
      <c r="D1713" t="inlineStr">
        <is>
          <t>ISO 7</t>
        </is>
      </c>
      <c r="E1713" t="inlineStr">
        <is>
          <t>Surface contact</t>
        </is>
      </c>
      <c r="F1713" t="n">
        <v>1</v>
      </c>
      <c r="G1713" t="inlineStr">
        <is>
          <t>Tech D</t>
        </is>
      </c>
      <c r="H1713">
        <f>INDEX(Limits!$B$2:$B$5,MATCH(E1713,Limits!$A$2:$A$5,0))</f>
        <v/>
      </c>
      <c r="I1713">
        <f>INDEX(Limits!$C$2:$C$5,MATCH(E1713,Limits!$A$2:$A$5,0))</f>
        <v/>
      </c>
      <c r="J1713">
        <f>IF(F1713&gt;=I1713,"Action",IF(F1713&gt;=H1713,"Alert","Pass"))</f>
        <v/>
      </c>
      <c r="K1713" s="4">
        <f>DATE(YEAR(B1713),MONTH(B1713),1)</f>
        <v/>
      </c>
    </row>
    <row r="1714">
      <c r="A1714" t="inlineStr">
        <is>
          <t>EM001713</t>
        </is>
      </c>
      <c r="B1714" s="7" t="n">
        <v>46153</v>
      </c>
      <c r="C1714" t="inlineStr">
        <is>
          <t>CR-101</t>
        </is>
      </c>
      <c r="D1714" t="inlineStr">
        <is>
          <t>ISO 7</t>
        </is>
      </c>
      <c r="E1714" t="inlineStr">
        <is>
          <t>Compressed air</t>
        </is>
      </c>
      <c r="F1714" t="n">
        <v>0</v>
      </c>
      <c r="G1714" t="inlineStr">
        <is>
          <t>Tech C</t>
        </is>
      </c>
      <c r="H1714">
        <f>INDEX(Limits!$B$2:$B$5,MATCH(E1714,Limits!$A$2:$A$5,0))</f>
        <v/>
      </c>
      <c r="I1714">
        <f>INDEX(Limits!$C$2:$C$5,MATCH(E1714,Limits!$A$2:$A$5,0))</f>
        <v/>
      </c>
      <c r="J1714">
        <f>IF(F1714&gt;=I1714,"Action",IF(F1714&gt;=H1714,"Alert","Pass"))</f>
        <v/>
      </c>
      <c r="K1714" s="4">
        <f>DATE(YEAR(B1714),MONTH(B1714),1)</f>
        <v/>
      </c>
    </row>
    <row r="1715">
      <c r="A1715" t="inlineStr">
        <is>
          <t>EM001714</t>
        </is>
      </c>
      <c r="B1715" s="7" t="n">
        <v>46153</v>
      </c>
      <c r="C1715" t="inlineStr">
        <is>
          <t>CR-101</t>
        </is>
      </c>
      <c r="D1715" t="inlineStr">
        <is>
          <t>ISO 7</t>
        </is>
      </c>
      <c r="E1715" t="inlineStr">
        <is>
          <t>Personnel glove</t>
        </is>
      </c>
      <c r="F1715" t="n">
        <v>0</v>
      </c>
      <c r="G1715" t="inlineStr">
        <is>
          <t>Tech A</t>
        </is>
      </c>
      <c r="H1715">
        <f>INDEX(Limits!$B$2:$B$5,MATCH(E1715,Limits!$A$2:$A$5,0))</f>
        <v/>
      </c>
      <c r="I1715">
        <f>INDEX(Limits!$C$2:$C$5,MATCH(E1715,Limits!$A$2:$A$5,0))</f>
        <v/>
      </c>
      <c r="J1715">
        <f>IF(F1715&gt;=I1715,"Action",IF(F1715&gt;=H1715,"Alert","Pass"))</f>
        <v/>
      </c>
      <c r="K1715" s="4">
        <f>DATE(YEAR(B1715),MONTH(B1715),1)</f>
        <v/>
      </c>
    </row>
    <row r="1716">
      <c r="A1716" t="inlineStr">
        <is>
          <t>EM001715</t>
        </is>
      </c>
      <c r="B1716" s="7" t="n">
        <v>46153</v>
      </c>
      <c r="C1716" t="inlineStr">
        <is>
          <t>CR-102</t>
        </is>
      </c>
      <c r="D1716" t="inlineStr">
        <is>
          <t>ISO 7</t>
        </is>
      </c>
      <c r="E1716" t="inlineStr">
        <is>
          <t>Active air</t>
        </is>
      </c>
      <c r="F1716" t="n">
        <v>2</v>
      </c>
      <c r="G1716" t="inlineStr">
        <is>
          <t>Tech D</t>
        </is>
      </c>
      <c r="H1716">
        <f>INDEX(Limits!$B$2:$B$5,MATCH(E1716,Limits!$A$2:$A$5,0))</f>
        <v/>
      </c>
      <c r="I1716">
        <f>INDEX(Limits!$C$2:$C$5,MATCH(E1716,Limits!$A$2:$A$5,0))</f>
        <v/>
      </c>
      <c r="J1716">
        <f>IF(F1716&gt;=I1716,"Action",IF(F1716&gt;=H1716,"Alert","Pass"))</f>
        <v/>
      </c>
      <c r="K1716" s="4">
        <f>DATE(YEAR(B1716),MONTH(B1716),1)</f>
        <v/>
      </c>
    </row>
    <row r="1717">
      <c r="A1717" t="inlineStr">
        <is>
          <t>EM001716</t>
        </is>
      </c>
      <c r="B1717" s="7" t="n">
        <v>46153</v>
      </c>
      <c r="C1717" t="inlineStr">
        <is>
          <t>CR-102</t>
        </is>
      </c>
      <c r="D1717" t="inlineStr">
        <is>
          <t>ISO 7</t>
        </is>
      </c>
      <c r="E1717" t="inlineStr">
        <is>
          <t>Surface contact</t>
        </is>
      </c>
      <c r="F1717" t="n">
        <v>0</v>
      </c>
      <c r="G1717" t="inlineStr">
        <is>
          <t>Tech A</t>
        </is>
      </c>
      <c r="H1717">
        <f>INDEX(Limits!$B$2:$B$5,MATCH(E1717,Limits!$A$2:$A$5,0))</f>
        <v/>
      </c>
      <c r="I1717">
        <f>INDEX(Limits!$C$2:$C$5,MATCH(E1717,Limits!$A$2:$A$5,0))</f>
        <v/>
      </c>
      <c r="J1717">
        <f>IF(F1717&gt;=I1717,"Action",IF(F1717&gt;=H1717,"Alert","Pass"))</f>
        <v/>
      </c>
      <c r="K1717" s="4">
        <f>DATE(YEAR(B1717),MONTH(B1717),1)</f>
        <v/>
      </c>
    </row>
    <row r="1718">
      <c r="A1718" t="inlineStr">
        <is>
          <t>EM001717</t>
        </is>
      </c>
      <c r="B1718" s="7" t="n">
        <v>46153</v>
      </c>
      <c r="C1718" t="inlineStr">
        <is>
          <t>CR-102</t>
        </is>
      </c>
      <c r="D1718" t="inlineStr">
        <is>
          <t>ISO 7</t>
        </is>
      </c>
      <c r="E1718" t="inlineStr">
        <is>
          <t>Compressed air</t>
        </is>
      </c>
      <c r="F1718" t="n">
        <v>0</v>
      </c>
      <c r="G1718" t="inlineStr">
        <is>
          <t>Tech B</t>
        </is>
      </c>
      <c r="H1718">
        <f>INDEX(Limits!$B$2:$B$5,MATCH(E1718,Limits!$A$2:$A$5,0))</f>
        <v/>
      </c>
      <c r="I1718">
        <f>INDEX(Limits!$C$2:$C$5,MATCH(E1718,Limits!$A$2:$A$5,0))</f>
        <v/>
      </c>
      <c r="J1718">
        <f>IF(F1718&gt;=I1718,"Action",IF(F1718&gt;=H1718,"Alert","Pass"))</f>
        <v/>
      </c>
      <c r="K1718" s="4">
        <f>DATE(YEAR(B1718),MONTH(B1718),1)</f>
        <v/>
      </c>
    </row>
    <row r="1719">
      <c r="A1719" t="inlineStr">
        <is>
          <t>EM001718</t>
        </is>
      </c>
      <c r="B1719" s="7" t="n">
        <v>46153</v>
      </c>
      <c r="C1719" t="inlineStr">
        <is>
          <t>CR-102</t>
        </is>
      </c>
      <c r="D1719" t="inlineStr">
        <is>
          <t>ISO 7</t>
        </is>
      </c>
      <c r="E1719" t="inlineStr">
        <is>
          <t>Personnel glove</t>
        </is>
      </c>
      <c r="F1719" t="n">
        <v>0</v>
      </c>
      <c r="G1719" t="inlineStr">
        <is>
          <t>Tech A</t>
        </is>
      </c>
      <c r="H1719">
        <f>INDEX(Limits!$B$2:$B$5,MATCH(E1719,Limits!$A$2:$A$5,0))</f>
        <v/>
      </c>
      <c r="I1719">
        <f>INDEX(Limits!$C$2:$C$5,MATCH(E1719,Limits!$A$2:$A$5,0))</f>
        <v/>
      </c>
      <c r="J1719">
        <f>IF(F1719&gt;=I1719,"Action",IF(F1719&gt;=H1719,"Alert","Pass"))</f>
        <v/>
      </c>
      <c r="K1719" s="4">
        <f>DATE(YEAR(B1719),MONTH(B1719),1)</f>
        <v/>
      </c>
    </row>
    <row r="1720">
      <c r="A1720" t="inlineStr">
        <is>
          <t>EM001719</t>
        </is>
      </c>
      <c r="B1720" s="7" t="n">
        <v>46153</v>
      </c>
      <c r="C1720" t="inlineStr">
        <is>
          <t>CR-201</t>
        </is>
      </c>
      <c r="D1720" t="inlineStr">
        <is>
          <t>ISO 8</t>
        </is>
      </c>
      <c r="E1720" t="inlineStr">
        <is>
          <t>Active air</t>
        </is>
      </c>
      <c r="F1720" t="n">
        <v>1</v>
      </c>
      <c r="G1720" t="inlineStr">
        <is>
          <t>Tech A</t>
        </is>
      </c>
      <c r="H1720">
        <f>INDEX(Limits!$B$2:$B$5,MATCH(E1720,Limits!$A$2:$A$5,0))</f>
        <v/>
      </c>
      <c r="I1720">
        <f>INDEX(Limits!$C$2:$C$5,MATCH(E1720,Limits!$A$2:$A$5,0))</f>
        <v/>
      </c>
      <c r="J1720">
        <f>IF(F1720&gt;=I1720,"Action",IF(F1720&gt;=H1720,"Alert","Pass"))</f>
        <v/>
      </c>
      <c r="K1720" s="4">
        <f>DATE(YEAR(B1720),MONTH(B1720),1)</f>
        <v/>
      </c>
    </row>
    <row r="1721">
      <c r="A1721" t="inlineStr">
        <is>
          <t>EM001720</t>
        </is>
      </c>
      <c r="B1721" s="7" t="n">
        <v>46153</v>
      </c>
      <c r="C1721" t="inlineStr">
        <is>
          <t>CR-201</t>
        </is>
      </c>
      <c r="D1721" t="inlineStr">
        <is>
          <t>ISO 8</t>
        </is>
      </c>
      <c r="E1721" t="inlineStr">
        <is>
          <t>Surface contact</t>
        </is>
      </c>
      <c r="F1721" t="n">
        <v>1</v>
      </c>
      <c r="G1721" t="inlineStr">
        <is>
          <t>Tech D</t>
        </is>
      </c>
      <c r="H1721">
        <f>INDEX(Limits!$B$2:$B$5,MATCH(E1721,Limits!$A$2:$A$5,0))</f>
        <v/>
      </c>
      <c r="I1721">
        <f>INDEX(Limits!$C$2:$C$5,MATCH(E1721,Limits!$A$2:$A$5,0))</f>
        <v/>
      </c>
      <c r="J1721">
        <f>IF(F1721&gt;=I1721,"Action",IF(F1721&gt;=H1721,"Alert","Pass"))</f>
        <v/>
      </c>
      <c r="K1721" s="4">
        <f>DATE(YEAR(B1721),MONTH(B1721),1)</f>
        <v/>
      </c>
    </row>
    <row r="1722">
      <c r="A1722" t="inlineStr">
        <is>
          <t>EM001721</t>
        </is>
      </c>
      <c r="B1722" s="7" t="n">
        <v>46153</v>
      </c>
      <c r="C1722" t="inlineStr">
        <is>
          <t>CR-201</t>
        </is>
      </c>
      <c r="D1722" t="inlineStr">
        <is>
          <t>ISO 8</t>
        </is>
      </c>
      <c r="E1722" t="inlineStr">
        <is>
          <t>Compressed air</t>
        </is>
      </c>
      <c r="F1722" t="n">
        <v>0</v>
      </c>
      <c r="G1722" t="inlineStr">
        <is>
          <t>Tech A</t>
        </is>
      </c>
      <c r="H1722">
        <f>INDEX(Limits!$B$2:$B$5,MATCH(E1722,Limits!$A$2:$A$5,0))</f>
        <v/>
      </c>
      <c r="I1722">
        <f>INDEX(Limits!$C$2:$C$5,MATCH(E1722,Limits!$A$2:$A$5,0))</f>
        <v/>
      </c>
      <c r="J1722">
        <f>IF(F1722&gt;=I1722,"Action",IF(F1722&gt;=H1722,"Alert","Pass"))</f>
        <v/>
      </c>
      <c r="K1722" s="4">
        <f>DATE(YEAR(B1722),MONTH(B1722),1)</f>
        <v/>
      </c>
    </row>
    <row r="1723">
      <c r="A1723" t="inlineStr">
        <is>
          <t>EM001722</t>
        </is>
      </c>
      <c r="B1723" s="7" t="n">
        <v>46153</v>
      </c>
      <c r="C1723" t="inlineStr">
        <is>
          <t>CR-201</t>
        </is>
      </c>
      <c r="D1723" t="inlineStr">
        <is>
          <t>ISO 8</t>
        </is>
      </c>
      <c r="E1723" t="inlineStr">
        <is>
          <t>Personnel glove</t>
        </is>
      </c>
      <c r="F1723" t="n">
        <v>0</v>
      </c>
      <c r="G1723" t="inlineStr">
        <is>
          <t>Tech C</t>
        </is>
      </c>
      <c r="H1723">
        <f>INDEX(Limits!$B$2:$B$5,MATCH(E1723,Limits!$A$2:$A$5,0))</f>
        <v/>
      </c>
      <c r="I1723">
        <f>INDEX(Limits!$C$2:$C$5,MATCH(E1723,Limits!$A$2:$A$5,0))</f>
        <v/>
      </c>
      <c r="J1723">
        <f>IF(F1723&gt;=I1723,"Action",IF(F1723&gt;=H1723,"Alert","Pass"))</f>
        <v/>
      </c>
      <c r="K1723" s="4">
        <f>DATE(YEAR(B1723),MONTH(B1723),1)</f>
        <v/>
      </c>
    </row>
    <row r="1724">
      <c r="A1724" t="inlineStr">
        <is>
          <t>EM001723</t>
        </is>
      </c>
      <c r="B1724" s="7" t="n">
        <v>46153</v>
      </c>
      <c r="C1724" t="inlineStr">
        <is>
          <t>CR-202</t>
        </is>
      </c>
      <c r="D1724" t="inlineStr">
        <is>
          <t>ISO 8</t>
        </is>
      </c>
      <c r="E1724" t="inlineStr">
        <is>
          <t>Active air</t>
        </is>
      </c>
      <c r="F1724" t="n">
        <v>2</v>
      </c>
      <c r="G1724" t="inlineStr">
        <is>
          <t>Tech B</t>
        </is>
      </c>
      <c r="H1724">
        <f>INDEX(Limits!$B$2:$B$5,MATCH(E1724,Limits!$A$2:$A$5,0))</f>
        <v/>
      </c>
      <c r="I1724">
        <f>INDEX(Limits!$C$2:$C$5,MATCH(E1724,Limits!$A$2:$A$5,0))</f>
        <v/>
      </c>
      <c r="J1724">
        <f>IF(F1724&gt;=I1724,"Action",IF(F1724&gt;=H1724,"Alert","Pass"))</f>
        <v/>
      </c>
      <c r="K1724" s="4">
        <f>DATE(YEAR(B1724),MONTH(B1724),1)</f>
        <v/>
      </c>
    </row>
    <row r="1725">
      <c r="A1725" t="inlineStr">
        <is>
          <t>EM001724</t>
        </is>
      </c>
      <c r="B1725" s="7" t="n">
        <v>46153</v>
      </c>
      <c r="C1725" t="inlineStr">
        <is>
          <t>CR-202</t>
        </is>
      </c>
      <c r="D1725" t="inlineStr">
        <is>
          <t>ISO 8</t>
        </is>
      </c>
      <c r="E1725" t="inlineStr">
        <is>
          <t>Surface contact</t>
        </is>
      </c>
      <c r="F1725" t="n">
        <v>0</v>
      </c>
      <c r="G1725" t="inlineStr">
        <is>
          <t>Tech C</t>
        </is>
      </c>
      <c r="H1725">
        <f>INDEX(Limits!$B$2:$B$5,MATCH(E1725,Limits!$A$2:$A$5,0))</f>
        <v/>
      </c>
      <c r="I1725">
        <f>INDEX(Limits!$C$2:$C$5,MATCH(E1725,Limits!$A$2:$A$5,0))</f>
        <v/>
      </c>
      <c r="J1725">
        <f>IF(F1725&gt;=I1725,"Action",IF(F1725&gt;=H1725,"Alert","Pass"))</f>
        <v/>
      </c>
      <c r="K1725" s="4">
        <f>DATE(YEAR(B1725),MONTH(B1725),1)</f>
        <v/>
      </c>
    </row>
    <row r="1726">
      <c r="A1726" t="inlineStr">
        <is>
          <t>EM001725</t>
        </is>
      </c>
      <c r="B1726" s="7" t="n">
        <v>46153</v>
      </c>
      <c r="C1726" t="inlineStr">
        <is>
          <t>CR-202</t>
        </is>
      </c>
      <c r="D1726" t="inlineStr">
        <is>
          <t>ISO 8</t>
        </is>
      </c>
      <c r="E1726" t="inlineStr">
        <is>
          <t>Compressed air</t>
        </is>
      </c>
      <c r="F1726" t="n">
        <v>0</v>
      </c>
      <c r="G1726" t="inlineStr">
        <is>
          <t>Tech B</t>
        </is>
      </c>
      <c r="H1726">
        <f>INDEX(Limits!$B$2:$B$5,MATCH(E1726,Limits!$A$2:$A$5,0))</f>
        <v/>
      </c>
      <c r="I1726">
        <f>INDEX(Limits!$C$2:$C$5,MATCH(E1726,Limits!$A$2:$A$5,0))</f>
        <v/>
      </c>
      <c r="J1726">
        <f>IF(F1726&gt;=I1726,"Action",IF(F1726&gt;=H1726,"Alert","Pass"))</f>
        <v/>
      </c>
      <c r="K1726" s="4">
        <f>DATE(YEAR(B1726),MONTH(B1726),1)</f>
        <v/>
      </c>
    </row>
    <row r="1727">
      <c r="A1727" t="inlineStr">
        <is>
          <t>EM001726</t>
        </is>
      </c>
      <c r="B1727" s="7" t="n">
        <v>46153</v>
      </c>
      <c r="C1727" t="inlineStr">
        <is>
          <t>CR-202</t>
        </is>
      </c>
      <c r="D1727" t="inlineStr">
        <is>
          <t>ISO 8</t>
        </is>
      </c>
      <c r="E1727" t="inlineStr">
        <is>
          <t>Personnel glove</t>
        </is>
      </c>
      <c r="F1727" t="n">
        <v>0</v>
      </c>
      <c r="G1727" t="inlineStr">
        <is>
          <t>Tech D</t>
        </is>
      </c>
      <c r="H1727">
        <f>INDEX(Limits!$B$2:$B$5,MATCH(E1727,Limits!$A$2:$A$5,0))</f>
        <v/>
      </c>
      <c r="I1727">
        <f>INDEX(Limits!$C$2:$C$5,MATCH(E1727,Limits!$A$2:$A$5,0))</f>
        <v/>
      </c>
      <c r="J1727">
        <f>IF(F1727&gt;=I1727,"Action",IF(F1727&gt;=H1727,"Alert","Pass"))</f>
        <v/>
      </c>
      <c r="K1727" s="4">
        <f>DATE(YEAR(B1727),MONTH(B1727),1)</f>
        <v/>
      </c>
    </row>
    <row r="1728">
      <c r="A1728" t="inlineStr">
        <is>
          <t>EM001727</t>
        </is>
      </c>
      <c r="B1728" s="7" t="n">
        <v>46153</v>
      </c>
      <c r="C1728" t="inlineStr">
        <is>
          <t>Gowning</t>
        </is>
      </c>
      <c r="D1728" t="inlineStr">
        <is>
          <t>ISO 8</t>
        </is>
      </c>
      <c r="E1728" t="inlineStr">
        <is>
          <t>Active air</t>
        </is>
      </c>
      <c r="F1728" t="n">
        <v>1</v>
      </c>
      <c r="G1728" t="inlineStr">
        <is>
          <t>Tech A</t>
        </is>
      </c>
      <c r="H1728">
        <f>INDEX(Limits!$B$2:$B$5,MATCH(E1728,Limits!$A$2:$A$5,0))</f>
        <v/>
      </c>
      <c r="I1728">
        <f>INDEX(Limits!$C$2:$C$5,MATCH(E1728,Limits!$A$2:$A$5,0))</f>
        <v/>
      </c>
      <c r="J1728">
        <f>IF(F1728&gt;=I1728,"Action",IF(F1728&gt;=H1728,"Alert","Pass"))</f>
        <v/>
      </c>
      <c r="K1728" s="4">
        <f>DATE(YEAR(B1728),MONTH(B1728),1)</f>
        <v/>
      </c>
    </row>
    <row r="1729">
      <c r="A1729" t="inlineStr">
        <is>
          <t>EM001728</t>
        </is>
      </c>
      <c r="B1729" s="7" t="n">
        <v>46153</v>
      </c>
      <c r="C1729" t="inlineStr">
        <is>
          <t>Gowning</t>
        </is>
      </c>
      <c r="D1729" t="inlineStr">
        <is>
          <t>ISO 8</t>
        </is>
      </c>
      <c r="E1729" t="inlineStr">
        <is>
          <t>Surface contact</t>
        </is>
      </c>
      <c r="F1729" t="n">
        <v>1</v>
      </c>
      <c r="G1729" t="inlineStr">
        <is>
          <t>Tech B</t>
        </is>
      </c>
      <c r="H1729">
        <f>INDEX(Limits!$B$2:$B$5,MATCH(E1729,Limits!$A$2:$A$5,0))</f>
        <v/>
      </c>
      <c r="I1729">
        <f>INDEX(Limits!$C$2:$C$5,MATCH(E1729,Limits!$A$2:$A$5,0))</f>
        <v/>
      </c>
      <c r="J1729">
        <f>IF(F1729&gt;=I1729,"Action",IF(F1729&gt;=H1729,"Alert","Pass"))</f>
        <v/>
      </c>
      <c r="K1729" s="4">
        <f>DATE(YEAR(B1729),MONTH(B1729),1)</f>
        <v/>
      </c>
    </row>
    <row r="1730">
      <c r="A1730" t="inlineStr">
        <is>
          <t>EM001729</t>
        </is>
      </c>
      <c r="B1730" s="7" t="n">
        <v>46153</v>
      </c>
      <c r="C1730" t="inlineStr">
        <is>
          <t>Gowning</t>
        </is>
      </c>
      <c r="D1730" t="inlineStr">
        <is>
          <t>ISO 8</t>
        </is>
      </c>
      <c r="E1730" t="inlineStr">
        <is>
          <t>Personnel glove</t>
        </is>
      </c>
      <c r="F1730" t="n">
        <v>0</v>
      </c>
      <c r="G1730" t="inlineStr">
        <is>
          <t>Tech C</t>
        </is>
      </c>
      <c r="H1730">
        <f>INDEX(Limits!$B$2:$B$5,MATCH(E1730,Limits!$A$2:$A$5,0))</f>
        <v/>
      </c>
      <c r="I1730">
        <f>INDEX(Limits!$C$2:$C$5,MATCH(E1730,Limits!$A$2:$A$5,0))</f>
        <v/>
      </c>
      <c r="J1730">
        <f>IF(F1730&gt;=I1730,"Action",IF(F1730&gt;=H1730,"Alert","Pass"))</f>
        <v/>
      </c>
      <c r="K1730" s="4">
        <f>DATE(YEAR(B1730),MONTH(B1730),1)</f>
        <v/>
      </c>
    </row>
    <row r="1731">
      <c r="A1731" t="inlineStr">
        <is>
          <t>EM001730</t>
        </is>
      </c>
      <c r="B1731" s="7" t="n">
        <v>46154</v>
      </c>
      <c r="C1731" t="inlineStr">
        <is>
          <t>CR-101</t>
        </is>
      </c>
      <c r="D1731" t="inlineStr">
        <is>
          <t>ISO 7</t>
        </is>
      </c>
      <c r="E1731" t="inlineStr">
        <is>
          <t>Active air</t>
        </is>
      </c>
      <c r="F1731" t="n">
        <v>1</v>
      </c>
      <c r="G1731" t="inlineStr">
        <is>
          <t>Tech B</t>
        </is>
      </c>
      <c r="H1731">
        <f>INDEX(Limits!$B$2:$B$5,MATCH(E1731,Limits!$A$2:$A$5,0))</f>
        <v/>
      </c>
      <c r="I1731">
        <f>INDEX(Limits!$C$2:$C$5,MATCH(E1731,Limits!$A$2:$A$5,0))</f>
        <v/>
      </c>
      <c r="J1731">
        <f>IF(F1731&gt;=I1731,"Action",IF(F1731&gt;=H1731,"Alert","Pass"))</f>
        <v/>
      </c>
      <c r="K1731" s="4">
        <f>DATE(YEAR(B1731),MONTH(B1731),1)</f>
        <v/>
      </c>
    </row>
    <row r="1732">
      <c r="A1732" t="inlineStr">
        <is>
          <t>EM001731</t>
        </is>
      </c>
      <c r="B1732" s="7" t="n">
        <v>46154</v>
      </c>
      <c r="C1732" t="inlineStr">
        <is>
          <t>CR-101</t>
        </is>
      </c>
      <c r="D1732" t="inlineStr">
        <is>
          <t>ISO 7</t>
        </is>
      </c>
      <c r="E1732" t="inlineStr">
        <is>
          <t>Surface contact</t>
        </is>
      </c>
      <c r="F1732" t="n">
        <v>0</v>
      </c>
      <c r="G1732" t="inlineStr">
        <is>
          <t>Tech B</t>
        </is>
      </c>
      <c r="H1732">
        <f>INDEX(Limits!$B$2:$B$5,MATCH(E1732,Limits!$A$2:$A$5,0))</f>
        <v/>
      </c>
      <c r="I1732">
        <f>INDEX(Limits!$C$2:$C$5,MATCH(E1732,Limits!$A$2:$A$5,0))</f>
        <v/>
      </c>
      <c r="J1732">
        <f>IF(F1732&gt;=I1732,"Action",IF(F1732&gt;=H1732,"Alert","Pass"))</f>
        <v/>
      </c>
      <c r="K1732" s="4">
        <f>DATE(YEAR(B1732),MONTH(B1732),1)</f>
        <v/>
      </c>
    </row>
    <row r="1733">
      <c r="A1733" t="inlineStr">
        <is>
          <t>EM001732</t>
        </is>
      </c>
      <c r="B1733" s="7" t="n">
        <v>46154</v>
      </c>
      <c r="C1733" t="inlineStr">
        <is>
          <t>CR-101</t>
        </is>
      </c>
      <c r="D1733" t="inlineStr">
        <is>
          <t>ISO 7</t>
        </is>
      </c>
      <c r="E1733" t="inlineStr">
        <is>
          <t>Compressed air</t>
        </is>
      </c>
      <c r="F1733" t="n">
        <v>0</v>
      </c>
      <c r="G1733" t="inlineStr">
        <is>
          <t>Tech C</t>
        </is>
      </c>
      <c r="H1733">
        <f>INDEX(Limits!$B$2:$B$5,MATCH(E1733,Limits!$A$2:$A$5,0))</f>
        <v/>
      </c>
      <c r="I1733">
        <f>INDEX(Limits!$C$2:$C$5,MATCH(E1733,Limits!$A$2:$A$5,0))</f>
        <v/>
      </c>
      <c r="J1733">
        <f>IF(F1733&gt;=I1733,"Action",IF(F1733&gt;=H1733,"Alert","Pass"))</f>
        <v/>
      </c>
      <c r="K1733" s="4">
        <f>DATE(YEAR(B1733),MONTH(B1733),1)</f>
        <v/>
      </c>
    </row>
    <row r="1734">
      <c r="A1734" t="inlineStr">
        <is>
          <t>EM001733</t>
        </is>
      </c>
      <c r="B1734" s="7" t="n">
        <v>46154</v>
      </c>
      <c r="C1734" t="inlineStr">
        <is>
          <t>CR-101</t>
        </is>
      </c>
      <c r="D1734" t="inlineStr">
        <is>
          <t>ISO 7</t>
        </is>
      </c>
      <c r="E1734" t="inlineStr">
        <is>
          <t>Personnel glove</t>
        </is>
      </c>
      <c r="F1734" t="n">
        <v>0</v>
      </c>
      <c r="G1734" t="inlineStr">
        <is>
          <t>Tech A</t>
        </is>
      </c>
      <c r="H1734">
        <f>INDEX(Limits!$B$2:$B$5,MATCH(E1734,Limits!$A$2:$A$5,0))</f>
        <v/>
      </c>
      <c r="I1734">
        <f>INDEX(Limits!$C$2:$C$5,MATCH(E1734,Limits!$A$2:$A$5,0))</f>
        <v/>
      </c>
      <c r="J1734">
        <f>IF(F1734&gt;=I1734,"Action",IF(F1734&gt;=H1734,"Alert","Pass"))</f>
        <v/>
      </c>
      <c r="K1734" s="4">
        <f>DATE(YEAR(B1734),MONTH(B1734),1)</f>
        <v/>
      </c>
    </row>
    <row r="1735">
      <c r="A1735" t="inlineStr">
        <is>
          <t>EM001734</t>
        </is>
      </c>
      <c r="B1735" s="7" t="n">
        <v>46154</v>
      </c>
      <c r="C1735" t="inlineStr">
        <is>
          <t>CR-102</t>
        </is>
      </c>
      <c r="D1735" t="inlineStr">
        <is>
          <t>ISO 7</t>
        </is>
      </c>
      <c r="E1735" t="inlineStr">
        <is>
          <t>Active air</t>
        </is>
      </c>
      <c r="F1735" t="n">
        <v>0</v>
      </c>
      <c r="G1735" t="inlineStr">
        <is>
          <t>Tech B</t>
        </is>
      </c>
      <c r="H1735">
        <f>INDEX(Limits!$B$2:$B$5,MATCH(E1735,Limits!$A$2:$A$5,0))</f>
        <v/>
      </c>
      <c r="I1735">
        <f>INDEX(Limits!$C$2:$C$5,MATCH(E1735,Limits!$A$2:$A$5,0))</f>
        <v/>
      </c>
      <c r="J1735">
        <f>IF(F1735&gt;=I1735,"Action",IF(F1735&gt;=H1735,"Alert","Pass"))</f>
        <v/>
      </c>
      <c r="K1735" s="4">
        <f>DATE(YEAR(B1735),MONTH(B1735),1)</f>
        <v/>
      </c>
    </row>
    <row r="1736">
      <c r="A1736" t="inlineStr">
        <is>
          <t>EM001735</t>
        </is>
      </c>
      <c r="B1736" s="7" t="n">
        <v>46154</v>
      </c>
      <c r="C1736" t="inlineStr">
        <is>
          <t>CR-102</t>
        </is>
      </c>
      <c r="D1736" t="inlineStr">
        <is>
          <t>ISO 7</t>
        </is>
      </c>
      <c r="E1736" t="inlineStr">
        <is>
          <t>Surface contact</t>
        </is>
      </c>
      <c r="F1736" t="n">
        <v>0</v>
      </c>
      <c r="G1736" t="inlineStr">
        <is>
          <t>Tech A</t>
        </is>
      </c>
      <c r="H1736">
        <f>INDEX(Limits!$B$2:$B$5,MATCH(E1736,Limits!$A$2:$A$5,0))</f>
        <v/>
      </c>
      <c r="I1736">
        <f>INDEX(Limits!$C$2:$C$5,MATCH(E1736,Limits!$A$2:$A$5,0))</f>
        <v/>
      </c>
      <c r="J1736">
        <f>IF(F1736&gt;=I1736,"Action",IF(F1736&gt;=H1736,"Alert","Pass"))</f>
        <v/>
      </c>
      <c r="K1736" s="4">
        <f>DATE(YEAR(B1736),MONTH(B1736),1)</f>
        <v/>
      </c>
    </row>
    <row r="1737">
      <c r="A1737" t="inlineStr">
        <is>
          <t>EM001736</t>
        </is>
      </c>
      <c r="B1737" s="7" t="n">
        <v>46154</v>
      </c>
      <c r="C1737" t="inlineStr">
        <is>
          <t>CR-102</t>
        </is>
      </c>
      <c r="D1737" t="inlineStr">
        <is>
          <t>ISO 7</t>
        </is>
      </c>
      <c r="E1737" t="inlineStr">
        <is>
          <t>Compressed air</t>
        </is>
      </c>
      <c r="F1737" t="n">
        <v>0</v>
      </c>
      <c r="G1737" t="inlineStr">
        <is>
          <t>Tech D</t>
        </is>
      </c>
      <c r="H1737">
        <f>INDEX(Limits!$B$2:$B$5,MATCH(E1737,Limits!$A$2:$A$5,0))</f>
        <v/>
      </c>
      <c r="I1737">
        <f>INDEX(Limits!$C$2:$C$5,MATCH(E1737,Limits!$A$2:$A$5,0))</f>
        <v/>
      </c>
      <c r="J1737">
        <f>IF(F1737&gt;=I1737,"Action",IF(F1737&gt;=H1737,"Alert","Pass"))</f>
        <v/>
      </c>
      <c r="K1737" s="4">
        <f>DATE(YEAR(B1737),MONTH(B1737),1)</f>
        <v/>
      </c>
    </row>
    <row r="1738">
      <c r="A1738" t="inlineStr">
        <is>
          <t>EM001737</t>
        </is>
      </c>
      <c r="B1738" s="7" t="n">
        <v>46154</v>
      </c>
      <c r="C1738" t="inlineStr">
        <is>
          <t>CR-102</t>
        </is>
      </c>
      <c r="D1738" t="inlineStr">
        <is>
          <t>ISO 7</t>
        </is>
      </c>
      <c r="E1738" t="inlineStr">
        <is>
          <t>Personnel glove</t>
        </is>
      </c>
      <c r="F1738" t="n">
        <v>0</v>
      </c>
      <c r="G1738" t="inlineStr">
        <is>
          <t>Tech D</t>
        </is>
      </c>
      <c r="H1738">
        <f>INDEX(Limits!$B$2:$B$5,MATCH(E1738,Limits!$A$2:$A$5,0))</f>
        <v/>
      </c>
      <c r="I1738">
        <f>INDEX(Limits!$C$2:$C$5,MATCH(E1738,Limits!$A$2:$A$5,0))</f>
        <v/>
      </c>
      <c r="J1738">
        <f>IF(F1738&gt;=I1738,"Action",IF(F1738&gt;=H1738,"Alert","Pass"))</f>
        <v/>
      </c>
      <c r="K1738" s="4">
        <f>DATE(YEAR(B1738),MONTH(B1738),1)</f>
        <v/>
      </c>
    </row>
    <row r="1739">
      <c r="A1739" t="inlineStr">
        <is>
          <t>EM001738</t>
        </is>
      </c>
      <c r="B1739" s="7" t="n">
        <v>46154</v>
      </c>
      <c r="C1739" t="inlineStr">
        <is>
          <t>CR-201</t>
        </is>
      </c>
      <c r="D1739" t="inlineStr">
        <is>
          <t>ISO 8</t>
        </is>
      </c>
      <c r="E1739" t="inlineStr">
        <is>
          <t>Active air</t>
        </is>
      </c>
      <c r="F1739" t="n">
        <v>3</v>
      </c>
      <c r="G1739" t="inlineStr">
        <is>
          <t>Tech A</t>
        </is>
      </c>
      <c r="H1739">
        <f>INDEX(Limits!$B$2:$B$5,MATCH(E1739,Limits!$A$2:$A$5,0))</f>
        <v/>
      </c>
      <c r="I1739">
        <f>INDEX(Limits!$C$2:$C$5,MATCH(E1739,Limits!$A$2:$A$5,0))</f>
        <v/>
      </c>
      <c r="J1739">
        <f>IF(F1739&gt;=I1739,"Action",IF(F1739&gt;=H1739,"Alert","Pass"))</f>
        <v/>
      </c>
      <c r="K1739" s="4">
        <f>DATE(YEAR(B1739),MONTH(B1739),1)</f>
        <v/>
      </c>
    </row>
    <row r="1740">
      <c r="A1740" t="inlineStr">
        <is>
          <t>EM001739</t>
        </is>
      </c>
      <c r="B1740" s="7" t="n">
        <v>46154</v>
      </c>
      <c r="C1740" t="inlineStr">
        <is>
          <t>CR-201</t>
        </is>
      </c>
      <c r="D1740" t="inlineStr">
        <is>
          <t>ISO 8</t>
        </is>
      </c>
      <c r="E1740" t="inlineStr">
        <is>
          <t>Surface contact</t>
        </is>
      </c>
      <c r="F1740" t="n">
        <v>0</v>
      </c>
      <c r="G1740" t="inlineStr">
        <is>
          <t>Tech A</t>
        </is>
      </c>
      <c r="H1740">
        <f>INDEX(Limits!$B$2:$B$5,MATCH(E1740,Limits!$A$2:$A$5,0))</f>
        <v/>
      </c>
      <c r="I1740">
        <f>INDEX(Limits!$C$2:$C$5,MATCH(E1740,Limits!$A$2:$A$5,0))</f>
        <v/>
      </c>
      <c r="J1740">
        <f>IF(F1740&gt;=I1740,"Action",IF(F1740&gt;=H1740,"Alert","Pass"))</f>
        <v/>
      </c>
      <c r="K1740" s="4">
        <f>DATE(YEAR(B1740),MONTH(B1740),1)</f>
        <v/>
      </c>
    </row>
    <row r="1741">
      <c r="A1741" t="inlineStr">
        <is>
          <t>EM001740</t>
        </is>
      </c>
      <c r="B1741" s="7" t="n">
        <v>46154</v>
      </c>
      <c r="C1741" t="inlineStr">
        <is>
          <t>CR-201</t>
        </is>
      </c>
      <c r="D1741" t="inlineStr">
        <is>
          <t>ISO 8</t>
        </is>
      </c>
      <c r="E1741" t="inlineStr">
        <is>
          <t>Compressed air</t>
        </is>
      </c>
      <c r="F1741" t="n">
        <v>0</v>
      </c>
      <c r="G1741" t="inlineStr">
        <is>
          <t>Tech A</t>
        </is>
      </c>
      <c r="H1741">
        <f>INDEX(Limits!$B$2:$B$5,MATCH(E1741,Limits!$A$2:$A$5,0))</f>
        <v/>
      </c>
      <c r="I1741">
        <f>INDEX(Limits!$C$2:$C$5,MATCH(E1741,Limits!$A$2:$A$5,0))</f>
        <v/>
      </c>
      <c r="J1741">
        <f>IF(F1741&gt;=I1741,"Action",IF(F1741&gt;=H1741,"Alert","Pass"))</f>
        <v/>
      </c>
      <c r="K1741" s="4">
        <f>DATE(YEAR(B1741),MONTH(B1741),1)</f>
        <v/>
      </c>
    </row>
    <row r="1742">
      <c r="A1742" t="inlineStr">
        <is>
          <t>EM001741</t>
        </is>
      </c>
      <c r="B1742" s="7" t="n">
        <v>46154</v>
      </c>
      <c r="C1742" t="inlineStr">
        <is>
          <t>CR-201</t>
        </is>
      </c>
      <c r="D1742" t="inlineStr">
        <is>
          <t>ISO 8</t>
        </is>
      </c>
      <c r="E1742" t="inlineStr">
        <is>
          <t>Personnel glove</t>
        </is>
      </c>
      <c r="F1742" t="n">
        <v>0</v>
      </c>
      <c r="G1742" t="inlineStr">
        <is>
          <t>Tech C</t>
        </is>
      </c>
      <c r="H1742">
        <f>INDEX(Limits!$B$2:$B$5,MATCH(E1742,Limits!$A$2:$A$5,0))</f>
        <v/>
      </c>
      <c r="I1742">
        <f>INDEX(Limits!$C$2:$C$5,MATCH(E1742,Limits!$A$2:$A$5,0))</f>
        <v/>
      </c>
      <c r="J1742">
        <f>IF(F1742&gt;=I1742,"Action",IF(F1742&gt;=H1742,"Alert","Pass"))</f>
        <v/>
      </c>
      <c r="K1742" s="4">
        <f>DATE(YEAR(B1742),MONTH(B1742),1)</f>
        <v/>
      </c>
    </row>
    <row r="1743">
      <c r="A1743" t="inlineStr">
        <is>
          <t>EM001742</t>
        </is>
      </c>
      <c r="B1743" s="7" t="n">
        <v>46154</v>
      </c>
      <c r="C1743" t="inlineStr">
        <is>
          <t>CR-202</t>
        </is>
      </c>
      <c r="D1743" t="inlineStr">
        <is>
          <t>ISO 8</t>
        </is>
      </c>
      <c r="E1743" t="inlineStr">
        <is>
          <t>Active air</t>
        </is>
      </c>
      <c r="F1743" t="n">
        <v>1</v>
      </c>
      <c r="G1743" t="inlineStr">
        <is>
          <t>Tech B</t>
        </is>
      </c>
      <c r="H1743">
        <f>INDEX(Limits!$B$2:$B$5,MATCH(E1743,Limits!$A$2:$A$5,0))</f>
        <v/>
      </c>
      <c r="I1743">
        <f>INDEX(Limits!$C$2:$C$5,MATCH(E1743,Limits!$A$2:$A$5,0))</f>
        <v/>
      </c>
      <c r="J1743">
        <f>IF(F1743&gt;=I1743,"Action",IF(F1743&gt;=H1743,"Alert","Pass"))</f>
        <v/>
      </c>
      <c r="K1743" s="4">
        <f>DATE(YEAR(B1743),MONTH(B1743),1)</f>
        <v/>
      </c>
    </row>
    <row r="1744">
      <c r="A1744" t="inlineStr">
        <is>
          <t>EM001743</t>
        </is>
      </c>
      <c r="B1744" s="7" t="n">
        <v>46154</v>
      </c>
      <c r="C1744" t="inlineStr">
        <is>
          <t>CR-202</t>
        </is>
      </c>
      <c r="D1744" t="inlineStr">
        <is>
          <t>ISO 8</t>
        </is>
      </c>
      <c r="E1744" t="inlineStr">
        <is>
          <t>Surface contact</t>
        </is>
      </c>
      <c r="F1744" t="n">
        <v>0</v>
      </c>
      <c r="G1744" t="inlineStr">
        <is>
          <t>Tech C</t>
        </is>
      </c>
      <c r="H1744">
        <f>INDEX(Limits!$B$2:$B$5,MATCH(E1744,Limits!$A$2:$A$5,0))</f>
        <v/>
      </c>
      <c r="I1744">
        <f>INDEX(Limits!$C$2:$C$5,MATCH(E1744,Limits!$A$2:$A$5,0))</f>
        <v/>
      </c>
      <c r="J1744">
        <f>IF(F1744&gt;=I1744,"Action",IF(F1744&gt;=H1744,"Alert","Pass"))</f>
        <v/>
      </c>
      <c r="K1744" s="4">
        <f>DATE(YEAR(B1744),MONTH(B1744),1)</f>
        <v/>
      </c>
    </row>
    <row r="1745">
      <c r="A1745" t="inlineStr">
        <is>
          <t>EM001744</t>
        </is>
      </c>
      <c r="B1745" s="7" t="n">
        <v>46154</v>
      </c>
      <c r="C1745" t="inlineStr">
        <is>
          <t>CR-202</t>
        </is>
      </c>
      <c r="D1745" t="inlineStr">
        <is>
          <t>ISO 8</t>
        </is>
      </c>
      <c r="E1745" t="inlineStr">
        <is>
          <t>Compressed air</t>
        </is>
      </c>
      <c r="F1745" t="n">
        <v>0</v>
      </c>
      <c r="G1745" t="inlineStr">
        <is>
          <t>Tech C</t>
        </is>
      </c>
      <c r="H1745">
        <f>INDEX(Limits!$B$2:$B$5,MATCH(E1745,Limits!$A$2:$A$5,0))</f>
        <v/>
      </c>
      <c r="I1745">
        <f>INDEX(Limits!$C$2:$C$5,MATCH(E1745,Limits!$A$2:$A$5,0))</f>
        <v/>
      </c>
      <c r="J1745">
        <f>IF(F1745&gt;=I1745,"Action",IF(F1745&gt;=H1745,"Alert","Pass"))</f>
        <v/>
      </c>
      <c r="K1745" s="4">
        <f>DATE(YEAR(B1745),MONTH(B1745),1)</f>
        <v/>
      </c>
    </row>
    <row r="1746">
      <c r="A1746" t="inlineStr">
        <is>
          <t>EM001745</t>
        </is>
      </c>
      <c r="B1746" s="7" t="n">
        <v>46154</v>
      </c>
      <c r="C1746" t="inlineStr">
        <is>
          <t>CR-202</t>
        </is>
      </c>
      <c r="D1746" t="inlineStr">
        <is>
          <t>ISO 8</t>
        </is>
      </c>
      <c r="E1746" t="inlineStr">
        <is>
          <t>Personnel glove</t>
        </is>
      </c>
      <c r="F1746" t="n">
        <v>0</v>
      </c>
      <c r="G1746" t="inlineStr">
        <is>
          <t>Tech D</t>
        </is>
      </c>
      <c r="H1746">
        <f>INDEX(Limits!$B$2:$B$5,MATCH(E1746,Limits!$A$2:$A$5,0))</f>
        <v/>
      </c>
      <c r="I1746">
        <f>INDEX(Limits!$C$2:$C$5,MATCH(E1746,Limits!$A$2:$A$5,0))</f>
        <v/>
      </c>
      <c r="J1746">
        <f>IF(F1746&gt;=I1746,"Action",IF(F1746&gt;=H1746,"Alert","Pass"))</f>
        <v/>
      </c>
      <c r="K1746" s="4">
        <f>DATE(YEAR(B1746),MONTH(B1746),1)</f>
        <v/>
      </c>
    </row>
    <row r="1747">
      <c r="A1747" t="inlineStr">
        <is>
          <t>EM001746</t>
        </is>
      </c>
      <c r="B1747" s="7" t="n">
        <v>46154</v>
      </c>
      <c r="C1747" t="inlineStr">
        <is>
          <t>Gowning</t>
        </is>
      </c>
      <c r="D1747" t="inlineStr">
        <is>
          <t>ISO 8</t>
        </is>
      </c>
      <c r="E1747" t="inlineStr">
        <is>
          <t>Active air</t>
        </is>
      </c>
      <c r="F1747" t="n">
        <v>2</v>
      </c>
      <c r="G1747" t="inlineStr">
        <is>
          <t>Tech A</t>
        </is>
      </c>
      <c r="H1747">
        <f>INDEX(Limits!$B$2:$B$5,MATCH(E1747,Limits!$A$2:$A$5,0))</f>
        <v/>
      </c>
      <c r="I1747">
        <f>INDEX(Limits!$C$2:$C$5,MATCH(E1747,Limits!$A$2:$A$5,0))</f>
        <v/>
      </c>
      <c r="J1747">
        <f>IF(F1747&gt;=I1747,"Action",IF(F1747&gt;=H1747,"Alert","Pass"))</f>
        <v/>
      </c>
      <c r="K1747" s="4">
        <f>DATE(YEAR(B1747),MONTH(B1747),1)</f>
        <v/>
      </c>
    </row>
    <row r="1748">
      <c r="A1748" t="inlineStr">
        <is>
          <t>EM001747</t>
        </is>
      </c>
      <c r="B1748" s="7" t="n">
        <v>46154</v>
      </c>
      <c r="C1748" t="inlineStr">
        <is>
          <t>Gowning</t>
        </is>
      </c>
      <c r="D1748" t="inlineStr">
        <is>
          <t>ISO 8</t>
        </is>
      </c>
      <c r="E1748" t="inlineStr">
        <is>
          <t>Surface contact</t>
        </is>
      </c>
      <c r="F1748" t="n">
        <v>0</v>
      </c>
      <c r="G1748" t="inlineStr">
        <is>
          <t>Tech A</t>
        </is>
      </c>
      <c r="H1748">
        <f>INDEX(Limits!$B$2:$B$5,MATCH(E1748,Limits!$A$2:$A$5,0))</f>
        <v/>
      </c>
      <c r="I1748">
        <f>INDEX(Limits!$C$2:$C$5,MATCH(E1748,Limits!$A$2:$A$5,0))</f>
        <v/>
      </c>
      <c r="J1748">
        <f>IF(F1748&gt;=I1748,"Action",IF(F1748&gt;=H1748,"Alert","Pass"))</f>
        <v/>
      </c>
      <c r="K1748" s="4">
        <f>DATE(YEAR(B1748),MONTH(B1748),1)</f>
        <v/>
      </c>
    </row>
    <row r="1749">
      <c r="A1749" t="inlineStr">
        <is>
          <t>EM001748</t>
        </is>
      </c>
      <c r="B1749" s="7" t="n">
        <v>46154</v>
      </c>
      <c r="C1749" t="inlineStr">
        <is>
          <t>Gowning</t>
        </is>
      </c>
      <c r="D1749" t="inlineStr">
        <is>
          <t>ISO 8</t>
        </is>
      </c>
      <c r="E1749" t="inlineStr">
        <is>
          <t>Personnel glove</t>
        </is>
      </c>
      <c r="F1749" t="n">
        <v>1</v>
      </c>
      <c r="G1749" t="inlineStr">
        <is>
          <t>Tech A</t>
        </is>
      </c>
      <c r="H1749">
        <f>INDEX(Limits!$B$2:$B$5,MATCH(E1749,Limits!$A$2:$A$5,0))</f>
        <v/>
      </c>
      <c r="I1749">
        <f>INDEX(Limits!$C$2:$C$5,MATCH(E1749,Limits!$A$2:$A$5,0))</f>
        <v/>
      </c>
      <c r="J1749">
        <f>IF(F1749&gt;=I1749,"Action",IF(F1749&gt;=H1749,"Alert","Pass"))</f>
        <v/>
      </c>
      <c r="K1749" s="4">
        <f>DATE(YEAR(B1749),MONTH(B1749),1)</f>
        <v/>
      </c>
    </row>
    <row r="1750">
      <c r="A1750" t="inlineStr">
        <is>
          <t>EM001749</t>
        </is>
      </c>
      <c r="B1750" s="7" t="n">
        <v>46155</v>
      </c>
      <c r="C1750" t="inlineStr">
        <is>
          <t>CR-101</t>
        </is>
      </c>
      <c r="D1750" t="inlineStr">
        <is>
          <t>ISO 7</t>
        </is>
      </c>
      <c r="E1750" t="inlineStr">
        <is>
          <t>Active air</t>
        </is>
      </c>
      <c r="F1750" t="n">
        <v>0</v>
      </c>
      <c r="G1750" t="inlineStr">
        <is>
          <t>Tech C</t>
        </is>
      </c>
      <c r="H1750">
        <f>INDEX(Limits!$B$2:$B$5,MATCH(E1750,Limits!$A$2:$A$5,0))</f>
        <v/>
      </c>
      <c r="I1750">
        <f>INDEX(Limits!$C$2:$C$5,MATCH(E1750,Limits!$A$2:$A$5,0))</f>
        <v/>
      </c>
      <c r="J1750">
        <f>IF(F1750&gt;=I1750,"Action",IF(F1750&gt;=H1750,"Alert","Pass"))</f>
        <v/>
      </c>
      <c r="K1750" s="4">
        <f>DATE(YEAR(B1750),MONTH(B1750),1)</f>
        <v/>
      </c>
    </row>
    <row r="1751">
      <c r="A1751" t="inlineStr">
        <is>
          <t>EM001750</t>
        </is>
      </c>
      <c r="B1751" s="7" t="n">
        <v>46155</v>
      </c>
      <c r="C1751" t="inlineStr">
        <is>
          <t>CR-101</t>
        </is>
      </c>
      <c r="D1751" t="inlineStr">
        <is>
          <t>ISO 7</t>
        </is>
      </c>
      <c r="E1751" t="inlineStr">
        <is>
          <t>Surface contact</t>
        </is>
      </c>
      <c r="F1751" t="n">
        <v>0</v>
      </c>
      <c r="G1751" t="inlineStr">
        <is>
          <t>Tech C</t>
        </is>
      </c>
      <c r="H1751">
        <f>INDEX(Limits!$B$2:$B$5,MATCH(E1751,Limits!$A$2:$A$5,0))</f>
        <v/>
      </c>
      <c r="I1751">
        <f>INDEX(Limits!$C$2:$C$5,MATCH(E1751,Limits!$A$2:$A$5,0))</f>
        <v/>
      </c>
      <c r="J1751">
        <f>IF(F1751&gt;=I1751,"Action",IF(F1751&gt;=H1751,"Alert","Pass"))</f>
        <v/>
      </c>
      <c r="K1751" s="4">
        <f>DATE(YEAR(B1751),MONTH(B1751),1)</f>
        <v/>
      </c>
    </row>
    <row r="1752">
      <c r="A1752" t="inlineStr">
        <is>
          <t>EM001751</t>
        </is>
      </c>
      <c r="B1752" s="7" t="n">
        <v>46155</v>
      </c>
      <c r="C1752" t="inlineStr">
        <is>
          <t>CR-101</t>
        </is>
      </c>
      <c r="D1752" t="inlineStr">
        <is>
          <t>ISO 7</t>
        </is>
      </c>
      <c r="E1752" t="inlineStr">
        <is>
          <t>Compressed air</t>
        </is>
      </c>
      <c r="F1752" t="n">
        <v>0</v>
      </c>
      <c r="G1752" t="inlineStr">
        <is>
          <t>Tech C</t>
        </is>
      </c>
      <c r="H1752">
        <f>INDEX(Limits!$B$2:$B$5,MATCH(E1752,Limits!$A$2:$A$5,0))</f>
        <v/>
      </c>
      <c r="I1752">
        <f>INDEX(Limits!$C$2:$C$5,MATCH(E1752,Limits!$A$2:$A$5,0))</f>
        <v/>
      </c>
      <c r="J1752">
        <f>IF(F1752&gt;=I1752,"Action",IF(F1752&gt;=H1752,"Alert","Pass"))</f>
        <v/>
      </c>
      <c r="K1752" s="4">
        <f>DATE(YEAR(B1752),MONTH(B1752),1)</f>
        <v/>
      </c>
    </row>
    <row r="1753">
      <c r="A1753" t="inlineStr">
        <is>
          <t>EM001752</t>
        </is>
      </c>
      <c r="B1753" s="7" t="n">
        <v>46155</v>
      </c>
      <c r="C1753" t="inlineStr">
        <is>
          <t>CR-101</t>
        </is>
      </c>
      <c r="D1753" t="inlineStr">
        <is>
          <t>ISO 7</t>
        </is>
      </c>
      <c r="E1753" t="inlineStr">
        <is>
          <t>Personnel glove</t>
        </is>
      </c>
      <c r="F1753" t="n">
        <v>0</v>
      </c>
      <c r="G1753" t="inlineStr">
        <is>
          <t>Tech B</t>
        </is>
      </c>
      <c r="H1753">
        <f>INDEX(Limits!$B$2:$B$5,MATCH(E1753,Limits!$A$2:$A$5,0))</f>
        <v/>
      </c>
      <c r="I1753">
        <f>INDEX(Limits!$C$2:$C$5,MATCH(E1753,Limits!$A$2:$A$5,0))</f>
        <v/>
      </c>
      <c r="J1753">
        <f>IF(F1753&gt;=I1753,"Action",IF(F1753&gt;=H1753,"Alert","Pass"))</f>
        <v/>
      </c>
      <c r="K1753" s="4">
        <f>DATE(YEAR(B1753),MONTH(B1753),1)</f>
        <v/>
      </c>
    </row>
    <row r="1754">
      <c r="A1754" t="inlineStr">
        <is>
          <t>EM001753</t>
        </is>
      </c>
      <c r="B1754" s="7" t="n">
        <v>46155</v>
      </c>
      <c r="C1754" t="inlineStr">
        <is>
          <t>CR-102</t>
        </is>
      </c>
      <c r="D1754" t="inlineStr">
        <is>
          <t>ISO 7</t>
        </is>
      </c>
      <c r="E1754" t="inlineStr">
        <is>
          <t>Active air</t>
        </is>
      </c>
      <c r="F1754" t="n">
        <v>0</v>
      </c>
      <c r="G1754" t="inlineStr">
        <is>
          <t>Tech B</t>
        </is>
      </c>
      <c r="H1754">
        <f>INDEX(Limits!$B$2:$B$5,MATCH(E1754,Limits!$A$2:$A$5,0))</f>
        <v/>
      </c>
      <c r="I1754">
        <f>INDEX(Limits!$C$2:$C$5,MATCH(E1754,Limits!$A$2:$A$5,0))</f>
        <v/>
      </c>
      <c r="J1754">
        <f>IF(F1754&gt;=I1754,"Action",IF(F1754&gt;=H1754,"Alert","Pass"))</f>
        <v/>
      </c>
      <c r="K1754" s="4">
        <f>DATE(YEAR(B1754),MONTH(B1754),1)</f>
        <v/>
      </c>
    </row>
    <row r="1755">
      <c r="A1755" t="inlineStr">
        <is>
          <t>EM001754</t>
        </is>
      </c>
      <c r="B1755" s="7" t="n">
        <v>46155</v>
      </c>
      <c r="C1755" t="inlineStr">
        <is>
          <t>CR-102</t>
        </is>
      </c>
      <c r="D1755" t="inlineStr">
        <is>
          <t>ISO 7</t>
        </is>
      </c>
      <c r="E1755" t="inlineStr">
        <is>
          <t>Surface contact</t>
        </is>
      </c>
      <c r="F1755" t="n">
        <v>1</v>
      </c>
      <c r="G1755" t="inlineStr">
        <is>
          <t>Tech C</t>
        </is>
      </c>
      <c r="H1755">
        <f>INDEX(Limits!$B$2:$B$5,MATCH(E1755,Limits!$A$2:$A$5,0))</f>
        <v/>
      </c>
      <c r="I1755">
        <f>INDEX(Limits!$C$2:$C$5,MATCH(E1755,Limits!$A$2:$A$5,0))</f>
        <v/>
      </c>
      <c r="J1755">
        <f>IF(F1755&gt;=I1755,"Action",IF(F1755&gt;=H1755,"Alert","Pass"))</f>
        <v/>
      </c>
      <c r="K1755" s="4">
        <f>DATE(YEAR(B1755),MONTH(B1755),1)</f>
        <v/>
      </c>
    </row>
    <row r="1756">
      <c r="A1756" t="inlineStr">
        <is>
          <t>EM001755</t>
        </is>
      </c>
      <c r="B1756" s="7" t="n">
        <v>46155</v>
      </c>
      <c r="C1756" t="inlineStr">
        <is>
          <t>CR-102</t>
        </is>
      </c>
      <c r="D1756" t="inlineStr">
        <is>
          <t>ISO 7</t>
        </is>
      </c>
      <c r="E1756" t="inlineStr">
        <is>
          <t>Compressed air</t>
        </is>
      </c>
      <c r="F1756" t="n">
        <v>0</v>
      </c>
      <c r="G1756" t="inlineStr">
        <is>
          <t>Tech C</t>
        </is>
      </c>
      <c r="H1756">
        <f>INDEX(Limits!$B$2:$B$5,MATCH(E1756,Limits!$A$2:$A$5,0))</f>
        <v/>
      </c>
      <c r="I1756">
        <f>INDEX(Limits!$C$2:$C$5,MATCH(E1756,Limits!$A$2:$A$5,0))</f>
        <v/>
      </c>
      <c r="J1756">
        <f>IF(F1756&gt;=I1756,"Action",IF(F1756&gt;=H1756,"Alert","Pass"))</f>
        <v/>
      </c>
      <c r="K1756" s="4">
        <f>DATE(YEAR(B1756),MONTH(B1756),1)</f>
        <v/>
      </c>
    </row>
    <row r="1757">
      <c r="A1757" t="inlineStr">
        <is>
          <t>EM001756</t>
        </is>
      </c>
      <c r="B1757" s="7" t="n">
        <v>46155</v>
      </c>
      <c r="C1757" t="inlineStr">
        <is>
          <t>CR-102</t>
        </is>
      </c>
      <c r="D1757" t="inlineStr">
        <is>
          <t>ISO 7</t>
        </is>
      </c>
      <c r="E1757" t="inlineStr">
        <is>
          <t>Personnel glove</t>
        </is>
      </c>
      <c r="F1757" t="n">
        <v>0</v>
      </c>
      <c r="G1757" t="inlineStr">
        <is>
          <t>Tech A</t>
        </is>
      </c>
      <c r="H1757">
        <f>INDEX(Limits!$B$2:$B$5,MATCH(E1757,Limits!$A$2:$A$5,0))</f>
        <v/>
      </c>
      <c r="I1757">
        <f>INDEX(Limits!$C$2:$C$5,MATCH(E1757,Limits!$A$2:$A$5,0))</f>
        <v/>
      </c>
      <c r="J1757">
        <f>IF(F1757&gt;=I1757,"Action",IF(F1757&gt;=H1757,"Alert","Pass"))</f>
        <v/>
      </c>
      <c r="K1757" s="4">
        <f>DATE(YEAR(B1757),MONTH(B1757),1)</f>
        <v/>
      </c>
    </row>
    <row r="1758">
      <c r="A1758" t="inlineStr">
        <is>
          <t>EM001757</t>
        </is>
      </c>
      <c r="B1758" s="7" t="n">
        <v>46155</v>
      </c>
      <c r="C1758" t="inlineStr">
        <is>
          <t>CR-201</t>
        </is>
      </c>
      <c r="D1758" t="inlineStr">
        <is>
          <t>ISO 8</t>
        </is>
      </c>
      <c r="E1758" t="inlineStr">
        <is>
          <t>Active air</t>
        </is>
      </c>
      <c r="F1758" t="n">
        <v>2</v>
      </c>
      <c r="G1758" t="inlineStr">
        <is>
          <t>Tech D</t>
        </is>
      </c>
      <c r="H1758">
        <f>INDEX(Limits!$B$2:$B$5,MATCH(E1758,Limits!$A$2:$A$5,0))</f>
        <v/>
      </c>
      <c r="I1758">
        <f>INDEX(Limits!$C$2:$C$5,MATCH(E1758,Limits!$A$2:$A$5,0))</f>
        <v/>
      </c>
      <c r="J1758">
        <f>IF(F1758&gt;=I1758,"Action",IF(F1758&gt;=H1758,"Alert","Pass"))</f>
        <v/>
      </c>
      <c r="K1758" s="4">
        <f>DATE(YEAR(B1758),MONTH(B1758),1)</f>
        <v/>
      </c>
    </row>
    <row r="1759">
      <c r="A1759" t="inlineStr">
        <is>
          <t>EM001758</t>
        </is>
      </c>
      <c r="B1759" s="7" t="n">
        <v>46155</v>
      </c>
      <c r="C1759" t="inlineStr">
        <is>
          <t>CR-201</t>
        </is>
      </c>
      <c r="D1759" t="inlineStr">
        <is>
          <t>ISO 8</t>
        </is>
      </c>
      <c r="E1759" t="inlineStr">
        <is>
          <t>Surface contact</t>
        </is>
      </c>
      <c r="F1759" t="n">
        <v>0</v>
      </c>
      <c r="G1759" t="inlineStr">
        <is>
          <t>Tech A</t>
        </is>
      </c>
      <c r="H1759">
        <f>INDEX(Limits!$B$2:$B$5,MATCH(E1759,Limits!$A$2:$A$5,0))</f>
        <v/>
      </c>
      <c r="I1759">
        <f>INDEX(Limits!$C$2:$C$5,MATCH(E1759,Limits!$A$2:$A$5,0))</f>
        <v/>
      </c>
      <c r="J1759">
        <f>IF(F1759&gt;=I1759,"Action",IF(F1759&gt;=H1759,"Alert","Pass"))</f>
        <v/>
      </c>
      <c r="K1759" s="4">
        <f>DATE(YEAR(B1759),MONTH(B1759),1)</f>
        <v/>
      </c>
    </row>
    <row r="1760">
      <c r="A1760" t="inlineStr">
        <is>
          <t>EM001759</t>
        </is>
      </c>
      <c r="B1760" s="7" t="n">
        <v>46155</v>
      </c>
      <c r="C1760" t="inlineStr">
        <is>
          <t>CR-201</t>
        </is>
      </c>
      <c r="D1760" t="inlineStr">
        <is>
          <t>ISO 8</t>
        </is>
      </c>
      <c r="E1760" t="inlineStr">
        <is>
          <t>Compressed air</t>
        </is>
      </c>
      <c r="F1760" t="n">
        <v>0</v>
      </c>
      <c r="G1760" t="inlineStr">
        <is>
          <t>Tech D</t>
        </is>
      </c>
      <c r="H1760">
        <f>INDEX(Limits!$B$2:$B$5,MATCH(E1760,Limits!$A$2:$A$5,0))</f>
        <v/>
      </c>
      <c r="I1760">
        <f>INDEX(Limits!$C$2:$C$5,MATCH(E1760,Limits!$A$2:$A$5,0))</f>
        <v/>
      </c>
      <c r="J1760">
        <f>IF(F1760&gt;=I1760,"Action",IF(F1760&gt;=H1760,"Alert","Pass"))</f>
        <v/>
      </c>
      <c r="K1760" s="4">
        <f>DATE(YEAR(B1760),MONTH(B1760),1)</f>
        <v/>
      </c>
    </row>
    <row r="1761">
      <c r="A1761" t="inlineStr">
        <is>
          <t>EM001760</t>
        </is>
      </c>
      <c r="B1761" s="7" t="n">
        <v>46155</v>
      </c>
      <c r="C1761" t="inlineStr">
        <is>
          <t>CR-201</t>
        </is>
      </c>
      <c r="D1761" t="inlineStr">
        <is>
          <t>ISO 8</t>
        </is>
      </c>
      <c r="E1761" t="inlineStr">
        <is>
          <t>Personnel glove</t>
        </is>
      </c>
      <c r="F1761" t="n">
        <v>0</v>
      </c>
      <c r="G1761" t="inlineStr">
        <is>
          <t>Tech B</t>
        </is>
      </c>
      <c r="H1761">
        <f>INDEX(Limits!$B$2:$B$5,MATCH(E1761,Limits!$A$2:$A$5,0))</f>
        <v/>
      </c>
      <c r="I1761">
        <f>INDEX(Limits!$C$2:$C$5,MATCH(E1761,Limits!$A$2:$A$5,0))</f>
        <v/>
      </c>
      <c r="J1761">
        <f>IF(F1761&gt;=I1761,"Action",IF(F1761&gt;=H1761,"Alert","Pass"))</f>
        <v/>
      </c>
      <c r="K1761" s="4">
        <f>DATE(YEAR(B1761),MONTH(B1761),1)</f>
        <v/>
      </c>
    </row>
    <row r="1762">
      <c r="A1762" t="inlineStr">
        <is>
          <t>EM001761</t>
        </is>
      </c>
      <c r="B1762" s="7" t="n">
        <v>46155</v>
      </c>
      <c r="C1762" t="inlineStr">
        <is>
          <t>CR-202</t>
        </is>
      </c>
      <c r="D1762" t="inlineStr">
        <is>
          <t>ISO 8</t>
        </is>
      </c>
      <c r="E1762" t="inlineStr">
        <is>
          <t>Active air</t>
        </is>
      </c>
      <c r="F1762" t="n">
        <v>2</v>
      </c>
      <c r="G1762" t="inlineStr">
        <is>
          <t>Tech A</t>
        </is>
      </c>
      <c r="H1762">
        <f>INDEX(Limits!$B$2:$B$5,MATCH(E1762,Limits!$A$2:$A$5,0))</f>
        <v/>
      </c>
      <c r="I1762">
        <f>INDEX(Limits!$C$2:$C$5,MATCH(E1762,Limits!$A$2:$A$5,0))</f>
        <v/>
      </c>
      <c r="J1762">
        <f>IF(F1762&gt;=I1762,"Action",IF(F1762&gt;=H1762,"Alert","Pass"))</f>
        <v/>
      </c>
      <c r="K1762" s="4">
        <f>DATE(YEAR(B1762),MONTH(B1762),1)</f>
        <v/>
      </c>
    </row>
    <row r="1763">
      <c r="A1763" t="inlineStr">
        <is>
          <t>EM001762</t>
        </is>
      </c>
      <c r="B1763" s="7" t="n">
        <v>46155</v>
      </c>
      <c r="C1763" t="inlineStr">
        <is>
          <t>CR-202</t>
        </is>
      </c>
      <c r="D1763" t="inlineStr">
        <is>
          <t>ISO 8</t>
        </is>
      </c>
      <c r="E1763" t="inlineStr">
        <is>
          <t>Surface contact</t>
        </is>
      </c>
      <c r="F1763" t="n">
        <v>0</v>
      </c>
      <c r="G1763" t="inlineStr">
        <is>
          <t>Tech A</t>
        </is>
      </c>
      <c r="H1763">
        <f>INDEX(Limits!$B$2:$B$5,MATCH(E1763,Limits!$A$2:$A$5,0))</f>
        <v/>
      </c>
      <c r="I1763">
        <f>INDEX(Limits!$C$2:$C$5,MATCH(E1763,Limits!$A$2:$A$5,0))</f>
        <v/>
      </c>
      <c r="J1763">
        <f>IF(F1763&gt;=I1763,"Action",IF(F1763&gt;=H1763,"Alert","Pass"))</f>
        <v/>
      </c>
      <c r="K1763" s="4">
        <f>DATE(YEAR(B1763),MONTH(B1763),1)</f>
        <v/>
      </c>
    </row>
    <row r="1764">
      <c r="A1764" t="inlineStr">
        <is>
          <t>EM001763</t>
        </is>
      </c>
      <c r="B1764" s="7" t="n">
        <v>46155</v>
      </c>
      <c r="C1764" t="inlineStr">
        <is>
          <t>CR-202</t>
        </is>
      </c>
      <c r="D1764" t="inlineStr">
        <is>
          <t>ISO 8</t>
        </is>
      </c>
      <c r="E1764" t="inlineStr">
        <is>
          <t>Compressed air</t>
        </is>
      </c>
      <c r="F1764" t="n">
        <v>0</v>
      </c>
      <c r="G1764" t="inlineStr">
        <is>
          <t>Tech A</t>
        </is>
      </c>
      <c r="H1764">
        <f>INDEX(Limits!$B$2:$B$5,MATCH(E1764,Limits!$A$2:$A$5,0))</f>
        <v/>
      </c>
      <c r="I1764">
        <f>INDEX(Limits!$C$2:$C$5,MATCH(E1764,Limits!$A$2:$A$5,0))</f>
        <v/>
      </c>
      <c r="J1764">
        <f>IF(F1764&gt;=I1764,"Action",IF(F1764&gt;=H1764,"Alert","Pass"))</f>
        <v/>
      </c>
      <c r="K1764" s="4">
        <f>DATE(YEAR(B1764),MONTH(B1764),1)</f>
        <v/>
      </c>
    </row>
    <row r="1765">
      <c r="A1765" t="inlineStr">
        <is>
          <t>EM001764</t>
        </is>
      </c>
      <c r="B1765" s="7" t="n">
        <v>46155</v>
      </c>
      <c r="C1765" t="inlineStr">
        <is>
          <t>CR-202</t>
        </is>
      </c>
      <c r="D1765" t="inlineStr">
        <is>
          <t>ISO 8</t>
        </is>
      </c>
      <c r="E1765" t="inlineStr">
        <is>
          <t>Personnel glove</t>
        </is>
      </c>
      <c r="F1765" t="n">
        <v>0</v>
      </c>
      <c r="G1765" t="inlineStr">
        <is>
          <t>Tech A</t>
        </is>
      </c>
      <c r="H1765">
        <f>INDEX(Limits!$B$2:$B$5,MATCH(E1765,Limits!$A$2:$A$5,0))</f>
        <v/>
      </c>
      <c r="I1765">
        <f>INDEX(Limits!$C$2:$C$5,MATCH(E1765,Limits!$A$2:$A$5,0))</f>
        <v/>
      </c>
      <c r="J1765">
        <f>IF(F1765&gt;=I1765,"Action",IF(F1765&gt;=H1765,"Alert","Pass"))</f>
        <v/>
      </c>
      <c r="K1765" s="4">
        <f>DATE(YEAR(B1765),MONTH(B1765),1)</f>
        <v/>
      </c>
    </row>
    <row r="1766">
      <c r="A1766" t="inlineStr">
        <is>
          <t>EM001765</t>
        </is>
      </c>
      <c r="B1766" s="7" t="n">
        <v>46155</v>
      </c>
      <c r="C1766" t="inlineStr">
        <is>
          <t>Gowning</t>
        </is>
      </c>
      <c r="D1766" t="inlineStr">
        <is>
          <t>ISO 8</t>
        </is>
      </c>
      <c r="E1766" t="inlineStr">
        <is>
          <t>Active air</t>
        </is>
      </c>
      <c r="F1766" t="n">
        <v>1</v>
      </c>
      <c r="G1766" t="inlineStr">
        <is>
          <t>Tech C</t>
        </is>
      </c>
      <c r="H1766">
        <f>INDEX(Limits!$B$2:$B$5,MATCH(E1766,Limits!$A$2:$A$5,0))</f>
        <v/>
      </c>
      <c r="I1766">
        <f>INDEX(Limits!$C$2:$C$5,MATCH(E1766,Limits!$A$2:$A$5,0))</f>
        <v/>
      </c>
      <c r="J1766">
        <f>IF(F1766&gt;=I1766,"Action",IF(F1766&gt;=H1766,"Alert","Pass"))</f>
        <v/>
      </c>
      <c r="K1766" s="4">
        <f>DATE(YEAR(B1766),MONTH(B1766),1)</f>
        <v/>
      </c>
    </row>
    <row r="1767">
      <c r="A1767" t="inlineStr">
        <is>
          <t>EM001766</t>
        </is>
      </c>
      <c r="B1767" s="7" t="n">
        <v>46155</v>
      </c>
      <c r="C1767" t="inlineStr">
        <is>
          <t>Gowning</t>
        </is>
      </c>
      <c r="D1767" t="inlineStr">
        <is>
          <t>ISO 8</t>
        </is>
      </c>
      <c r="E1767" t="inlineStr">
        <is>
          <t>Surface contact</t>
        </is>
      </c>
      <c r="F1767" t="n">
        <v>2</v>
      </c>
      <c r="G1767" t="inlineStr">
        <is>
          <t>Tech C</t>
        </is>
      </c>
      <c r="H1767">
        <f>INDEX(Limits!$B$2:$B$5,MATCH(E1767,Limits!$A$2:$A$5,0))</f>
        <v/>
      </c>
      <c r="I1767">
        <f>INDEX(Limits!$C$2:$C$5,MATCH(E1767,Limits!$A$2:$A$5,0))</f>
        <v/>
      </c>
      <c r="J1767">
        <f>IF(F1767&gt;=I1767,"Action",IF(F1767&gt;=H1767,"Alert","Pass"))</f>
        <v/>
      </c>
      <c r="K1767" s="4">
        <f>DATE(YEAR(B1767),MONTH(B1767),1)</f>
        <v/>
      </c>
    </row>
    <row r="1768">
      <c r="A1768" t="inlineStr">
        <is>
          <t>EM001767</t>
        </is>
      </c>
      <c r="B1768" s="7" t="n">
        <v>46155</v>
      </c>
      <c r="C1768" t="inlineStr">
        <is>
          <t>Gowning</t>
        </is>
      </c>
      <c r="D1768" t="inlineStr">
        <is>
          <t>ISO 8</t>
        </is>
      </c>
      <c r="E1768" t="inlineStr">
        <is>
          <t>Personnel glove</t>
        </is>
      </c>
      <c r="F1768" t="n">
        <v>0</v>
      </c>
      <c r="G1768" t="inlineStr">
        <is>
          <t>Tech B</t>
        </is>
      </c>
      <c r="H1768">
        <f>INDEX(Limits!$B$2:$B$5,MATCH(E1768,Limits!$A$2:$A$5,0))</f>
        <v/>
      </c>
      <c r="I1768">
        <f>INDEX(Limits!$C$2:$C$5,MATCH(E1768,Limits!$A$2:$A$5,0))</f>
        <v/>
      </c>
      <c r="J1768">
        <f>IF(F1768&gt;=I1768,"Action",IF(F1768&gt;=H1768,"Alert","Pass"))</f>
        <v/>
      </c>
      <c r="K1768" s="4">
        <f>DATE(YEAR(B1768),MONTH(B1768),1)</f>
        <v/>
      </c>
    </row>
    <row r="1769">
      <c r="A1769" t="inlineStr">
        <is>
          <t>EM001768</t>
        </is>
      </c>
      <c r="B1769" s="7" t="n">
        <v>46156</v>
      </c>
      <c r="C1769" t="inlineStr">
        <is>
          <t>CR-101</t>
        </is>
      </c>
      <c r="D1769" t="inlineStr">
        <is>
          <t>ISO 7</t>
        </is>
      </c>
      <c r="E1769" t="inlineStr">
        <is>
          <t>Active air</t>
        </is>
      </c>
      <c r="F1769" t="n">
        <v>2</v>
      </c>
      <c r="G1769" t="inlineStr">
        <is>
          <t>Tech D</t>
        </is>
      </c>
      <c r="H1769">
        <f>INDEX(Limits!$B$2:$B$5,MATCH(E1769,Limits!$A$2:$A$5,0))</f>
        <v/>
      </c>
      <c r="I1769">
        <f>INDEX(Limits!$C$2:$C$5,MATCH(E1769,Limits!$A$2:$A$5,0))</f>
        <v/>
      </c>
      <c r="J1769">
        <f>IF(F1769&gt;=I1769,"Action",IF(F1769&gt;=H1769,"Alert","Pass"))</f>
        <v/>
      </c>
      <c r="K1769" s="4">
        <f>DATE(YEAR(B1769),MONTH(B1769),1)</f>
        <v/>
      </c>
    </row>
    <row r="1770">
      <c r="A1770" t="inlineStr">
        <is>
          <t>EM001769</t>
        </is>
      </c>
      <c r="B1770" s="7" t="n">
        <v>46156</v>
      </c>
      <c r="C1770" t="inlineStr">
        <is>
          <t>CR-101</t>
        </is>
      </c>
      <c r="D1770" t="inlineStr">
        <is>
          <t>ISO 7</t>
        </is>
      </c>
      <c r="E1770" t="inlineStr">
        <is>
          <t>Surface contact</t>
        </is>
      </c>
      <c r="F1770" t="n">
        <v>0</v>
      </c>
      <c r="G1770" t="inlineStr">
        <is>
          <t>Tech D</t>
        </is>
      </c>
      <c r="H1770">
        <f>INDEX(Limits!$B$2:$B$5,MATCH(E1770,Limits!$A$2:$A$5,0))</f>
        <v/>
      </c>
      <c r="I1770">
        <f>INDEX(Limits!$C$2:$C$5,MATCH(E1770,Limits!$A$2:$A$5,0))</f>
        <v/>
      </c>
      <c r="J1770">
        <f>IF(F1770&gt;=I1770,"Action",IF(F1770&gt;=H1770,"Alert","Pass"))</f>
        <v/>
      </c>
      <c r="K1770" s="4">
        <f>DATE(YEAR(B1770),MONTH(B1770),1)</f>
        <v/>
      </c>
    </row>
    <row r="1771">
      <c r="A1771" t="inlineStr">
        <is>
          <t>EM001770</t>
        </is>
      </c>
      <c r="B1771" s="7" t="n">
        <v>46156</v>
      </c>
      <c r="C1771" t="inlineStr">
        <is>
          <t>CR-101</t>
        </is>
      </c>
      <c r="D1771" t="inlineStr">
        <is>
          <t>ISO 7</t>
        </is>
      </c>
      <c r="E1771" t="inlineStr">
        <is>
          <t>Compressed air</t>
        </is>
      </c>
      <c r="F1771" t="n">
        <v>0</v>
      </c>
      <c r="G1771" t="inlineStr">
        <is>
          <t>Tech A</t>
        </is>
      </c>
      <c r="H1771">
        <f>INDEX(Limits!$B$2:$B$5,MATCH(E1771,Limits!$A$2:$A$5,0))</f>
        <v/>
      </c>
      <c r="I1771">
        <f>INDEX(Limits!$C$2:$C$5,MATCH(E1771,Limits!$A$2:$A$5,0))</f>
        <v/>
      </c>
      <c r="J1771">
        <f>IF(F1771&gt;=I1771,"Action",IF(F1771&gt;=H1771,"Alert","Pass"))</f>
        <v/>
      </c>
      <c r="K1771" s="4">
        <f>DATE(YEAR(B1771),MONTH(B1771),1)</f>
        <v/>
      </c>
    </row>
    <row r="1772">
      <c r="A1772" t="inlineStr">
        <is>
          <t>EM001771</t>
        </is>
      </c>
      <c r="B1772" s="7" t="n">
        <v>46156</v>
      </c>
      <c r="C1772" t="inlineStr">
        <is>
          <t>CR-101</t>
        </is>
      </c>
      <c r="D1772" t="inlineStr">
        <is>
          <t>ISO 7</t>
        </is>
      </c>
      <c r="E1772" t="inlineStr">
        <is>
          <t>Personnel glove</t>
        </is>
      </c>
      <c r="F1772" t="n">
        <v>0</v>
      </c>
      <c r="G1772" t="inlineStr">
        <is>
          <t>Tech B</t>
        </is>
      </c>
      <c r="H1772">
        <f>INDEX(Limits!$B$2:$B$5,MATCH(E1772,Limits!$A$2:$A$5,0))</f>
        <v/>
      </c>
      <c r="I1772">
        <f>INDEX(Limits!$C$2:$C$5,MATCH(E1772,Limits!$A$2:$A$5,0))</f>
        <v/>
      </c>
      <c r="J1772">
        <f>IF(F1772&gt;=I1772,"Action",IF(F1772&gt;=H1772,"Alert","Pass"))</f>
        <v/>
      </c>
      <c r="K1772" s="4">
        <f>DATE(YEAR(B1772),MONTH(B1772),1)</f>
        <v/>
      </c>
    </row>
    <row r="1773">
      <c r="A1773" t="inlineStr">
        <is>
          <t>EM001772</t>
        </is>
      </c>
      <c r="B1773" s="7" t="n">
        <v>46156</v>
      </c>
      <c r="C1773" t="inlineStr">
        <is>
          <t>CR-102</t>
        </is>
      </c>
      <c r="D1773" t="inlineStr">
        <is>
          <t>ISO 7</t>
        </is>
      </c>
      <c r="E1773" t="inlineStr">
        <is>
          <t>Active air</t>
        </is>
      </c>
      <c r="F1773" t="n">
        <v>0</v>
      </c>
      <c r="G1773" t="inlineStr">
        <is>
          <t>Tech B</t>
        </is>
      </c>
      <c r="H1773">
        <f>INDEX(Limits!$B$2:$B$5,MATCH(E1773,Limits!$A$2:$A$5,0))</f>
        <v/>
      </c>
      <c r="I1773">
        <f>INDEX(Limits!$C$2:$C$5,MATCH(E1773,Limits!$A$2:$A$5,0))</f>
        <v/>
      </c>
      <c r="J1773">
        <f>IF(F1773&gt;=I1773,"Action",IF(F1773&gt;=H1773,"Alert","Pass"))</f>
        <v/>
      </c>
      <c r="K1773" s="4">
        <f>DATE(YEAR(B1773),MONTH(B1773),1)</f>
        <v/>
      </c>
    </row>
    <row r="1774">
      <c r="A1774" t="inlineStr">
        <is>
          <t>EM001773</t>
        </is>
      </c>
      <c r="B1774" s="7" t="n">
        <v>46156</v>
      </c>
      <c r="C1774" t="inlineStr">
        <is>
          <t>CR-102</t>
        </is>
      </c>
      <c r="D1774" t="inlineStr">
        <is>
          <t>ISO 7</t>
        </is>
      </c>
      <c r="E1774" t="inlineStr">
        <is>
          <t>Surface contact</t>
        </is>
      </c>
      <c r="F1774" t="n">
        <v>0</v>
      </c>
      <c r="G1774" t="inlineStr">
        <is>
          <t>Tech A</t>
        </is>
      </c>
      <c r="H1774">
        <f>INDEX(Limits!$B$2:$B$5,MATCH(E1774,Limits!$A$2:$A$5,0))</f>
        <v/>
      </c>
      <c r="I1774">
        <f>INDEX(Limits!$C$2:$C$5,MATCH(E1774,Limits!$A$2:$A$5,0))</f>
        <v/>
      </c>
      <c r="J1774">
        <f>IF(F1774&gt;=I1774,"Action",IF(F1774&gt;=H1774,"Alert","Pass"))</f>
        <v/>
      </c>
      <c r="K1774" s="4">
        <f>DATE(YEAR(B1774),MONTH(B1774),1)</f>
        <v/>
      </c>
    </row>
    <row r="1775">
      <c r="A1775" t="inlineStr">
        <is>
          <t>EM001774</t>
        </is>
      </c>
      <c r="B1775" s="7" t="n">
        <v>46156</v>
      </c>
      <c r="C1775" t="inlineStr">
        <is>
          <t>CR-102</t>
        </is>
      </c>
      <c r="D1775" t="inlineStr">
        <is>
          <t>ISO 7</t>
        </is>
      </c>
      <c r="E1775" t="inlineStr">
        <is>
          <t>Compressed air</t>
        </is>
      </c>
      <c r="F1775" t="n">
        <v>0</v>
      </c>
      <c r="G1775" t="inlineStr">
        <is>
          <t>Tech A</t>
        </is>
      </c>
      <c r="H1775">
        <f>INDEX(Limits!$B$2:$B$5,MATCH(E1775,Limits!$A$2:$A$5,0))</f>
        <v/>
      </c>
      <c r="I1775">
        <f>INDEX(Limits!$C$2:$C$5,MATCH(E1775,Limits!$A$2:$A$5,0))</f>
        <v/>
      </c>
      <c r="J1775">
        <f>IF(F1775&gt;=I1775,"Action",IF(F1775&gt;=H1775,"Alert","Pass"))</f>
        <v/>
      </c>
      <c r="K1775" s="4">
        <f>DATE(YEAR(B1775),MONTH(B1775),1)</f>
        <v/>
      </c>
    </row>
    <row r="1776">
      <c r="A1776" t="inlineStr">
        <is>
          <t>EM001775</t>
        </is>
      </c>
      <c r="B1776" s="7" t="n">
        <v>46156</v>
      </c>
      <c r="C1776" t="inlineStr">
        <is>
          <t>CR-102</t>
        </is>
      </c>
      <c r="D1776" t="inlineStr">
        <is>
          <t>ISO 7</t>
        </is>
      </c>
      <c r="E1776" t="inlineStr">
        <is>
          <t>Personnel glove</t>
        </is>
      </c>
      <c r="F1776" t="n">
        <v>0</v>
      </c>
      <c r="G1776" t="inlineStr">
        <is>
          <t>Tech B</t>
        </is>
      </c>
      <c r="H1776">
        <f>INDEX(Limits!$B$2:$B$5,MATCH(E1776,Limits!$A$2:$A$5,0))</f>
        <v/>
      </c>
      <c r="I1776">
        <f>INDEX(Limits!$C$2:$C$5,MATCH(E1776,Limits!$A$2:$A$5,0))</f>
        <v/>
      </c>
      <c r="J1776">
        <f>IF(F1776&gt;=I1776,"Action",IF(F1776&gt;=H1776,"Alert","Pass"))</f>
        <v/>
      </c>
      <c r="K1776" s="4">
        <f>DATE(YEAR(B1776),MONTH(B1776),1)</f>
        <v/>
      </c>
    </row>
    <row r="1777">
      <c r="A1777" t="inlineStr">
        <is>
          <t>EM001776</t>
        </is>
      </c>
      <c r="B1777" s="7" t="n">
        <v>46156</v>
      </c>
      <c r="C1777" t="inlineStr">
        <is>
          <t>CR-201</t>
        </is>
      </c>
      <c r="D1777" t="inlineStr">
        <is>
          <t>ISO 8</t>
        </is>
      </c>
      <c r="E1777" t="inlineStr">
        <is>
          <t>Active air</t>
        </is>
      </c>
      <c r="F1777" t="n">
        <v>0</v>
      </c>
      <c r="G1777" t="inlineStr">
        <is>
          <t>Tech B</t>
        </is>
      </c>
      <c r="H1777">
        <f>INDEX(Limits!$B$2:$B$5,MATCH(E1777,Limits!$A$2:$A$5,0))</f>
        <v/>
      </c>
      <c r="I1777">
        <f>INDEX(Limits!$C$2:$C$5,MATCH(E1777,Limits!$A$2:$A$5,0))</f>
        <v/>
      </c>
      <c r="J1777">
        <f>IF(F1777&gt;=I1777,"Action",IF(F1777&gt;=H1777,"Alert","Pass"))</f>
        <v/>
      </c>
      <c r="K1777" s="4">
        <f>DATE(YEAR(B1777),MONTH(B1777),1)</f>
        <v/>
      </c>
    </row>
    <row r="1778">
      <c r="A1778" t="inlineStr">
        <is>
          <t>EM001777</t>
        </is>
      </c>
      <c r="B1778" s="7" t="n">
        <v>46156</v>
      </c>
      <c r="C1778" t="inlineStr">
        <is>
          <t>CR-201</t>
        </is>
      </c>
      <c r="D1778" t="inlineStr">
        <is>
          <t>ISO 8</t>
        </is>
      </c>
      <c r="E1778" t="inlineStr">
        <is>
          <t>Surface contact</t>
        </is>
      </c>
      <c r="F1778" t="n">
        <v>0</v>
      </c>
      <c r="G1778" t="inlineStr">
        <is>
          <t>Tech A</t>
        </is>
      </c>
      <c r="H1778">
        <f>INDEX(Limits!$B$2:$B$5,MATCH(E1778,Limits!$A$2:$A$5,0))</f>
        <v/>
      </c>
      <c r="I1778">
        <f>INDEX(Limits!$C$2:$C$5,MATCH(E1778,Limits!$A$2:$A$5,0))</f>
        <v/>
      </c>
      <c r="J1778">
        <f>IF(F1778&gt;=I1778,"Action",IF(F1778&gt;=H1778,"Alert","Pass"))</f>
        <v/>
      </c>
      <c r="K1778" s="4">
        <f>DATE(YEAR(B1778),MONTH(B1778),1)</f>
        <v/>
      </c>
    </row>
    <row r="1779">
      <c r="A1779" t="inlineStr">
        <is>
          <t>EM001778</t>
        </is>
      </c>
      <c r="B1779" s="7" t="n">
        <v>46156</v>
      </c>
      <c r="C1779" t="inlineStr">
        <is>
          <t>CR-201</t>
        </is>
      </c>
      <c r="D1779" t="inlineStr">
        <is>
          <t>ISO 8</t>
        </is>
      </c>
      <c r="E1779" t="inlineStr">
        <is>
          <t>Compressed air</t>
        </is>
      </c>
      <c r="F1779" t="n">
        <v>0</v>
      </c>
      <c r="G1779" t="inlineStr">
        <is>
          <t>Tech B</t>
        </is>
      </c>
      <c r="H1779">
        <f>INDEX(Limits!$B$2:$B$5,MATCH(E1779,Limits!$A$2:$A$5,0))</f>
        <v/>
      </c>
      <c r="I1779">
        <f>INDEX(Limits!$C$2:$C$5,MATCH(E1779,Limits!$A$2:$A$5,0))</f>
        <v/>
      </c>
      <c r="J1779">
        <f>IF(F1779&gt;=I1779,"Action",IF(F1779&gt;=H1779,"Alert","Pass"))</f>
        <v/>
      </c>
      <c r="K1779" s="4">
        <f>DATE(YEAR(B1779),MONTH(B1779),1)</f>
        <v/>
      </c>
    </row>
    <row r="1780">
      <c r="A1780" t="inlineStr">
        <is>
          <t>EM001779</t>
        </is>
      </c>
      <c r="B1780" s="7" t="n">
        <v>46156</v>
      </c>
      <c r="C1780" t="inlineStr">
        <is>
          <t>CR-201</t>
        </is>
      </c>
      <c r="D1780" t="inlineStr">
        <is>
          <t>ISO 8</t>
        </is>
      </c>
      <c r="E1780" t="inlineStr">
        <is>
          <t>Personnel glove</t>
        </is>
      </c>
      <c r="F1780" t="n">
        <v>0</v>
      </c>
      <c r="G1780" t="inlineStr">
        <is>
          <t>Tech C</t>
        </is>
      </c>
      <c r="H1780">
        <f>INDEX(Limits!$B$2:$B$5,MATCH(E1780,Limits!$A$2:$A$5,0))</f>
        <v/>
      </c>
      <c r="I1780">
        <f>INDEX(Limits!$C$2:$C$5,MATCH(E1780,Limits!$A$2:$A$5,0))</f>
        <v/>
      </c>
      <c r="J1780">
        <f>IF(F1780&gt;=I1780,"Action",IF(F1780&gt;=H1780,"Alert","Pass"))</f>
        <v/>
      </c>
      <c r="K1780" s="4">
        <f>DATE(YEAR(B1780),MONTH(B1780),1)</f>
        <v/>
      </c>
    </row>
    <row r="1781">
      <c r="A1781" t="inlineStr">
        <is>
          <t>EM001780</t>
        </is>
      </c>
      <c r="B1781" s="7" t="n">
        <v>46156</v>
      </c>
      <c r="C1781" t="inlineStr">
        <is>
          <t>CR-202</t>
        </is>
      </c>
      <c r="D1781" t="inlineStr">
        <is>
          <t>ISO 8</t>
        </is>
      </c>
      <c r="E1781" t="inlineStr">
        <is>
          <t>Active air</t>
        </is>
      </c>
      <c r="F1781" t="n">
        <v>3</v>
      </c>
      <c r="G1781" t="inlineStr">
        <is>
          <t>Tech A</t>
        </is>
      </c>
      <c r="H1781">
        <f>INDEX(Limits!$B$2:$B$5,MATCH(E1781,Limits!$A$2:$A$5,0))</f>
        <v/>
      </c>
      <c r="I1781">
        <f>INDEX(Limits!$C$2:$C$5,MATCH(E1781,Limits!$A$2:$A$5,0))</f>
        <v/>
      </c>
      <c r="J1781">
        <f>IF(F1781&gt;=I1781,"Action",IF(F1781&gt;=H1781,"Alert","Pass"))</f>
        <v/>
      </c>
      <c r="K1781" s="4">
        <f>DATE(YEAR(B1781),MONTH(B1781),1)</f>
        <v/>
      </c>
    </row>
    <row r="1782">
      <c r="A1782" t="inlineStr">
        <is>
          <t>EM001781</t>
        </is>
      </c>
      <c r="B1782" s="7" t="n">
        <v>46156</v>
      </c>
      <c r="C1782" t="inlineStr">
        <is>
          <t>CR-202</t>
        </is>
      </c>
      <c r="D1782" t="inlineStr">
        <is>
          <t>ISO 8</t>
        </is>
      </c>
      <c r="E1782" t="inlineStr">
        <is>
          <t>Surface contact</t>
        </is>
      </c>
      <c r="F1782" t="n">
        <v>1</v>
      </c>
      <c r="G1782" t="inlineStr">
        <is>
          <t>Tech A</t>
        </is>
      </c>
      <c r="H1782">
        <f>INDEX(Limits!$B$2:$B$5,MATCH(E1782,Limits!$A$2:$A$5,0))</f>
        <v/>
      </c>
      <c r="I1782">
        <f>INDEX(Limits!$C$2:$C$5,MATCH(E1782,Limits!$A$2:$A$5,0))</f>
        <v/>
      </c>
      <c r="J1782">
        <f>IF(F1782&gt;=I1782,"Action",IF(F1782&gt;=H1782,"Alert","Pass"))</f>
        <v/>
      </c>
      <c r="K1782" s="4">
        <f>DATE(YEAR(B1782),MONTH(B1782),1)</f>
        <v/>
      </c>
    </row>
    <row r="1783">
      <c r="A1783" t="inlineStr">
        <is>
          <t>EM001782</t>
        </is>
      </c>
      <c r="B1783" s="7" t="n">
        <v>46156</v>
      </c>
      <c r="C1783" t="inlineStr">
        <is>
          <t>CR-202</t>
        </is>
      </c>
      <c r="D1783" t="inlineStr">
        <is>
          <t>ISO 8</t>
        </is>
      </c>
      <c r="E1783" t="inlineStr">
        <is>
          <t>Compressed air</t>
        </is>
      </c>
      <c r="F1783" t="n">
        <v>0</v>
      </c>
      <c r="G1783" t="inlineStr">
        <is>
          <t>Tech B</t>
        </is>
      </c>
      <c r="H1783">
        <f>INDEX(Limits!$B$2:$B$5,MATCH(E1783,Limits!$A$2:$A$5,0))</f>
        <v/>
      </c>
      <c r="I1783">
        <f>INDEX(Limits!$C$2:$C$5,MATCH(E1783,Limits!$A$2:$A$5,0))</f>
        <v/>
      </c>
      <c r="J1783">
        <f>IF(F1783&gt;=I1783,"Action",IF(F1783&gt;=H1783,"Alert","Pass"))</f>
        <v/>
      </c>
      <c r="K1783" s="4">
        <f>DATE(YEAR(B1783),MONTH(B1783),1)</f>
        <v/>
      </c>
    </row>
    <row r="1784">
      <c r="A1784" t="inlineStr">
        <is>
          <t>EM001783</t>
        </is>
      </c>
      <c r="B1784" s="7" t="n">
        <v>46156</v>
      </c>
      <c r="C1784" t="inlineStr">
        <is>
          <t>CR-202</t>
        </is>
      </c>
      <c r="D1784" t="inlineStr">
        <is>
          <t>ISO 8</t>
        </is>
      </c>
      <c r="E1784" t="inlineStr">
        <is>
          <t>Personnel glove</t>
        </is>
      </c>
      <c r="F1784" t="n">
        <v>0</v>
      </c>
      <c r="G1784" t="inlineStr">
        <is>
          <t>Tech A</t>
        </is>
      </c>
      <c r="H1784">
        <f>INDEX(Limits!$B$2:$B$5,MATCH(E1784,Limits!$A$2:$A$5,0))</f>
        <v/>
      </c>
      <c r="I1784">
        <f>INDEX(Limits!$C$2:$C$5,MATCH(E1784,Limits!$A$2:$A$5,0))</f>
        <v/>
      </c>
      <c r="J1784">
        <f>IF(F1784&gt;=I1784,"Action",IF(F1784&gt;=H1784,"Alert","Pass"))</f>
        <v/>
      </c>
      <c r="K1784" s="4">
        <f>DATE(YEAR(B1784),MONTH(B1784),1)</f>
        <v/>
      </c>
    </row>
    <row r="1785">
      <c r="A1785" t="inlineStr">
        <is>
          <t>EM001784</t>
        </is>
      </c>
      <c r="B1785" s="7" t="n">
        <v>46156</v>
      </c>
      <c r="C1785" t="inlineStr">
        <is>
          <t>Gowning</t>
        </is>
      </c>
      <c r="D1785" t="inlineStr">
        <is>
          <t>ISO 8</t>
        </is>
      </c>
      <c r="E1785" t="inlineStr">
        <is>
          <t>Active air</t>
        </is>
      </c>
      <c r="F1785" t="n">
        <v>5</v>
      </c>
      <c r="G1785" t="inlineStr">
        <is>
          <t>Tech A</t>
        </is>
      </c>
      <c r="H1785">
        <f>INDEX(Limits!$B$2:$B$5,MATCH(E1785,Limits!$A$2:$A$5,0))</f>
        <v/>
      </c>
      <c r="I1785">
        <f>INDEX(Limits!$C$2:$C$5,MATCH(E1785,Limits!$A$2:$A$5,0))</f>
        <v/>
      </c>
      <c r="J1785">
        <f>IF(F1785&gt;=I1785,"Action",IF(F1785&gt;=H1785,"Alert","Pass"))</f>
        <v/>
      </c>
      <c r="K1785" s="4">
        <f>DATE(YEAR(B1785),MONTH(B1785),1)</f>
        <v/>
      </c>
    </row>
    <row r="1786">
      <c r="A1786" t="inlineStr">
        <is>
          <t>EM001785</t>
        </is>
      </c>
      <c r="B1786" s="7" t="n">
        <v>46156</v>
      </c>
      <c r="C1786" t="inlineStr">
        <is>
          <t>Gowning</t>
        </is>
      </c>
      <c r="D1786" t="inlineStr">
        <is>
          <t>ISO 8</t>
        </is>
      </c>
      <c r="E1786" t="inlineStr">
        <is>
          <t>Surface contact</t>
        </is>
      </c>
      <c r="F1786" t="n">
        <v>0</v>
      </c>
      <c r="G1786" t="inlineStr">
        <is>
          <t>Tech A</t>
        </is>
      </c>
      <c r="H1786">
        <f>INDEX(Limits!$B$2:$B$5,MATCH(E1786,Limits!$A$2:$A$5,0))</f>
        <v/>
      </c>
      <c r="I1786">
        <f>INDEX(Limits!$C$2:$C$5,MATCH(E1786,Limits!$A$2:$A$5,0))</f>
        <v/>
      </c>
      <c r="J1786">
        <f>IF(F1786&gt;=I1786,"Action",IF(F1786&gt;=H1786,"Alert","Pass"))</f>
        <v/>
      </c>
      <c r="K1786" s="4">
        <f>DATE(YEAR(B1786),MONTH(B1786),1)</f>
        <v/>
      </c>
    </row>
    <row r="1787">
      <c r="A1787" t="inlineStr">
        <is>
          <t>EM001786</t>
        </is>
      </c>
      <c r="B1787" s="7" t="n">
        <v>46156</v>
      </c>
      <c r="C1787" t="inlineStr">
        <is>
          <t>Gowning</t>
        </is>
      </c>
      <c r="D1787" t="inlineStr">
        <is>
          <t>ISO 8</t>
        </is>
      </c>
      <c r="E1787" t="inlineStr">
        <is>
          <t>Personnel glove</t>
        </is>
      </c>
      <c r="F1787" t="n">
        <v>0</v>
      </c>
      <c r="G1787" t="inlineStr">
        <is>
          <t>Tech C</t>
        </is>
      </c>
      <c r="H1787">
        <f>INDEX(Limits!$B$2:$B$5,MATCH(E1787,Limits!$A$2:$A$5,0))</f>
        <v/>
      </c>
      <c r="I1787">
        <f>INDEX(Limits!$C$2:$C$5,MATCH(E1787,Limits!$A$2:$A$5,0))</f>
        <v/>
      </c>
      <c r="J1787">
        <f>IF(F1787&gt;=I1787,"Action",IF(F1787&gt;=H1787,"Alert","Pass"))</f>
        <v/>
      </c>
      <c r="K1787" s="4">
        <f>DATE(YEAR(B1787),MONTH(B1787),1)</f>
        <v/>
      </c>
    </row>
    <row r="1788">
      <c r="A1788" t="inlineStr">
        <is>
          <t>EM001787</t>
        </is>
      </c>
      <c r="B1788" s="7" t="n">
        <v>46157</v>
      </c>
      <c r="C1788" t="inlineStr">
        <is>
          <t>CR-101</t>
        </is>
      </c>
      <c r="D1788" t="inlineStr">
        <is>
          <t>ISO 7</t>
        </is>
      </c>
      <c r="E1788" t="inlineStr">
        <is>
          <t>Active air</t>
        </is>
      </c>
      <c r="F1788" t="n">
        <v>0</v>
      </c>
      <c r="G1788" t="inlineStr">
        <is>
          <t>Tech A</t>
        </is>
      </c>
      <c r="H1788">
        <f>INDEX(Limits!$B$2:$B$5,MATCH(E1788,Limits!$A$2:$A$5,0))</f>
        <v/>
      </c>
      <c r="I1788">
        <f>INDEX(Limits!$C$2:$C$5,MATCH(E1788,Limits!$A$2:$A$5,0))</f>
        <v/>
      </c>
      <c r="J1788">
        <f>IF(F1788&gt;=I1788,"Action",IF(F1788&gt;=H1788,"Alert","Pass"))</f>
        <v/>
      </c>
      <c r="K1788" s="4">
        <f>DATE(YEAR(B1788),MONTH(B1788),1)</f>
        <v/>
      </c>
    </row>
    <row r="1789">
      <c r="A1789" t="inlineStr">
        <is>
          <t>EM001788</t>
        </is>
      </c>
      <c r="B1789" s="7" t="n">
        <v>46157</v>
      </c>
      <c r="C1789" t="inlineStr">
        <is>
          <t>CR-101</t>
        </is>
      </c>
      <c r="D1789" t="inlineStr">
        <is>
          <t>ISO 7</t>
        </is>
      </c>
      <c r="E1789" t="inlineStr">
        <is>
          <t>Surface contact</t>
        </is>
      </c>
      <c r="F1789" t="n">
        <v>1</v>
      </c>
      <c r="G1789" t="inlineStr">
        <is>
          <t>Tech B</t>
        </is>
      </c>
      <c r="H1789">
        <f>INDEX(Limits!$B$2:$B$5,MATCH(E1789,Limits!$A$2:$A$5,0))</f>
        <v/>
      </c>
      <c r="I1789">
        <f>INDEX(Limits!$C$2:$C$5,MATCH(E1789,Limits!$A$2:$A$5,0))</f>
        <v/>
      </c>
      <c r="J1789">
        <f>IF(F1789&gt;=I1789,"Action",IF(F1789&gt;=H1789,"Alert","Pass"))</f>
        <v/>
      </c>
      <c r="K1789" s="4">
        <f>DATE(YEAR(B1789),MONTH(B1789),1)</f>
        <v/>
      </c>
    </row>
    <row r="1790">
      <c r="A1790" t="inlineStr">
        <is>
          <t>EM001789</t>
        </is>
      </c>
      <c r="B1790" s="7" t="n">
        <v>46157</v>
      </c>
      <c r="C1790" t="inlineStr">
        <is>
          <t>CR-101</t>
        </is>
      </c>
      <c r="D1790" t="inlineStr">
        <is>
          <t>ISO 7</t>
        </is>
      </c>
      <c r="E1790" t="inlineStr">
        <is>
          <t>Compressed air</t>
        </is>
      </c>
      <c r="F1790" t="n">
        <v>0</v>
      </c>
      <c r="G1790" t="inlineStr">
        <is>
          <t>Tech A</t>
        </is>
      </c>
      <c r="H1790">
        <f>INDEX(Limits!$B$2:$B$5,MATCH(E1790,Limits!$A$2:$A$5,0))</f>
        <v/>
      </c>
      <c r="I1790">
        <f>INDEX(Limits!$C$2:$C$5,MATCH(E1790,Limits!$A$2:$A$5,0))</f>
        <v/>
      </c>
      <c r="J1790">
        <f>IF(F1790&gt;=I1790,"Action",IF(F1790&gt;=H1790,"Alert","Pass"))</f>
        <v/>
      </c>
      <c r="K1790" s="4">
        <f>DATE(YEAR(B1790),MONTH(B1790),1)</f>
        <v/>
      </c>
    </row>
    <row r="1791">
      <c r="A1791" t="inlineStr">
        <is>
          <t>EM001790</t>
        </is>
      </c>
      <c r="B1791" s="7" t="n">
        <v>46157</v>
      </c>
      <c r="C1791" t="inlineStr">
        <is>
          <t>CR-101</t>
        </is>
      </c>
      <c r="D1791" t="inlineStr">
        <is>
          <t>ISO 7</t>
        </is>
      </c>
      <c r="E1791" t="inlineStr">
        <is>
          <t>Personnel glove</t>
        </is>
      </c>
      <c r="F1791" t="n">
        <v>0</v>
      </c>
      <c r="G1791" t="inlineStr">
        <is>
          <t>Tech D</t>
        </is>
      </c>
      <c r="H1791">
        <f>INDEX(Limits!$B$2:$B$5,MATCH(E1791,Limits!$A$2:$A$5,0))</f>
        <v/>
      </c>
      <c r="I1791">
        <f>INDEX(Limits!$C$2:$C$5,MATCH(E1791,Limits!$A$2:$A$5,0))</f>
        <v/>
      </c>
      <c r="J1791">
        <f>IF(F1791&gt;=I1791,"Action",IF(F1791&gt;=H1791,"Alert","Pass"))</f>
        <v/>
      </c>
      <c r="K1791" s="4">
        <f>DATE(YEAR(B1791),MONTH(B1791),1)</f>
        <v/>
      </c>
    </row>
    <row r="1792">
      <c r="A1792" t="inlineStr">
        <is>
          <t>EM001791</t>
        </is>
      </c>
      <c r="B1792" s="7" t="n">
        <v>46157</v>
      </c>
      <c r="C1792" t="inlineStr">
        <is>
          <t>CR-102</t>
        </is>
      </c>
      <c r="D1792" t="inlineStr">
        <is>
          <t>ISO 7</t>
        </is>
      </c>
      <c r="E1792" t="inlineStr">
        <is>
          <t>Active air</t>
        </is>
      </c>
      <c r="F1792" t="n">
        <v>1</v>
      </c>
      <c r="G1792" t="inlineStr">
        <is>
          <t>Tech A</t>
        </is>
      </c>
      <c r="H1792">
        <f>INDEX(Limits!$B$2:$B$5,MATCH(E1792,Limits!$A$2:$A$5,0))</f>
        <v/>
      </c>
      <c r="I1792">
        <f>INDEX(Limits!$C$2:$C$5,MATCH(E1792,Limits!$A$2:$A$5,0))</f>
        <v/>
      </c>
      <c r="J1792">
        <f>IF(F1792&gt;=I1792,"Action",IF(F1792&gt;=H1792,"Alert","Pass"))</f>
        <v/>
      </c>
      <c r="K1792" s="4">
        <f>DATE(YEAR(B1792),MONTH(B1792),1)</f>
        <v/>
      </c>
    </row>
    <row r="1793">
      <c r="A1793" t="inlineStr">
        <is>
          <t>EM001792</t>
        </is>
      </c>
      <c r="B1793" s="7" t="n">
        <v>46157</v>
      </c>
      <c r="C1793" t="inlineStr">
        <is>
          <t>CR-102</t>
        </is>
      </c>
      <c r="D1793" t="inlineStr">
        <is>
          <t>ISO 7</t>
        </is>
      </c>
      <c r="E1793" t="inlineStr">
        <is>
          <t>Surface contact</t>
        </is>
      </c>
      <c r="F1793" t="n">
        <v>3</v>
      </c>
      <c r="G1793" t="inlineStr">
        <is>
          <t>Tech D</t>
        </is>
      </c>
      <c r="H1793">
        <f>INDEX(Limits!$B$2:$B$5,MATCH(E1793,Limits!$A$2:$A$5,0))</f>
        <v/>
      </c>
      <c r="I1793">
        <f>INDEX(Limits!$C$2:$C$5,MATCH(E1793,Limits!$A$2:$A$5,0))</f>
        <v/>
      </c>
      <c r="J1793">
        <f>IF(F1793&gt;=I1793,"Action",IF(F1793&gt;=H1793,"Alert","Pass"))</f>
        <v/>
      </c>
      <c r="K1793" s="4">
        <f>DATE(YEAR(B1793),MONTH(B1793),1)</f>
        <v/>
      </c>
    </row>
    <row r="1794">
      <c r="A1794" t="inlineStr">
        <is>
          <t>EM001793</t>
        </is>
      </c>
      <c r="B1794" s="7" t="n">
        <v>46157</v>
      </c>
      <c r="C1794" t="inlineStr">
        <is>
          <t>CR-102</t>
        </is>
      </c>
      <c r="D1794" t="inlineStr">
        <is>
          <t>ISO 7</t>
        </is>
      </c>
      <c r="E1794" t="inlineStr">
        <is>
          <t>Compressed air</t>
        </is>
      </c>
      <c r="F1794" t="n">
        <v>0</v>
      </c>
      <c r="G1794" t="inlineStr">
        <is>
          <t>Tech C</t>
        </is>
      </c>
      <c r="H1794">
        <f>INDEX(Limits!$B$2:$B$5,MATCH(E1794,Limits!$A$2:$A$5,0))</f>
        <v/>
      </c>
      <c r="I1794">
        <f>INDEX(Limits!$C$2:$C$5,MATCH(E1794,Limits!$A$2:$A$5,0))</f>
        <v/>
      </c>
      <c r="J1794">
        <f>IF(F1794&gt;=I1794,"Action",IF(F1794&gt;=H1794,"Alert","Pass"))</f>
        <v/>
      </c>
      <c r="K1794" s="4">
        <f>DATE(YEAR(B1794),MONTH(B1794),1)</f>
        <v/>
      </c>
    </row>
    <row r="1795">
      <c r="A1795" t="inlineStr">
        <is>
          <t>EM001794</t>
        </is>
      </c>
      <c r="B1795" s="7" t="n">
        <v>46157</v>
      </c>
      <c r="C1795" t="inlineStr">
        <is>
          <t>CR-102</t>
        </is>
      </c>
      <c r="D1795" t="inlineStr">
        <is>
          <t>ISO 7</t>
        </is>
      </c>
      <c r="E1795" t="inlineStr">
        <is>
          <t>Personnel glove</t>
        </is>
      </c>
      <c r="F1795" t="n">
        <v>0</v>
      </c>
      <c r="G1795" t="inlineStr">
        <is>
          <t>Tech B</t>
        </is>
      </c>
      <c r="H1795">
        <f>INDEX(Limits!$B$2:$B$5,MATCH(E1795,Limits!$A$2:$A$5,0))</f>
        <v/>
      </c>
      <c r="I1795">
        <f>INDEX(Limits!$C$2:$C$5,MATCH(E1795,Limits!$A$2:$A$5,0))</f>
        <v/>
      </c>
      <c r="J1795">
        <f>IF(F1795&gt;=I1795,"Action",IF(F1795&gt;=H1795,"Alert","Pass"))</f>
        <v/>
      </c>
      <c r="K1795" s="4">
        <f>DATE(YEAR(B1795),MONTH(B1795),1)</f>
        <v/>
      </c>
    </row>
    <row r="1796">
      <c r="A1796" t="inlineStr">
        <is>
          <t>EM001795</t>
        </is>
      </c>
      <c r="B1796" s="7" t="n">
        <v>46157</v>
      </c>
      <c r="C1796" t="inlineStr">
        <is>
          <t>CR-201</t>
        </is>
      </c>
      <c r="D1796" t="inlineStr">
        <is>
          <t>ISO 8</t>
        </is>
      </c>
      <c r="E1796" t="inlineStr">
        <is>
          <t>Active air</t>
        </is>
      </c>
      <c r="F1796" t="n">
        <v>1</v>
      </c>
      <c r="G1796" t="inlineStr">
        <is>
          <t>Tech B</t>
        </is>
      </c>
      <c r="H1796">
        <f>INDEX(Limits!$B$2:$B$5,MATCH(E1796,Limits!$A$2:$A$5,0))</f>
        <v/>
      </c>
      <c r="I1796">
        <f>INDEX(Limits!$C$2:$C$5,MATCH(E1796,Limits!$A$2:$A$5,0))</f>
        <v/>
      </c>
      <c r="J1796">
        <f>IF(F1796&gt;=I1796,"Action",IF(F1796&gt;=H1796,"Alert","Pass"))</f>
        <v/>
      </c>
      <c r="K1796" s="4">
        <f>DATE(YEAR(B1796),MONTH(B1796),1)</f>
        <v/>
      </c>
    </row>
    <row r="1797">
      <c r="A1797" t="inlineStr">
        <is>
          <t>EM001796</t>
        </is>
      </c>
      <c r="B1797" s="7" t="n">
        <v>46157</v>
      </c>
      <c r="C1797" t="inlineStr">
        <is>
          <t>CR-201</t>
        </is>
      </c>
      <c r="D1797" t="inlineStr">
        <is>
          <t>ISO 8</t>
        </is>
      </c>
      <c r="E1797" t="inlineStr">
        <is>
          <t>Surface contact</t>
        </is>
      </c>
      <c r="F1797" t="n">
        <v>2</v>
      </c>
      <c r="G1797" t="inlineStr">
        <is>
          <t>Tech B</t>
        </is>
      </c>
      <c r="H1797">
        <f>INDEX(Limits!$B$2:$B$5,MATCH(E1797,Limits!$A$2:$A$5,0))</f>
        <v/>
      </c>
      <c r="I1797">
        <f>INDEX(Limits!$C$2:$C$5,MATCH(E1797,Limits!$A$2:$A$5,0))</f>
        <v/>
      </c>
      <c r="J1797">
        <f>IF(F1797&gt;=I1797,"Action",IF(F1797&gt;=H1797,"Alert","Pass"))</f>
        <v/>
      </c>
      <c r="K1797" s="4">
        <f>DATE(YEAR(B1797),MONTH(B1797),1)</f>
        <v/>
      </c>
    </row>
    <row r="1798">
      <c r="A1798" t="inlineStr">
        <is>
          <t>EM001797</t>
        </is>
      </c>
      <c r="B1798" s="7" t="n">
        <v>46157</v>
      </c>
      <c r="C1798" t="inlineStr">
        <is>
          <t>CR-201</t>
        </is>
      </c>
      <c r="D1798" t="inlineStr">
        <is>
          <t>ISO 8</t>
        </is>
      </c>
      <c r="E1798" t="inlineStr">
        <is>
          <t>Compressed air</t>
        </is>
      </c>
      <c r="F1798" t="n">
        <v>0</v>
      </c>
      <c r="G1798" t="inlineStr">
        <is>
          <t>Tech D</t>
        </is>
      </c>
      <c r="H1798">
        <f>INDEX(Limits!$B$2:$B$5,MATCH(E1798,Limits!$A$2:$A$5,0))</f>
        <v/>
      </c>
      <c r="I1798">
        <f>INDEX(Limits!$C$2:$C$5,MATCH(E1798,Limits!$A$2:$A$5,0))</f>
        <v/>
      </c>
      <c r="J1798">
        <f>IF(F1798&gt;=I1798,"Action",IF(F1798&gt;=H1798,"Alert","Pass"))</f>
        <v/>
      </c>
      <c r="K1798" s="4">
        <f>DATE(YEAR(B1798),MONTH(B1798),1)</f>
        <v/>
      </c>
    </row>
    <row r="1799">
      <c r="A1799" t="inlineStr">
        <is>
          <t>EM001798</t>
        </is>
      </c>
      <c r="B1799" s="7" t="n">
        <v>46157</v>
      </c>
      <c r="C1799" t="inlineStr">
        <is>
          <t>CR-201</t>
        </is>
      </c>
      <c r="D1799" t="inlineStr">
        <is>
          <t>ISO 8</t>
        </is>
      </c>
      <c r="E1799" t="inlineStr">
        <is>
          <t>Personnel glove</t>
        </is>
      </c>
      <c r="F1799" t="n">
        <v>0</v>
      </c>
      <c r="G1799" t="inlineStr">
        <is>
          <t>Tech B</t>
        </is>
      </c>
      <c r="H1799">
        <f>INDEX(Limits!$B$2:$B$5,MATCH(E1799,Limits!$A$2:$A$5,0))</f>
        <v/>
      </c>
      <c r="I1799">
        <f>INDEX(Limits!$C$2:$C$5,MATCH(E1799,Limits!$A$2:$A$5,0))</f>
        <v/>
      </c>
      <c r="J1799">
        <f>IF(F1799&gt;=I1799,"Action",IF(F1799&gt;=H1799,"Alert","Pass"))</f>
        <v/>
      </c>
      <c r="K1799" s="4">
        <f>DATE(YEAR(B1799),MONTH(B1799),1)</f>
        <v/>
      </c>
    </row>
    <row r="1800">
      <c r="A1800" t="inlineStr">
        <is>
          <t>EM001799</t>
        </is>
      </c>
      <c r="B1800" s="7" t="n">
        <v>46157</v>
      </c>
      <c r="C1800" t="inlineStr">
        <is>
          <t>CR-202</t>
        </is>
      </c>
      <c r="D1800" t="inlineStr">
        <is>
          <t>ISO 8</t>
        </is>
      </c>
      <c r="E1800" t="inlineStr">
        <is>
          <t>Active air</t>
        </is>
      </c>
      <c r="F1800" t="n">
        <v>3</v>
      </c>
      <c r="G1800" t="inlineStr">
        <is>
          <t>Tech B</t>
        </is>
      </c>
      <c r="H1800">
        <f>INDEX(Limits!$B$2:$B$5,MATCH(E1800,Limits!$A$2:$A$5,0))</f>
        <v/>
      </c>
      <c r="I1800">
        <f>INDEX(Limits!$C$2:$C$5,MATCH(E1800,Limits!$A$2:$A$5,0))</f>
        <v/>
      </c>
      <c r="J1800">
        <f>IF(F1800&gt;=I1800,"Action",IF(F1800&gt;=H1800,"Alert","Pass"))</f>
        <v/>
      </c>
      <c r="K1800" s="4">
        <f>DATE(YEAR(B1800),MONTH(B1800),1)</f>
        <v/>
      </c>
    </row>
    <row r="1801">
      <c r="A1801" t="inlineStr">
        <is>
          <t>EM001800</t>
        </is>
      </c>
      <c r="B1801" s="7" t="n">
        <v>46157</v>
      </c>
      <c r="C1801" t="inlineStr">
        <is>
          <t>CR-202</t>
        </is>
      </c>
      <c r="D1801" t="inlineStr">
        <is>
          <t>ISO 8</t>
        </is>
      </c>
      <c r="E1801" t="inlineStr">
        <is>
          <t>Surface contact</t>
        </is>
      </c>
      <c r="F1801" t="n">
        <v>0</v>
      </c>
      <c r="G1801" t="inlineStr">
        <is>
          <t>Tech B</t>
        </is>
      </c>
      <c r="H1801">
        <f>INDEX(Limits!$B$2:$B$5,MATCH(E1801,Limits!$A$2:$A$5,0))</f>
        <v/>
      </c>
      <c r="I1801">
        <f>INDEX(Limits!$C$2:$C$5,MATCH(E1801,Limits!$A$2:$A$5,0))</f>
        <v/>
      </c>
      <c r="J1801">
        <f>IF(F1801&gt;=I1801,"Action",IF(F1801&gt;=H1801,"Alert","Pass"))</f>
        <v/>
      </c>
      <c r="K1801" s="4">
        <f>DATE(YEAR(B1801),MONTH(B1801),1)</f>
        <v/>
      </c>
    </row>
    <row r="1802">
      <c r="A1802" t="inlineStr">
        <is>
          <t>EM001801</t>
        </is>
      </c>
      <c r="B1802" s="7" t="n">
        <v>46157</v>
      </c>
      <c r="C1802" t="inlineStr">
        <is>
          <t>CR-202</t>
        </is>
      </c>
      <c r="D1802" t="inlineStr">
        <is>
          <t>ISO 8</t>
        </is>
      </c>
      <c r="E1802" t="inlineStr">
        <is>
          <t>Compressed air</t>
        </is>
      </c>
      <c r="F1802" t="n">
        <v>0</v>
      </c>
      <c r="G1802" t="inlineStr">
        <is>
          <t>Tech D</t>
        </is>
      </c>
      <c r="H1802">
        <f>INDEX(Limits!$B$2:$B$5,MATCH(E1802,Limits!$A$2:$A$5,0))</f>
        <v/>
      </c>
      <c r="I1802">
        <f>INDEX(Limits!$C$2:$C$5,MATCH(E1802,Limits!$A$2:$A$5,0))</f>
        <v/>
      </c>
      <c r="J1802">
        <f>IF(F1802&gt;=I1802,"Action",IF(F1802&gt;=H1802,"Alert","Pass"))</f>
        <v/>
      </c>
      <c r="K1802" s="4">
        <f>DATE(YEAR(B1802),MONTH(B1802),1)</f>
        <v/>
      </c>
    </row>
    <row r="1803">
      <c r="A1803" t="inlineStr">
        <is>
          <t>EM001802</t>
        </is>
      </c>
      <c r="B1803" s="7" t="n">
        <v>46157</v>
      </c>
      <c r="C1803" t="inlineStr">
        <is>
          <t>CR-202</t>
        </is>
      </c>
      <c r="D1803" t="inlineStr">
        <is>
          <t>ISO 8</t>
        </is>
      </c>
      <c r="E1803" t="inlineStr">
        <is>
          <t>Personnel glove</t>
        </is>
      </c>
      <c r="F1803" t="n">
        <v>0</v>
      </c>
      <c r="G1803" t="inlineStr">
        <is>
          <t>Tech A</t>
        </is>
      </c>
      <c r="H1803">
        <f>INDEX(Limits!$B$2:$B$5,MATCH(E1803,Limits!$A$2:$A$5,0))</f>
        <v/>
      </c>
      <c r="I1803">
        <f>INDEX(Limits!$C$2:$C$5,MATCH(E1803,Limits!$A$2:$A$5,0))</f>
        <v/>
      </c>
      <c r="J1803">
        <f>IF(F1803&gt;=I1803,"Action",IF(F1803&gt;=H1803,"Alert","Pass"))</f>
        <v/>
      </c>
      <c r="K1803" s="4">
        <f>DATE(YEAR(B1803),MONTH(B1803),1)</f>
        <v/>
      </c>
    </row>
    <row r="1804">
      <c r="A1804" t="inlineStr">
        <is>
          <t>EM001803</t>
        </is>
      </c>
      <c r="B1804" s="7" t="n">
        <v>46157</v>
      </c>
      <c r="C1804" t="inlineStr">
        <is>
          <t>Gowning</t>
        </is>
      </c>
      <c r="D1804" t="inlineStr">
        <is>
          <t>ISO 8</t>
        </is>
      </c>
      <c r="E1804" t="inlineStr">
        <is>
          <t>Active air</t>
        </is>
      </c>
      <c r="F1804" t="n">
        <v>2</v>
      </c>
      <c r="G1804" t="inlineStr">
        <is>
          <t>Tech C</t>
        </is>
      </c>
      <c r="H1804">
        <f>INDEX(Limits!$B$2:$B$5,MATCH(E1804,Limits!$A$2:$A$5,0))</f>
        <v/>
      </c>
      <c r="I1804">
        <f>INDEX(Limits!$C$2:$C$5,MATCH(E1804,Limits!$A$2:$A$5,0))</f>
        <v/>
      </c>
      <c r="J1804">
        <f>IF(F1804&gt;=I1804,"Action",IF(F1804&gt;=H1804,"Alert","Pass"))</f>
        <v/>
      </c>
      <c r="K1804" s="4">
        <f>DATE(YEAR(B1804),MONTH(B1804),1)</f>
        <v/>
      </c>
    </row>
    <row r="1805">
      <c r="A1805" t="inlineStr">
        <is>
          <t>EM001804</t>
        </is>
      </c>
      <c r="B1805" s="7" t="n">
        <v>46157</v>
      </c>
      <c r="C1805" t="inlineStr">
        <is>
          <t>Gowning</t>
        </is>
      </c>
      <c r="D1805" t="inlineStr">
        <is>
          <t>ISO 8</t>
        </is>
      </c>
      <c r="E1805" t="inlineStr">
        <is>
          <t>Surface contact</t>
        </is>
      </c>
      <c r="F1805" t="n">
        <v>0</v>
      </c>
      <c r="G1805" t="inlineStr">
        <is>
          <t>Tech C</t>
        </is>
      </c>
      <c r="H1805">
        <f>INDEX(Limits!$B$2:$B$5,MATCH(E1805,Limits!$A$2:$A$5,0))</f>
        <v/>
      </c>
      <c r="I1805">
        <f>INDEX(Limits!$C$2:$C$5,MATCH(E1805,Limits!$A$2:$A$5,0))</f>
        <v/>
      </c>
      <c r="J1805">
        <f>IF(F1805&gt;=I1805,"Action",IF(F1805&gt;=H1805,"Alert","Pass"))</f>
        <v/>
      </c>
      <c r="K1805" s="4">
        <f>DATE(YEAR(B1805),MONTH(B1805),1)</f>
        <v/>
      </c>
    </row>
    <row r="1806">
      <c r="A1806" t="inlineStr">
        <is>
          <t>EM001805</t>
        </is>
      </c>
      <c r="B1806" s="7" t="n">
        <v>46157</v>
      </c>
      <c r="C1806" t="inlineStr">
        <is>
          <t>Gowning</t>
        </is>
      </c>
      <c r="D1806" t="inlineStr">
        <is>
          <t>ISO 8</t>
        </is>
      </c>
      <c r="E1806" t="inlineStr">
        <is>
          <t>Personnel glove</t>
        </is>
      </c>
      <c r="F1806" t="n">
        <v>0</v>
      </c>
      <c r="G1806" t="inlineStr">
        <is>
          <t>Tech D</t>
        </is>
      </c>
      <c r="H1806">
        <f>INDEX(Limits!$B$2:$B$5,MATCH(E1806,Limits!$A$2:$A$5,0))</f>
        <v/>
      </c>
      <c r="I1806">
        <f>INDEX(Limits!$C$2:$C$5,MATCH(E1806,Limits!$A$2:$A$5,0))</f>
        <v/>
      </c>
      <c r="J1806">
        <f>IF(F1806&gt;=I1806,"Action",IF(F1806&gt;=H1806,"Alert","Pass"))</f>
        <v/>
      </c>
      <c r="K1806" s="4">
        <f>DATE(YEAR(B1806),MONTH(B1806),1)</f>
        <v/>
      </c>
    </row>
    <row r="1807">
      <c r="A1807" t="inlineStr">
        <is>
          <t>EM001806</t>
        </is>
      </c>
      <c r="B1807" s="7" t="n">
        <v>46160</v>
      </c>
      <c r="C1807" t="inlineStr">
        <is>
          <t>CR-101</t>
        </is>
      </c>
      <c r="D1807" t="inlineStr">
        <is>
          <t>ISO 7</t>
        </is>
      </c>
      <c r="E1807" t="inlineStr">
        <is>
          <t>Active air</t>
        </is>
      </c>
      <c r="F1807" t="n">
        <v>1</v>
      </c>
      <c r="G1807" t="inlineStr">
        <is>
          <t>Tech D</t>
        </is>
      </c>
      <c r="H1807">
        <f>INDEX(Limits!$B$2:$B$5,MATCH(E1807,Limits!$A$2:$A$5,0))</f>
        <v/>
      </c>
      <c r="I1807">
        <f>INDEX(Limits!$C$2:$C$5,MATCH(E1807,Limits!$A$2:$A$5,0))</f>
        <v/>
      </c>
      <c r="J1807">
        <f>IF(F1807&gt;=I1807,"Action",IF(F1807&gt;=H1807,"Alert","Pass"))</f>
        <v/>
      </c>
      <c r="K1807" s="4">
        <f>DATE(YEAR(B1807),MONTH(B1807),1)</f>
        <v/>
      </c>
    </row>
    <row r="1808">
      <c r="A1808" t="inlineStr">
        <is>
          <t>EM001807</t>
        </is>
      </c>
      <c r="B1808" s="7" t="n">
        <v>46160</v>
      </c>
      <c r="C1808" t="inlineStr">
        <is>
          <t>CR-101</t>
        </is>
      </c>
      <c r="D1808" t="inlineStr">
        <is>
          <t>ISO 7</t>
        </is>
      </c>
      <c r="E1808" t="inlineStr">
        <is>
          <t>Surface contact</t>
        </is>
      </c>
      <c r="F1808" t="n">
        <v>0</v>
      </c>
      <c r="G1808" t="inlineStr">
        <is>
          <t>Tech B</t>
        </is>
      </c>
      <c r="H1808">
        <f>INDEX(Limits!$B$2:$B$5,MATCH(E1808,Limits!$A$2:$A$5,0))</f>
        <v/>
      </c>
      <c r="I1808">
        <f>INDEX(Limits!$C$2:$C$5,MATCH(E1808,Limits!$A$2:$A$5,0))</f>
        <v/>
      </c>
      <c r="J1808">
        <f>IF(F1808&gt;=I1808,"Action",IF(F1808&gt;=H1808,"Alert","Pass"))</f>
        <v/>
      </c>
      <c r="K1808" s="4">
        <f>DATE(YEAR(B1808),MONTH(B1808),1)</f>
        <v/>
      </c>
    </row>
    <row r="1809">
      <c r="A1809" t="inlineStr">
        <is>
          <t>EM001808</t>
        </is>
      </c>
      <c r="B1809" s="7" t="n">
        <v>46160</v>
      </c>
      <c r="C1809" t="inlineStr">
        <is>
          <t>CR-101</t>
        </is>
      </c>
      <c r="D1809" t="inlineStr">
        <is>
          <t>ISO 7</t>
        </is>
      </c>
      <c r="E1809" t="inlineStr">
        <is>
          <t>Compressed air</t>
        </is>
      </c>
      <c r="F1809" t="n">
        <v>0</v>
      </c>
      <c r="G1809" t="inlineStr">
        <is>
          <t>Tech B</t>
        </is>
      </c>
      <c r="H1809">
        <f>INDEX(Limits!$B$2:$B$5,MATCH(E1809,Limits!$A$2:$A$5,0))</f>
        <v/>
      </c>
      <c r="I1809">
        <f>INDEX(Limits!$C$2:$C$5,MATCH(E1809,Limits!$A$2:$A$5,0))</f>
        <v/>
      </c>
      <c r="J1809">
        <f>IF(F1809&gt;=I1809,"Action",IF(F1809&gt;=H1809,"Alert","Pass"))</f>
        <v/>
      </c>
      <c r="K1809" s="4">
        <f>DATE(YEAR(B1809),MONTH(B1809),1)</f>
        <v/>
      </c>
    </row>
    <row r="1810">
      <c r="A1810" t="inlineStr">
        <is>
          <t>EM001809</t>
        </is>
      </c>
      <c r="B1810" s="7" t="n">
        <v>46160</v>
      </c>
      <c r="C1810" t="inlineStr">
        <is>
          <t>CR-101</t>
        </is>
      </c>
      <c r="D1810" t="inlineStr">
        <is>
          <t>ISO 7</t>
        </is>
      </c>
      <c r="E1810" t="inlineStr">
        <is>
          <t>Personnel glove</t>
        </is>
      </c>
      <c r="F1810" t="n">
        <v>0</v>
      </c>
      <c r="G1810" t="inlineStr">
        <is>
          <t>Tech C</t>
        </is>
      </c>
      <c r="H1810">
        <f>INDEX(Limits!$B$2:$B$5,MATCH(E1810,Limits!$A$2:$A$5,0))</f>
        <v/>
      </c>
      <c r="I1810">
        <f>INDEX(Limits!$C$2:$C$5,MATCH(E1810,Limits!$A$2:$A$5,0))</f>
        <v/>
      </c>
      <c r="J1810">
        <f>IF(F1810&gt;=I1810,"Action",IF(F1810&gt;=H1810,"Alert","Pass"))</f>
        <v/>
      </c>
      <c r="K1810" s="4">
        <f>DATE(YEAR(B1810),MONTH(B1810),1)</f>
        <v/>
      </c>
    </row>
    <row r="1811">
      <c r="A1811" t="inlineStr">
        <is>
          <t>EM001810</t>
        </is>
      </c>
      <c r="B1811" s="7" t="n">
        <v>46160</v>
      </c>
      <c r="C1811" t="inlineStr">
        <is>
          <t>CR-102</t>
        </is>
      </c>
      <c r="D1811" t="inlineStr">
        <is>
          <t>ISO 7</t>
        </is>
      </c>
      <c r="E1811" t="inlineStr">
        <is>
          <t>Active air</t>
        </is>
      </c>
      <c r="F1811" t="n">
        <v>1</v>
      </c>
      <c r="G1811" t="inlineStr">
        <is>
          <t>Tech B</t>
        </is>
      </c>
      <c r="H1811">
        <f>INDEX(Limits!$B$2:$B$5,MATCH(E1811,Limits!$A$2:$A$5,0))</f>
        <v/>
      </c>
      <c r="I1811">
        <f>INDEX(Limits!$C$2:$C$5,MATCH(E1811,Limits!$A$2:$A$5,0))</f>
        <v/>
      </c>
      <c r="J1811">
        <f>IF(F1811&gt;=I1811,"Action",IF(F1811&gt;=H1811,"Alert","Pass"))</f>
        <v/>
      </c>
      <c r="K1811" s="4">
        <f>DATE(YEAR(B1811),MONTH(B1811),1)</f>
        <v/>
      </c>
    </row>
    <row r="1812">
      <c r="A1812" t="inlineStr">
        <is>
          <t>EM001811</t>
        </is>
      </c>
      <c r="B1812" s="7" t="n">
        <v>46160</v>
      </c>
      <c r="C1812" t="inlineStr">
        <is>
          <t>CR-102</t>
        </is>
      </c>
      <c r="D1812" t="inlineStr">
        <is>
          <t>ISO 7</t>
        </is>
      </c>
      <c r="E1812" t="inlineStr">
        <is>
          <t>Surface contact</t>
        </is>
      </c>
      <c r="F1812" t="n">
        <v>0</v>
      </c>
      <c r="G1812" t="inlineStr">
        <is>
          <t>Tech D</t>
        </is>
      </c>
      <c r="H1812">
        <f>INDEX(Limits!$B$2:$B$5,MATCH(E1812,Limits!$A$2:$A$5,0))</f>
        <v/>
      </c>
      <c r="I1812">
        <f>INDEX(Limits!$C$2:$C$5,MATCH(E1812,Limits!$A$2:$A$5,0))</f>
        <v/>
      </c>
      <c r="J1812">
        <f>IF(F1812&gt;=I1812,"Action",IF(F1812&gt;=H1812,"Alert","Pass"))</f>
        <v/>
      </c>
      <c r="K1812" s="4">
        <f>DATE(YEAR(B1812),MONTH(B1812),1)</f>
        <v/>
      </c>
    </row>
    <row r="1813">
      <c r="A1813" t="inlineStr">
        <is>
          <t>EM001812</t>
        </is>
      </c>
      <c r="B1813" s="7" t="n">
        <v>46160</v>
      </c>
      <c r="C1813" t="inlineStr">
        <is>
          <t>CR-102</t>
        </is>
      </c>
      <c r="D1813" t="inlineStr">
        <is>
          <t>ISO 7</t>
        </is>
      </c>
      <c r="E1813" t="inlineStr">
        <is>
          <t>Compressed air</t>
        </is>
      </c>
      <c r="F1813" t="n">
        <v>0</v>
      </c>
      <c r="G1813" t="inlineStr">
        <is>
          <t>Tech D</t>
        </is>
      </c>
      <c r="H1813">
        <f>INDEX(Limits!$B$2:$B$5,MATCH(E1813,Limits!$A$2:$A$5,0))</f>
        <v/>
      </c>
      <c r="I1813">
        <f>INDEX(Limits!$C$2:$C$5,MATCH(E1813,Limits!$A$2:$A$5,0))</f>
        <v/>
      </c>
      <c r="J1813">
        <f>IF(F1813&gt;=I1813,"Action",IF(F1813&gt;=H1813,"Alert","Pass"))</f>
        <v/>
      </c>
      <c r="K1813" s="4">
        <f>DATE(YEAR(B1813),MONTH(B1813),1)</f>
        <v/>
      </c>
    </row>
    <row r="1814">
      <c r="A1814" t="inlineStr">
        <is>
          <t>EM001813</t>
        </is>
      </c>
      <c r="B1814" s="7" t="n">
        <v>46160</v>
      </c>
      <c r="C1814" t="inlineStr">
        <is>
          <t>CR-102</t>
        </is>
      </c>
      <c r="D1814" t="inlineStr">
        <is>
          <t>ISO 7</t>
        </is>
      </c>
      <c r="E1814" t="inlineStr">
        <is>
          <t>Personnel glove</t>
        </is>
      </c>
      <c r="F1814" t="n">
        <v>0</v>
      </c>
      <c r="G1814" t="inlineStr">
        <is>
          <t>Tech B</t>
        </is>
      </c>
      <c r="H1814">
        <f>INDEX(Limits!$B$2:$B$5,MATCH(E1814,Limits!$A$2:$A$5,0))</f>
        <v/>
      </c>
      <c r="I1814">
        <f>INDEX(Limits!$C$2:$C$5,MATCH(E1814,Limits!$A$2:$A$5,0))</f>
        <v/>
      </c>
      <c r="J1814">
        <f>IF(F1814&gt;=I1814,"Action",IF(F1814&gt;=H1814,"Alert","Pass"))</f>
        <v/>
      </c>
      <c r="K1814" s="4">
        <f>DATE(YEAR(B1814),MONTH(B1814),1)</f>
        <v/>
      </c>
    </row>
    <row r="1815">
      <c r="A1815" t="inlineStr">
        <is>
          <t>EM001814</t>
        </is>
      </c>
      <c r="B1815" s="7" t="n">
        <v>46160</v>
      </c>
      <c r="C1815" t="inlineStr">
        <is>
          <t>CR-201</t>
        </is>
      </c>
      <c r="D1815" t="inlineStr">
        <is>
          <t>ISO 8</t>
        </is>
      </c>
      <c r="E1815" t="inlineStr">
        <is>
          <t>Active air</t>
        </is>
      </c>
      <c r="F1815" t="n">
        <v>2</v>
      </c>
      <c r="G1815" t="inlineStr">
        <is>
          <t>Tech D</t>
        </is>
      </c>
      <c r="H1815">
        <f>INDEX(Limits!$B$2:$B$5,MATCH(E1815,Limits!$A$2:$A$5,0))</f>
        <v/>
      </c>
      <c r="I1815">
        <f>INDEX(Limits!$C$2:$C$5,MATCH(E1815,Limits!$A$2:$A$5,0))</f>
        <v/>
      </c>
      <c r="J1815">
        <f>IF(F1815&gt;=I1815,"Action",IF(F1815&gt;=H1815,"Alert","Pass"))</f>
        <v/>
      </c>
      <c r="K1815" s="4">
        <f>DATE(YEAR(B1815),MONTH(B1815),1)</f>
        <v/>
      </c>
    </row>
    <row r="1816">
      <c r="A1816" t="inlineStr">
        <is>
          <t>EM001815</t>
        </is>
      </c>
      <c r="B1816" s="7" t="n">
        <v>46160</v>
      </c>
      <c r="C1816" t="inlineStr">
        <is>
          <t>CR-201</t>
        </is>
      </c>
      <c r="D1816" t="inlineStr">
        <is>
          <t>ISO 8</t>
        </is>
      </c>
      <c r="E1816" t="inlineStr">
        <is>
          <t>Surface contact</t>
        </is>
      </c>
      <c r="F1816" t="n">
        <v>1</v>
      </c>
      <c r="G1816" t="inlineStr">
        <is>
          <t>Tech D</t>
        </is>
      </c>
      <c r="H1816">
        <f>INDEX(Limits!$B$2:$B$5,MATCH(E1816,Limits!$A$2:$A$5,0))</f>
        <v/>
      </c>
      <c r="I1816">
        <f>INDEX(Limits!$C$2:$C$5,MATCH(E1816,Limits!$A$2:$A$5,0))</f>
        <v/>
      </c>
      <c r="J1816">
        <f>IF(F1816&gt;=I1816,"Action",IF(F1816&gt;=H1816,"Alert","Pass"))</f>
        <v/>
      </c>
      <c r="K1816" s="4">
        <f>DATE(YEAR(B1816),MONTH(B1816),1)</f>
        <v/>
      </c>
    </row>
    <row r="1817">
      <c r="A1817" t="inlineStr">
        <is>
          <t>EM001816</t>
        </is>
      </c>
      <c r="B1817" s="7" t="n">
        <v>46160</v>
      </c>
      <c r="C1817" t="inlineStr">
        <is>
          <t>CR-201</t>
        </is>
      </c>
      <c r="D1817" t="inlineStr">
        <is>
          <t>ISO 8</t>
        </is>
      </c>
      <c r="E1817" t="inlineStr">
        <is>
          <t>Compressed air</t>
        </is>
      </c>
      <c r="F1817" t="n">
        <v>0</v>
      </c>
      <c r="G1817" t="inlineStr">
        <is>
          <t>Tech B</t>
        </is>
      </c>
      <c r="H1817">
        <f>INDEX(Limits!$B$2:$B$5,MATCH(E1817,Limits!$A$2:$A$5,0))</f>
        <v/>
      </c>
      <c r="I1817">
        <f>INDEX(Limits!$C$2:$C$5,MATCH(E1817,Limits!$A$2:$A$5,0))</f>
        <v/>
      </c>
      <c r="J1817">
        <f>IF(F1817&gt;=I1817,"Action",IF(F1817&gt;=H1817,"Alert","Pass"))</f>
        <v/>
      </c>
      <c r="K1817" s="4">
        <f>DATE(YEAR(B1817),MONTH(B1817),1)</f>
        <v/>
      </c>
    </row>
    <row r="1818">
      <c r="A1818" t="inlineStr">
        <is>
          <t>EM001817</t>
        </is>
      </c>
      <c r="B1818" s="7" t="n">
        <v>46160</v>
      </c>
      <c r="C1818" t="inlineStr">
        <is>
          <t>CR-201</t>
        </is>
      </c>
      <c r="D1818" t="inlineStr">
        <is>
          <t>ISO 8</t>
        </is>
      </c>
      <c r="E1818" t="inlineStr">
        <is>
          <t>Personnel glove</t>
        </is>
      </c>
      <c r="F1818" t="n">
        <v>0</v>
      </c>
      <c r="G1818" t="inlineStr">
        <is>
          <t>Tech C</t>
        </is>
      </c>
      <c r="H1818">
        <f>INDEX(Limits!$B$2:$B$5,MATCH(E1818,Limits!$A$2:$A$5,0))</f>
        <v/>
      </c>
      <c r="I1818">
        <f>INDEX(Limits!$C$2:$C$5,MATCH(E1818,Limits!$A$2:$A$5,0))</f>
        <v/>
      </c>
      <c r="J1818">
        <f>IF(F1818&gt;=I1818,"Action",IF(F1818&gt;=H1818,"Alert","Pass"))</f>
        <v/>
      </c>
      <c r="K1818" s="4">
        <f>DATE(YEAR(B1818),MONTH(B1818),1)</f>
        <v/>
      </c>
    </row>
    <row r="1819">
      <c r="A1819" t="inlineStr">
        <is>
          <t>EM001818</t>
        </is>
      </c>
      <c r="B1819" s="7" t="n">
        <v>46160</v>
      </c>
      <c r="C1819" t="inlineStr">
        <is>
          <t>CR-202</t>
        </is>
      </c>
      <c r="D1819" t="inlineStr">
        <is>
          <t>ISO 8</t>
        </is>
      </c>
      <c r="E1819" t="inlineStr">
        <is>
          <t>Active air</t>
        </is>
      </c>
      <c r="F1819" t="n">
        <v>1</v>
      </c>
      <c r="G1819" t="inlineStr">
        <is>
          <t>Tech B</t>
        </is>
      </c>
      <c r="H1819">
        <f>INDEX(Limits!$B$2:$B$5,MATCH(E1819,Limits!$A$2:$A$5,0))</f>
        <v/>
      </c>
      <c r="I1819">
        <f>INDEX(Limits!$C$2:$C$5,MATCH(E1819,Limits!$A$2:$A$5,0))</f>
        <v/>
      </c>
      <c r="J1819">
        <f>IF(F1819&gt;=I1819,"Action",IF(F1819&gt;=H1819,"Alert","Pass"))</f>
        <v/>
      </c>
      <c r="K1819" s="4">
        <f>DATE(YEAR(B1819),MONTH(B1819),1)</f>
        <v/>
      </c>
    </row>
    <row r="1820">
      <c r="A1820" t="inlineStr">
        <is>
          <t>EM001819</t>
        </is>
      </c>
      <c r="B1820" s="7" t="n">
        <v>46160</v>
      </c>
      <c r="C1820" t="inlineStr">
        <is>
          <t>CR-202</t>
        </is>
      </c>
      <c r="D1820" t="inlineStr">
        <is>
          <t>ISO 8</t>
        </is>
      </c>
      <c r="E1820" t="inlineStr">
        <is>
          <t>Surface contact</t>
        </is>
      </c>
      <c r="F1820" t="n">
        <v>3</v>
      </c>
      <c r="G1820" t="inlineStr">
        <is>
          <t>Tech A</t>
        </is>
      </c>
      <c r="H1820">
        <f>INDEX(Limits!$B$2:$B$5,MATCH(E1820,Limits!$A$2:$A$5,0))</f>
        <v/>
      </c>
      <c r="I1820">
        <f>INDEX(Limits!$C$2:$C$5,MATCH(E1820,Limits!$A$2:$A$5,0))</f>
        <v/>
      </c>
      <c r="J1820">
        <f>IF(F1820&gt;=I1820,"Action",IF(F1820&gt;=H1820,"Alert","Pass"))</f>
        <v/>
      </c>
      <c r="K1820" s="4">
        <f>DATE(YEAR(B1820),MONTH(B1820),1)</f>
        <v/>
      </c>
    </row>
    <row r="1821">
      <c r="A1821" t="inlineStr">
        <is>
          <t>EM001820</t>
        </is>
      </c>
      <c r="B1821" s="7" t="n">
        <v>46160</v>
      </c>
      <c r="C1821" t="inlineStr">
        <is>
          <t>CR-202</t>
        </is>
      </c>
      <c r="D1821" t="inlineStr">
        <is>
          <t>ISO 8</t>
        </is>
      </c>
      <c r="E1821" t="inlineStr">
        <is>
          <t>Compressed air</t>
        </is>
      </c>
      <c r="F1821" t="n">
        <v>0</v>
      </c>
      <c r="G1821" t="inlineStr">
        <is>
          <t>Tech A</t>
        </is>
      </c>
      <c r="H1821">
        <f>INDEX(Limits!$B$2:$B$5,MATCH(E1821,Limits!$A$2:$A$5,0))</f>
        <v/>
      </c>
      <c r="I1821">
        <f>INDEX(Limits!$C$2:$C$5,MATCH(E1821,Limits!$A$2:$A$5,0))</f>
        <v/>
      </c>
      <c r="J1821">
        <f>IF(F1821&gt;=I1821,"Action",IF(F1821&gt;=H1821,"Alert","Pass"))</f>
        <v/>
      </c>
      <c r="K1821" s="4">
        <f>DATE(YEAR(B1821),MONTH(B1821),1)</f>
        <v/>
      </c>
    </row>
    <row r="1822">
      <c r="A1822" t="inlineStr">
        <is>
          <t>EM001821</t>
        </is>
      </c>
      <c r="B1822" s="7" t="n">
        <v>46160</v>
      </c>
      <c r="C1822" t="inlineStr">
        <is>
          <t>CR-202</t>
        </is>
      </c>
      <c r="D1822" t="inlineStr">
        <is>
          <t>ISO 8</t>
        </is>
      </c>
      <c r="E1822" t="inlineStr">
        <is>
          <t>Personnel glove</t>
        </is>
      </c>
      <c r="F1822" t="n">
        <v>0</v>
      </c>
      <c r="G1822" t="inlineStr">
        <is>
          <t>Tech B</t>
        </is>
      </c>
      <c r="H1822">
        <f>INDEX(Limits!$B$2:$B$5,MATCH(E1822,Limits!$A$2:$A$5,0))</f>
        <v/>
      </c>
      <c r="I1822">
        <f>INDEX(Limits!$C$2:$C$5,MATCH(E1822,Limits!$A$2:$A$5,0))</f>
        <v/>
      </c>
      <c r="J1822">
        <f>IF(F1822&gt;=I1822,"Action",IF(F1822&gt;=H1822,"Alert","Pass"))</f>
        <v/>
      </c>
      <c r="K1822" s="4">
        <f>DATE(YEAR(B1822),MONTH(B1822),1)</f>
        <v/>
      </c>
    </row>
    <row r="1823">
      <c r="A1823" t="inlineStr">
        <is>
          <t>EM001822</t>
        </is>
      </c>
      <c r="B1823" s="7" t="n">
        <v>46160</v>
      </c>
      <c r="C1823" t="inlineStr">
        <is>
          <t>Gowning</t>
        </is>
      </c>
      <c r="D1823" t="inlineStr">
        <is>
          <t>ISO 8</t>
        </is>
      </c>
      <c r="E1823" t="inlineStr">
        <is>
          <t>Active air</t>
        </is>
      </c>
      <c r="F1823" t="n">
        <v>1</v>
      </c>
      <c r="G1823" t="inlineStr">
        <is>
          <t>Tech C</t>
        </is>
      </c>
      <c r="H1823">
        <f>INDEX(Limits!$B$2:$B$5,MATCH(E1823,Limits!$A$2:$A$5,0))</f>
        <v/>
      </c>
      <c r="I1823">
        <f>INDEX(Limits!$C$2:$C$5,MATCH(E1823,Limits!$A$2:$A$5,0))</f>
        <v/>
      </c>
      <c r="J1823">
        <f>IF(F1823&gt;=I1823,"Action",IF(F1823&gt;=H1823,"Alert","Pass"))</f>
        <v/>
      </c>
      <c r="K1823" s="4">
        <f>DATE(YEAR(B1823),MONTH(B1823),1)</f>
        <v/>
      </c>
    </row>
    <row r="1824">
      <c r="A1824" t="inlineStr">
        <is>
          <t>EM001823</t>
        </is>
      </c>
      <c r="B1824" s="7" t="n">
        <v>46160</v>
      </c>
      <c r="C1824" t="inlineStr">
        <is>
          <t>Gowning</t>
        </is>
      </c>
      <c r="D1824" t="inlineStr">
        <is>
          <t>ISO 8</t>
        </is>
      </c>
      <c r="E1824" t="inlineStr">
        <is>
          <t>Surface contact</t>
        </is>
      </c>
      <c r="F1824" t="n">
        <v>0</v>
      </c>
      <c r="G1824" t="inlineStr">
        <is>
          <t>Tech B</t>
        </is>
      </c>
      <c r="H1824">
        <f>INDEX(Limits!$B$2:$B$5,MATCH(E1824,Limits!$A$2:$A$5,0))</f>
        <v/>
      </c>
      <c r="I1824">
        <f>INDEX(Limits!$C$2:$C$5,MATCH(E1824,Limits!$A$2:$A$5,0))</f>
        <v/>
      </c>
      <c r="J1824">
        <f>IF(F1824&gt;=I1824,"Action",IF(F1824&gt;=H1824,"Alert","Pass"))</f>
        <v/>
      </c>
      <c r="K1824" s="4">
        <f>DATE(YEAR(B1824),MONTH(B1824),1)</f>
        <v/>
      </c>
    </row>
    <row r="1825">
      <c r="A1825" t="inlineStr">
        <is>
          <t>EM001824</t>
        </is>
      </c>
      <c r="B1825" s="7" t="n">
        <v>46160</v>
      </c>
      <c r="C1825" t="inlineStr">
        <is>
          <t>Gowning</t>
        </is>
      </c>
      <c r="D1825" t="inlineStr">
        <is>
          <t>ISO 8</t>
        </is>
      </c>
      <c r="E1825" t="inlineStr">
        <is>
          <t>Personnel glove</t>
        </is>
      </c>
      <c r="F1825" t="n">
        <v>0</v>
      </c>
      <c r="G1825" t="inlineStr">
        <is>
          <t>Tech C</t>
        </is>
      </c>
      <c r="H1825">
        <f>INDEX(Limits!$B$2:$B$5,MATCH(E1825,Limits!$A$2:$A$5,0))</f>
        <v/>
      </c>
      <c r="I1825">
        <f>INDEX(Limits!$C$2:$C$5,MATCH(E1825,Limits!$A$2:$A$5,0))</f>
        <v/>
      </c>
      <c r="J1825">
        <f>IF(F1825&gt;=I1825,"Action",IF(F1825&gt;=H1825,"Alert","Pass"))</f>
        <v/>
      </c>
      <c r="K1825" s="4">
        <f>DATE(YEAR(B1825),MONTH(B1825),1)</f>
        <v/>
      </c>
    </row>
    <row r="1826">
      <c r="A1826" t="inlineStr">
        <is>
          <t>EM001825</t>
        </is>
      </c>
      <c r="B1826" s="7" t="n">
        <v>46161</v>
      </c>
      <c r="C1826" t="inlineStr">
        <is>
          <t>CR-101</t>
        </is>
      </c>
      <c r="D1826" t="inlineStr">
        <is>
          <t>ISO 7</t>
        </is>
      </c>
      <c r="E1826" t="inlineStr">
        <is>
          <t>Active air</t>
        </is>
      </c>
      <c r="F1826" t="n">
        <v>2</v>
      </c>
      <c r="G1826" t="inlineStr">
        <is>
          <t>Tech D</t>
        </is>
      </c>
      <c r="H1826">
        <f>INDEX(Limits!$B$2:$B$5,MATCH(E1826,Limits!$A$2:$A$5,0))</f>
        <v/>
      </c>
      <c r="I1826">
        <f>INDEX(Limits!$C$2:$C$5,MATCH(E1826,Limits!$A$2:$A$5,0))</f>
        <v/>
      </c>
      <c r="J1826">
        <f>IF(F1826&gt;=I1826,"Action",IF(F1826&gt;=H1826,"Alert","Pass"))</f>
        <v/>
      </c>
      <c r="K1826" s="4">
        <f>DATE(YEAR(B1826),MONTH(B1826),1)</f>
        <v/>
      </c>
    </row>
    <row r="1827">
      <c r="A1827" t="inlineStr">
        <is>
          <t>EM001826</t>
        </is>
      </c>
      <c r="B1827" s="7" t="n">
        <v>46161</v>
      </c>
      <c r="C1827" t="inlineStr">
        <is>
          <t>CR-101</t>
        </is>
      </c>
      <c r="D1827" t="inlineStr">
        <is>
          <t>ISO 7</t>
        </is>
      </c>
      <c r="E1827" t="inlineStr">
        <is>
          <t>Surface contact</t>
        </is>
      </c>
      <c r="F1827" t="n">
        <v>0</v>
      </c>
      <c r="G1827" t="inlineStr">
        <is>
          <t>Tech B</t>
        </is>
      </c>
      <c r="H1827">
        <f>INDEX(Limits!$B$2:$B$5,MATCH(E1827,Limits!$A$2:$A$5,0))</f>
        <v/>
      </c>
      <c r="I1827">
        <f>INDEX(Limits!$C$2:$C$5,MATCH(E1827,Limits!$A$2:$A$5,0))</f>
        <v/>
      </c>
      <c r="J1827">
        <f>IF(F1827&gt;=I1827,"Action",IF(F1827&gt;=H1827,"Alert","Pass"))</f>
        <v/>
      </c>
      <c r="K1827" s="4">
        <f>DATE(YEAR(B1827),MONTH(B1827),1)</f>
        <v/>
      </c>
    </row>
    <row r="1828">
      <c r="A1828" t="inlineStr">
        <is>
          <t>EM001827</t>
        </is>
      </c>
      <c r="B1828" s="7" t="n">
        <v>46161</v>
      </c>
      <c r="C1828" t="inlineStr">
        <is>
          <t>CR-101</t>
        </is>
      </c>
      <c r="D1828" t="inlineStr">
        <is>
          <t>ISO 7</t>
        </is>
      </c>
      <c r="E1828" t="inlineStr">
        <is>
          <t>Compressed air</t>
        </is>
      </c>
      <c r="F1828" t="n">
        <v>0</v>
      </c>
      <c r="G1828" t="inlineStr">
        <is>
          <t>Tech A</t>
        </is>
      </c>
      <c r="H1828">
        <f>INDEX(Limits!$B$2:$B$5,MATCH(E1828,Limits!$A$2:$A$5,0))</f>
        <v/>
      </c>
      <c r="I1828">
        <f>INDEX(Limits!$C$2:$C$5,MATCH(E1828,Limits!$A$2:$A$5,0))</f>
        <v/>
      </c>
      <c r="J1828">
        <f>IF(F1828&gt;=I1828,"Action",IF(F1828&gt;=H1828,"Alert","Pass"))</f>
        <v/>
      </c>
      <c r="K1828" s="4">
        <f>DATE(YEAR(B1828),MONTH(B1828),1)</f>
        <v/>
      </c>
    </row>
    <row r="1829">
      <c r="A1829" t="inlineStr">
        <is>
          <t>EM001828</t>
        </is>
      </c>
      <c r="B1829" s="7" t="n">
        <v>46161</v>
      </c>
      <c r="C1829" t="inlineStr">
        <is>
          <t>CR-101</t>
        </is>
      </c>
      <c r="D1829" t="inlineStr">
        <is>
          <t>ISO 7</t>
        </is>
      </c>
      <c r="E1829" t="inlineStr">
        <is>
          <t>Personnel glove</t>
        </is>
      </c>
      <c r="F1829" t="n">
        <v>0</v>
      </c>
      <c r="G1829" t="inlineStr">
        <is>
          <t>Tech A</t>
        </is>
      </c>
      <c r="H1829">
        <f>INDEX(Limits!$B$2:$B$5,MATCH(E1829,Limits!$A$2:$A$5,0))</f>
        <v/>
      </c>
      <c r="I1829">
        <f>INDEX(Limits!$C$2:$C$5,MATCH(E1829,Limits!$A$2:$A$5,0))</f>
        <v/>
      </c>
      <c r="J1829">
        <f>IF(F1829&gt;=I1829,"Action",IF(F1829&gt;=H1829,"Alert","Pass"))</f>
        <v/>
      </c>
      <c r="K1829" s="4">
        <f>DATE(YEAR(B1829),MONTH(B1829),1)</f>
        <v/>
      </c>
    </row>
    <row r="1830">
      <c r="A1830" t="inlineStr">
        <is>
          <t>EM001829</t>
        </is>
      </c>
      <c r="B1830" s="7" t="n">
        <v>46161</v>
      </c>
      <c r="C1830" t="inlineStr">
        <is>
          <t>CR-102</t>
        </is>
      </c>
      <c r="D1830" t="inlineStr">
        <is>
          <t>ISO 7</t>
        </is>
      </c>
      <c r="E1830" t="inlineStr">
        <is>
          <t>Active air</t>
        </is>
      </c>
      <c r="F1830" t="n">
        <v>1</v>
      </c>
      <c r="G1830" t="inlineStr">
        <is>
          <t>Tech C</t>
        </is>
      </c>
      <c r="H1830">
        <f>INDEX(Limits!$B$2:$B$5,MATCH(E1830,Limits!$A$2:$A$5,0))</f>
        <v/>
      </c>
      <c r="I1830">
        <f>INDEX(Limits!$C$2:$C$5,MATCH(E1830,Limits!$A$2:$A$5,0))</f>
        <v/>
      </c>
      <c r="J1830">
        <f>IF(F1830&gt;=I1830,"Action",IF(F1830&gt;=H1830,"Alert","Pass"))</f>
        <v/>
      </c>
      <c r="K1830" s="4">
        <f>DATE(YEAR(B1830),MONTH(B1830),1)</f>
        <v/>
      </c>
    </row>
    <row r="1831">
      <c r="A1831" t="inlineStr">
        <is>
          <t>EM001830</t>
        </is>
      </c>
      <c r="B1831" s="7" t="n">
        <v>46161</v>
      </c>
      <c r="C1831" t="inlineStr">
        <is>
          <t>CR-102</t>
        </is>
      </c>
      <c r="D1831" t="inlineStr">
        <is>
          <t>ISO 7</t>
        </is>
      </c>
      <c r="E1831" t="inlineStr">
        <is>
          <t>Surface contact</t>
        </is>
      </c>
      <c r="F1831" t="n">
        <v>0</v>
      </c>
      <c r="G1831" t="inlineStr">
        <is>
          <t>Tech A</t>
        </is>
      </c>
      <c r="H1831">
        <f>INDEX(Limits!$B$2:$B$5,MATCH(E1831,Limits!$A$2:$A$5,0))</f>
        <v/>
      </c>
      <c r="I1831">
        <f>INDEX(Limits!$C$2:$C$5,MATCH(E1831,Limits!$A$2:$A$5,0))</f>
        <v/>
      </c>
      <c r="J1831">
        <f>IF(F1831&gt;=I1831,"Action",IF(F1831&gt;=H1831,"Alert","Pass"))</f>
        <v/>
      </c>
      <c r="K1831" s="4">
        <f>DATE(YEAR(B1831),MONTH(B1831),1)</f>
        <v/>
      </c>
    </row>
    <row r="1832">
      <c r="A1832" t="inlineStr">
        <is>
          <t>EM001831</t>
        </is>
      </c>
      <c r="B1832" s="7" t="n">
        <v>46161</v>
      </c>
      <c r="C1832" t="inlineStr">
        <is>
          <t>CR-102</t>
        </is>
      </c>
      <c r="D1832" t="inlineStr">
        <is>
          <t>ISO 7</t>
        </is>
      </c>
      <c r="E1832" t="inlineStr">
        <is>
          <t>Compressed air</t>
        </is>
      </c>
      <c r="F1832" t="n">
        <v>0</v>
      </c>
      <c r="G1832" t="inlineStr">
        <is>
          <t>Tech B</t>
        </is>
      </c>
      <c r="H1832">
        <f>INDEX(Limits!$B$2:$B$5,MATCH(E1832,Limits!$A$2:$A$5,0))</f>
        <v/>
      </c>
      <c r="I1832">
        <f>INDEX(Limits!$C$2:$C$5,MATCH(E1832,Limits!$A$2:$A$5,0))</f>
        <v/>
      </c>
      <c r="J1832">
        <f>IF(F1832&gt;=I1832,"Action",IF(F1832&gt;=H1832,"Alert","Pass"))</f>
        <v/>
      </c>
      <c r="K1832" s="4">
        <f>DATE(YEAR(B1832),MONTH(B1832),1)</f>
        <v/>
      </c>
    </row>
    <row r="1833">
      <c r="A1833" t="inlineStr">
        <is>
          <t>EM001832</t>
        </is>
      </c>
      <c r="B1833" s="7" t="n">
        <v>46161</v>
      </c>
      <c r="C1833" t="inlineStr">
        <is>
          <t>CR-102</t>
        </is>
      </c>
      <c r="D1833" t="inlineStr">
        <is>
          <t>ISO 7</t>
        </is>
      </c>
      <c r="E1833" t="inlineStr">
        <is>
          <t>Personnel glove</t>
        </is>
      </c>
      <c r="F1833" t="n">
        <v>0</v>
      </c>
      <c r="G1833" t="inlineStr">
        <is>
          <t>Tech C</t>
        </is>
      </c>
      <c r="H1833">
        <f>INDEX(Limits!$B$2:$B$5,MATCH(E1833,Limits!$A$2:$A$5,0))</f>
        <v/>
      </c>
      <c r="I1833">
        <f>INDEX(Limits!$C$2:$C$5,MATCH(E1833,Limits!$A$2:$A$5,0))</f>
        <v/>
      </c>
      <c r="J1833">
        <f>IF(F1833&gt;=I1833,"Action",IF(F1833&gt;=H1833,"Alert","Pass"))</f>
        <v/>
      </c>
      <c r="K1833" s="4">
        <f>DATE(YEAR(B1833),MONTH(B1833),1)</f>
        <v/>
      </c>
    </row>
    <row r="1834">
      <c r="A1834" t="inlineStr">
        <is>
          <t>EM001833</t>
        </is>
      </c>
      <c r="B1834" s="7" t="n">
        <v>46161</v>
      </c>
      <c r="C1834" t="inlineStr">
        <is>
          <t>CR-201</t>
        </is>
      </c>
      <c r="D1834" t="inlineStr">
        <is>
          <t>ISO 8</t>
        </is>
      </c>
      <c r="E1834" t="inlineStr">
        <is>
          <t>Active air</t>
        </is>
      </c>
      <c r="F1834" t="n">
        <v>2</v>
      </c>
      <c r="G1834" t="inlineStr">
        <is>
          <t>Tech D</t>
        </is>
      </c>
      <c r="H1834">
        <f>INDEX(Limits!$B$2:$B$5,MATCH(E1834,Limits!$A$2:$A$5,0))</f>
        <v/>
      </c>
      <c r="I1834">
        <f>INDEX(Limits!$C$2:$C$5,MATCH(E1834,Limits!$A$2:$A$5,0))</f>
        <v/>
      </c>
      <c r="J1834">
        <f>IF(F1834&gt;=I1834,"Action",IF(F1834&gt;=H1834,"Alert","Pass"))</f>
        <v/>
      </c>
      <c r="K1834" s="4">
        <f>DATE(YEAR(B1834),MONTH(B1834),1)</f>
        <v/>
      </c>
    </row>
    <row r="1835">
      <c r="A1835" t="inlineStr">
        <is>
          <t>EM001834</t>
        </is>
      </c>
      <c r="B1835" s="7" t="n">
        <v>46161</v>
      </c>
      <c r="C1835" t="inlineStr">
        <is>
          <t>CR-201</t>
        </is>
      </c>
      <c r="D1835" t="inlineStr">
        <is>
          <t>ISO 8</t>
        </is>
      </c>
      <c r="E1835" t="inlineStr">
        <is>
          <t>Surface contact</t>
        </is>
      </c>
      <c r="F1835" t="n">
        <v>1</v>
      </c>
      <c r="G1835" t="inlineStr">
        <is>
          <t>Tech A</t>
        </is>
      </c>
      <c r="H1835">
        <f>INDEX(Limits!$B$2:$B$5,MATCH(E1835,Limits!$A$2:$A$5,0))</f>
        <v/>
      </c>
      <c r="I1835">
        <f>INDEX(Limits!$C$2:$C$5,MATCH(E1835,Limits!$A$2:$A$5,0))</f>
        <v/>
      </c>
      <c r="J1835">
        <f>IF(F1835&gt;=I1835,"Action",IF(F1835&gt;=H1835,"Alert","Pass"))</f>
        <v/>
      </c>
      <c r="K1835" s="4">
        <f>DATE(YEAR(B1835),MONTH(B1835),1)</f>
        <v/>
      </c>
    </row>
    <row r="1836">
      <c r="A1836" t="inlineStr">
        <is>
          <t>EM001835</t>
        </is>
      </c>
      <c r="B1836" s="7" t="n">
        <v>46161</v>
      </c>
      <c r="C1836" t="inlineStr">
        <is>
          <t>CR-201</t>
        </is>
      </c>
      <c r="D1836" t="inlineStr">
        <is>
          <t>ISO 8</t>
        </is>
      </c>
      <c r="E1836" t="inlineStr">
        <is>
          <t>Compressed air</t>
        </is>
      </c>
      <c r="F1836" t="n">
        <v>0</v>
      </c>
      <c r="G1836" t="inlineStr">
        <is>
          <t>Tech B</t>
        </is>
      </c>
      <c r="H1836">
        <f>INDEX(Limits!$B$2:$B$5,MATCH(E1836,Limits!$A$2:$A$5,0))</f>
        <v/>
      </c>
      <c r="I1836">
        <f>INDEX(Limits!$C$2:$C$5,MATCH(E1836,Limits!$A$2:$A$5,0))</f>
        <v/>
      </c>
      <c r="J1836">
        <f>IF(F1836&gt;=I1836,"Action",IF(F1836&gt;=H1836,"Alert","Pass"))</f>
        <v/>
      </c>
      <c r="K1836" s="4">
        <f>DATE(YEAR(B1836),MONTH(B1836),1)</f>
        <v/>
      </c>
    </row>
    <row r="1837">
      <c r="A1837" t="inlineStr">
        <is>
          <t>EM001836</t>
        </is>
      </c>
      <c r="B1837" s="7" t="n">
        <v>46161</v>
      </c>
      <c r="C1837" t="inlineStr">
        <is>
          <t>CR-201</t>
        </is>
      </c>
      <c r="D1837" t="inlineStr">
        <is>
          <t>ISO 8</t>
        </is>
      </c>
      <c r="E1837" t="inlineStr">
        <is>
          <t>Personnel glove</t>
        </is>
      </c>
      <c r="F1837" t="n">
        <v>0</v>
      </c>
      <c r="G1837" t="inlineStr">
        <is>
          <t>Tech C</t>
        </is>
      </c>
      <c r="H1837">
        <f>INDEX(Limits!$B$2:$B$5,MATCH(E1837,Limits!$A$2:$A$5,0))</f>
        <v/>
      </c>
      <c r="I1837">
        <f>INDEX(Limits!$C$2:$C$5,MATCH(E1837,Limits!$A$2:$A$5,0))</f>
        <v/>
      </c>
      <c r="J1837">
        <f>IF(F1837&gt;=I1837,"Action",IF(F1837&gt;=H1837,"Alert","Pass"))</f>
        <v/>
      </c>
      <c r="K1837" s="4">
        <f>DATE(YEAR(B1837),MONTH(B1837),1)</f>
        <v/>
      </c>
    </row>
    <row r="1838">
      <c r="A1838" t="inlineStr">
        <is>
          <t>EM001837</t>
        </is>
      </c>
      <c r="B1838" s="7" t="n">
        <v>46161</v>
      </c>
      <c r="C1838" t="inlineStr">
        <is>
          <t>CR-202</t>
        </is>
      </c>
      <c r="D1838" t="inlineStr">
        <is>
          <t>ISO 8</t>
        </is>
      </c>
      <c r="E1838" t="inlineStr">
        <is>
          <t>Active air</t>
        </is>
      </c>
      <c r="F1838" t="n">
        <v>1</v>
      </c>
      <c r="G1838" t="inlineStr">
        <is>
          <t>Tech B</t>
        </is>
      </c>
      <c r="H1838">
        <f>INDEX(Limits!$B$2:$B$5,MATCH(E1838,Limits!$A$2:$A$5,0))</f>
        <v/>
      </c>
      <c r="I1838">
        <f>INDEX(Limits!$C$2:$C$5,MATCH(E1838,Limits!$A$2:$A$5,0))</f>
        <v/>
      </c>
      <c r="J1838">
        <f>IF(F1838&gt;=I1838,"Action",IF(F1838&gt;=H1838,"Alert","Pass"))</f>
        <v/>
      </c>
      <c r="K1838" s="4">
        <f>DATE(YEAR(B1838),MONTH(B1838),1)</f>
        <v/>
      </c>
    </row>
    <row r="1839">
      <c r="A1839" t="inlineStr">
        <is>
          <t>EM001838</t>
        </is>
      </c>
      <c r="B1839" s="7" t="n">
        <v>46161</v>
      </c>
      <c r="C1839" t="inlineStr">
        <is>
          <t>CR-202</t>
        </is>
      </c>
      <c r="D1839" t="inlineStr">
        <is>
          <t>ISO 8</t>
        </is>
      </c>
      <c r="E1839" t="inlineStr">
        <is>
          <t>Surface contact</t>
        </is>
      </c>
      <c r="F1839" t="n">
        <v>0</v>
      </c>
      <c r="G1839" t="inlineStr">
        <is>
          <t>Tech B</t>
        </is>
      </c>
      <c r="H1839">
        <f>INDEX(Limits!$B$2:$B$5,MATCH(E1839,Limits!$A$2:$A$5,0))</f>
        <v/>
      </c>
      <c r="I1839">
        <f>INDEX(Limits!$C$2:$C$5,MATCH(E1839,Limits!$A$2:$A$5,0))</f>
        <v/>
      </c>
      <c r="J1839">
        <f>IF(F1839&gt;=I1839,"Action",IF(F1839&gt;=H1839,"Alert","Pass"))</f>
        <v/>
      </c>
      <c r="K1839" s="4">
        <f>DATE(YEAR(B1839),MONTH(B1839),1)</f>
        <v/>
      </c>
    </row>
    <row r="1840">
      <c r="A1840" t="inlineStr">
        <is>
          <t>EM001839</t>
        </is>
      </c>
      <c r="B1840" s="7" t="n">
        <v>46161</v>
      </c>
      <c r="C1840" t="inlineStr">
        <is>
          <t>CR-202</t>
        </is>
      </c>
      <c r="D1840" t="inlineStr">
        <is>
          <t>ISO 8</t>
        </is>
      </c>
      <c r="E1840" t="inlineStr">
        <is>
          <t>Compressed air</t>
        </is>
      </c>
      <c r="F1840" t="n">
        <v>0</v>
      </c>
      <c r="G1840" t="inlineStr">
        <is>
          <t>Tech C</t>
        </is>
      </c>
      <c r="H1840">
        <f>INDEX(Limits!$B$2:$B$5,MATCH(E1840,Limits!$A$2:$A$5,0))</f>
        <v/>
      </c>
      <c r="I1840">
        <f>INDEX(Limits!$C$2:$C$5,MATCH(E1840,Limits!$A$2:$A$5,0))</f>
        <v/>
      </c>
      <c r="J1840">
        <f>IF(F1840&gt;=I1840,"Action",IF(F1840&gt;=H1840,"Alert","Pass"))</f>
        <v/>
      </c>
      <c r="K1840" s="4">
        <f>DATE(YEAR(B1840),MONTH(B1840),1)</f>
        <v/>
      </c>
    </row>
    <row r="1841">
      <c r="A1841" t="inlineStr">
        <is>
          <t>EM001840</t>
        </is>
      </c>
      <c r="B1841" s="7" t="n">
        <v>46161</v>
      </c>
      <c r="C1841" t="inlineStr">
        <is>
          <t>CR-202</t>
        </is>
      </c>
      <c r="D1841" t="inlineStr">
        <is>
          <t>ISO 8</t>
        </is>
      </c>
      <c r="E1841" t="inlineStr">
        <is>
          <t>Personnel glove</t>
        </is>
      </c>
      <c r="F1841" t="n">
        <v>0</v>
      </c>
      <c r="G1841" t="inlineStr">
        <is>
          <t>Tech C</t>
        </is>
      </c>
      <c r="H1841">
        <f>INDEX(Limits!$B$2:$B$5,MATCH(E1841,Limits!$A$2:$A$5,0))</f>
        <v/>
      </c>
      <c r="I1841">
        <f>INDEX(Limits!$C$2:$C$5,MATCH(E1841,Limits!$A$2:$A$5,0))</f>
        <v/>
      </c>
      <c r="J1841">
        <f>IF(F1841&gt;=I1841,"Action",IF(F1841&gt;=H1841,"Alert","Pass"))</f>
        <v/>
      </c>
      <c r="K1841" s="4">
        <f>DATE(YEAR(B1841),MONTH(B1841),1)</f>
        <v/>
      </c>
    </row>
    <row r="1842">
      <c r="A1842" t="inlineStr">
        <is>
          <t>EM001841</t>
        </is>
      </c>
      <c r="B1842" s="7" t="n">
        <v>46161</v>
      </c>
      <c r="C1842" t="inlineStr">
        <is>
          <t>Gowning</t>
        </is>
      </c>
      <c r="D1842" t="inlineStr">
        <is>
          <t>ISO 8</t>
        </is>
      </c>
      <c r="E1842" t="inlineStr">
        <is>
          <t>Active air</t>
        </is>
      </c>
      <c r="F1842" t="n">
        <v>1</v>
      </c>
      <c r="G1842" t="inlineStr">
        <is>
          <t>Tech C</t>
        </is>
      </c>
      <c r="H1842">
        <f>INDEX(Limits!$B$2:$B$5,MATCH(E1842,Limits!$A$2:$A$5,0))</f>
        <v/>
      </c>
      <c r="I1842">
        <f>INDEX(Limits!$C$2:$C$5,MATCH(E1842,Limits!$A$2:$A$5,0))</f>
        <v/>
      </c>
      <c r="J1842">
        <f>IF(F1842&gt;=I1842,"Action",IF(F1842&gt;=H1842,"Alert","Pass"))</f>
        <v/>
      </c>
      <c r="K1842" s="4">
        <f>DATE(YEAR(B1842),MONTH(B1842),1)</f>
        <v/>
      </c>
    </row>
    <row r="1843">
      <c r="A1843" t="inlineStr">
        <is>
          <t>EM001842</t>
        </is>
      </c>
      <c r="B1843" s="7" t="n">
        <v>46161</v>
      </c>
      <c r="C1843" t="inlineStr">
        <is>
          <t>Gowning</t>
        </is>
      </c>
      <c r="D1843" t="inlineStr">
        <is>
          <t>ISO 8</t>
        </is>
      </c>
      <c r="E1843" t="inlineStr">
        <is>
          <t>Surface contact</t>
        </is>
      </c>
      <c r="F1843" t="n">
        <v>0</v>
      </c>
      <c r="G1843" t="inlineStr">
        <is>
          <t>Tech B</t>
        </is>
      </c>
      <c r="H1843">
        <f>INDEX(Limits!$B$2:$B$5,MATCH(E1843,Limits!$A$2:$A$5,0))</f>
        <v/>
      </c>
      <c r="I1843">
        <f>INDEX(Limits!$C$2:$C$5,MATCH(E1843,Limits!$A$2:$A$5,0))</f>
        <v/>
      </c>
      <c r="J1843">
        <f>IF(F1843&gt;=I1843,"Action",IF(F1843&gt;=H1843,"Alert","Pass"))</f>
        <v/>
      </c>
      <c r="K1843" s="4">
        <f>DATE(YEAR(B1843),MONTH(B1843),1)</f>
        <v/>
      </c>
    </row>
    <row r="1844">
      <c r="A1844" t="inlineStr">
        <is>
          <t>EM001843</t>
        </is>
      </c>
      <c r="B1844" s="7" t="n">
        <v>46161</v>
      </c>
      <c r="C1844" t="inlineStr">
        <is>
          <t>Gowning</t>
        </is>
      </c>
      <c r="D1844" t="inlineStr">
        <is>
          <t>ISO 8</t>
        </is>
      </c>
      <c r="E1844" t="inlineStr">
        <is>
          <t>Personnel glove</t>
        </is>
      </c>
      <c r="F1844" t="n">
        <v>0</v>
      </c>
      <c r="G1844" t="inlineStr">
        <is>
          <t>Tech D</t>
        </is>
      </c>
      <c r="H1844">
        <f>INDEX(Limits!$B$2:$B$5,MATCH(E1844,Limits!$A$2:$A$5,0))</f>
        <v/>
      </c>
      <c r="I1844">
        <f>INDEX(Limits!$C$2:$C$5,MATCH(E1844,Limits!$A$2:$A$5,0))</f>
        <v/>
      </c>
      <c r="J1844">
        <f>IF(F1844&gt;=I1844,"Action",IF(F1844&gt;=H1844,"Alert","Pass"))</f>
        <v/>
      </c>
      <c r="K1844" s="4">
        <f>DATE(YEAR(B1844),MONTH(B1844),1)</f>
        <v/>
      </c>
    </row>
    <row r="1845">
      <c r="A1845" t="inlineStr">
        <is>
          <t>EM001844</t>
        </is>
      </c>
      <c r="B1845" s="7" t="n">
        <v>46162</v>
      </c>
      <c r="C1845" t="inlineStr">
        <is>
          <t>CR-101</t>
        </is>
      </c>
      <c r="D1845" t="inlineStr">
        <is>
          <t>ISO 7</t>
        </is>
      </c>
      <c r="E1845" t="inlineStr">
        <is>
          <t>Active air</t>
        </is>
      </c>
      <c r="F1845" t="n">
        <v>0</v>
      </c>
      <c r="G1845" t="inlineStr">
        <is>
          <t>Tech A</t>
        </is>
      </c>
      <c r="H1845">
        <f>INDEX(Limits!$B$2:$B$5,MATCH(E1845,Limits!$A$2:$A$5,0))</f>
        <v/>
      </c>
      <c r="I1845">
        <f>INDEX(Limits!$C$2:$C$5,MATCH(E1845,Limits!$A$2:$A$5,0))</f>
        <v/>
      </c>
      <c r="J1845">
        <f>IF(F1845&gt;=I1845,"Action",IF(F1845&gt;=H1845,"Alert","Pass"))</f>
        <v/>
      </c>
      <c r="K1845" s="4">
        <f>DATE(YEAR(B1845),MONTH(B1845),1)</f>
        <v/>
      </c>
    </row>
    <row r="1846">
      <c r="A1846" t="inlineStr">
        <is>
          <t>EM001845</t>
        </is>
      </c>
      <c r="B1846" s="7" t="n">
        <v>46162</v>
      </c>
      <c r="C1846" t="inlineStr">
        <is>
          <t>CR-101</t>
        </is>
      </c>
      <c r="D1846" t="inlineStr">
        <is>
          <t>ISO 7</t>
        </is>
      </c>
      <c r="E1846" t="inlineStr">
        <is>
          <t>Surface contact</t>
        </is>
      </c>
      <c r="F1846" t="n">
        <v>0</v>
      </c>
      <c r="G1846" t="inlineStr">
        <is>
          <t>Tech B</t>
        </is>
      </c>
      <c r="H1846">
        <f>INDEX(Limits!$B$2:$B$5,MATCH(E1846,Limits!$A$2:$A$5,0))</f>
        <v/>
      </c>
      <c r="I1846">
        <f>INDEX(Limits!$C$2:$C$5,MATCH(E1846,Limits!$A$2:$A$5,0))</f>
        <v/>
      </c>
      <c r="J1846">
        <f>IF(F1846&gt;=I1846,"Action",IF(F1846&gt;=H1846,"Alert","Pass"))</f>
        <v/>
      </c>
      <c r="K1846" s="4">
        <f>DATE(YEAR(B1846),MONTH(B1846),1)</f>
        <v/>
      </c>
    </row>
    <row r="1847">
      <c r="A1847" t="inlineStr">
        <is>
          <t>EM001846</t>
        </is>
      </c>
      <c r="B1847" s="7" t="n">
        <v>46162</v>
      </c>
      <c r="C1847" t="inlineStr">
        <is>
          <t>CR-101</t>
        </is>
      </c>
      <c r="D1847" t="inlineStr">
        <is>
          <t>ISO 7</t>
        </is>
      </c>
      <c r="E1847" t="inlineStr">
        <is>
          <t>Compressed air</t>
        </is>
      </c>
      <c r="F1847" t="n">
        <v>0</v>
      </c>
      <c r="G1847" t="inlineStr">
        <is>
          <t>Tech A</t>
        </is>
      </c>
      <c r="H1847">
        <f>INDEX(Limits!$B$2:$B$5,MATCH(E1847,Limits!$A$2:$A$5,0))</f>
        <v/>
      </c>
      <c r="I1847">
        <f>INDEX(Limits!$C$2:$C$5,MATCH(E1847,Limits!$A$2:$A$5,0))</f>
        <v/>
      </c>
      <c r="J1847">
        <f>IF(F1847&gt;=I1847,"Action",IF(F1847&gt;=H1847,"Alert","Pass"))</f>
        <v/>
      </c>
      <c r="K1847" s="4">
        <f>DATE(YEAR(B1847),MONTH(B1847),1)</f>
        <v/>
      </c>
    </row>
    <row r="1848">
      <c r="A1848" t="inlineStr">
        <is>
          <t>EM001847</t>
        </is>
      </c>
      <c r="B1848" s="7" t="n">
        <v>46162</v>
      </c>
      <c r="C1848" t="inlineStr">
        <is>
          <t>CR-101</t>
        </is>
      </c>
      <c r="D1848" t="inlineStr">
        <is>
          <t>ISO 7</t>
        </is>
      </c>
      <c r="E1848" t="inlineStr">
        <is>
          <t>Personnel glove</t>
        </is>
      </c>
      <c r="F1848" t="n">
        <v>0</v>
      </c>
      <c r="G1848" t="inlineStr">
        <is>
          <t>Tech B</t>
        </is>
      </c>
      <c r="H1848">
        <f>INDEX(Limits!$B$2:$B$5,MATCH(E1848,Limits!$A$2:$A$5,0))</f>
        <v/>
      </c>
      <c r="I1848">
        <f>INDEX(Limits!$C$2:$C$5,MATCH(E1848,Limits!$A$2:$A$5,0))</f>
        <v/>
      </c>
      <c r="J1848">
        <f>IF(F1848&gt;=I1848,"Action",IF(F1848&gt;=H1848,"Alert","Pass"))</f>
        <v/>
      </c>
      <c r="K1848" s="4">
        <f>DATE(YEAR(B1848),MONTH(B1848),1)</f>
        <v/>
      </c>
    </row>
    <row r="1849">
      <c r="A1849" t="inlineStr">
        <is>
          <t>EM001848</t>
        </is>
      </c>
      <c r="B1849" s="7" t="n">
        <v>46162</v>
      </c>
      <c r="C1849" t="inlineStr">
        <is>
          <t>CR-102</t>
        </is>
      </c>
      <c r="D1849" t="inlineStr">
        <is>
          <t>ISO 7</t>
        </is>
      </c>
      <c r="E1849" t="inlineStr">
        <is>
          <t>Active air</t>
        </is>
      </c>
      <c r="F1849" t="n">
        <v>2</v>
      </c>
      <c r="G1849" t="inlineStr">
        <is>
          <t>Tech B</t>
        </is>
      </c>
      <c r="H1849">
        <f>INDEX(Limits!$B$2:$B$5,MATCH(E1849,Limits!$A$2:$A$5,0))</f>
        <v/>
      </c>
      <c r="I1849">
        <f>INDEX(Limits!$C$2:$C$5,MATCH(E1849,Limits!$A$2:$A$5,0))</f>
        <v/>
      </c>
      <c r="J1849">
        <f>IF(F1849&gt;=I1849,"Action",IF(F1849&gt;=H1849,"Alert","Pass"))</f>
        <v/>
      </c>
      <c r="K1849" s="4">
        <f>DATE(YEAR(B1849),MONTH(B1849),1)</f>
        <v/>
      </c>
    </row>
    <row r="1850">
      <c r="A1850" t="inlineStr">
        <is>
          <t>EM001849</t>
        </is>
      </c>
      <c r="B1850" s="7" t="n">
        <v>46162</v>
      </c>
      <c r="C1850" t="inlineStr">
        <is>
          <t>CR-102</t>
        </is>
      </c>
      <c r="D1850" t="inlineStr">
        <is>
          <t>ISO 7</t>
        </is>
      </c>
      <c r="E1850" t="inlineStr">
        <is>
          <t>Surface contact</t>
        </is>
      </c>
      <c r="F1850" t="n">
        <v>1</v>
      </c>
      <c r="G1850" t="inlineStr">
        <is>
          <t>Tech B</t>
        </is>
      </c>
      <c r="H1850">
        <f>INDEX(Limits!$B$2:$B$5,MATCH(E1850,Limits!$A$2:$A$5,0))</f>
        <v/>
      </c>
      <c r="I1850">
        <f>INDEX(Limits!$C$2:$C$5,MATCH(E1850,Limits!$A$2:$A$5,0))</f>
        <v/>
      </c>
      <c r="J1850">
        <f>IF(F1850&gt;=I1850,"Action",IF(F1850&gt;=H1850,"Alert","Pass"))</f>
        <v/>
      </c>
      <c r="K1850" s="4">
        <f>DATE(YEAR(B1850),MONTH(B1850),1)</f>
        <v/>
      </c>
    </row>
    <row r="1851">
      <c r="A1851" t="inlineStr">
        <is>
          <t>EM001850</t>
        </is>
      </c>
      <c r="B1851" s="7" t="n">
        <v>46162</v>
      </c>
      <c r="C1851" t="inlineStr">
        <is>
          <t>CR-102</t>
        </is>
      </c>
      <c r="D1851" t="inlineStr">
        <is>
          <t>ISO 7</t>
        </is>
      </c>
      <c r="E1851" t="inlineStr">
        <is>
          <t>Compressed air</t>
        </is>
      </c>
      <c r="F1851" t="n">
        <v>0</v>
      </c>
      <c r="G1851" t="inlineStr">
        <is>
          <t>Tech D</t>
        </is>
      </c>
      <c r="H1851">
        <f>INDEX(Limits!$B$2:$B$5,MATCH(E1851,Limits!$A$2:$A$5,0))</f>
        <v/>
      </c>
      <c r="I1851">
        <f>INDEX(Limits!$C$2:$C$5,MATCH(E1851,Limits!$A$2:$A$5,0))</f>
        <v/>
      </c>
      <c r="J1851">
        <f>IF(F1851&gt;=I1851,"Action",IF(F1851&gt;=H1851,"Alert","Pass"))</f>
        <v/>
      </c>
      <c r="K1851" s="4">
        <f>DATE(YEAR(B1851),MONTH(B1851),1)</f>
        <v/>
      </c>
    </row>
    <row r="1852">
      <c r="A1852" t="inlineStr">
        <is>
          <t>EM001851</t>
        </is>
      </c>
      <c r="B1852" s="7" t="n">
        <v>46162</v>
      </c>
      <c r="C1852" t="inlineStr">
        <is>
          <t>CR-102</t>
        </is>
      </c>
      <c r="D1852" t="inlineStr">
        <is>
          <t>ISO 7</t>
        </is>
      </c>
      <c r="E1852" t="inlineStr">
        <is>
          <t>Personnel glove</t>
        </is>
      </c>
      <c r="F1852" t="n">
        <v>0</v>
      </c>
      <c r="G1852" t="inlineStr">
        <is>
          <t>Tech C</t>
        </is>
      </c>
      <c r="H1852">
        <f>INDEX(Limits!$B$2:$B$5,MATCH(E1852,Limits!$A$2:$A$5,0))</f>
        <v/>
      </c>
      <c r="I1852">
        <f>INDEX(Limits!$C$2:$C$5,MATCH(E1852,Limits!$A$2:$A$5,0))</f>
        <v/>
      </c>
      <c r="J1852">
        <f>IF(F1852&gt;=I1852,"Action",IF(F1852&gt;=H1852,"Alert","Pass"))</f>
        <v/>
      </c>
      <c r="K1852" s="4">
        <f>DATE(YEAR(B1852),MONTH(B1852),1)</f>
        <v/>
      </c>
    </row>
    <row r="1853">
      <c r="A1853" t="inlineStr">
        <is>
          <t>EM001852</t>
        </is>
      </c>
      <c r="B1853" s="7" t="n">
        <v>46162</v>
      </c>
      <c r="C1853" t="inlineStr">
        <is>
          <t>CR-201</t>
        </is>
      </c>
      <c r="D1853" t="inlineStr">
        <is>
          <t>ISO 8</t>
        </is>
      </c>
      <c r="E1853" t="inlineStr">
        <is>
          <t>Active air</t>
        </is>
      </c>
      <c r="F1853" t="n">
        <v>0</v>
      </c>
      <c r="G1853" t="inlineStr">
        <is>
          <t>Tech A</t>
        </is>
      </c>
      <c r="H1853">
        <f>INDEX(Limits!$B$2:$B$5,MATCH(E1853,Limits!$A$2:$A$5,0))</f>
        <v/>
      </c>
      <c r="I1853">
        <f>INDEX(Limits!$C$2:$C$5,MATCH(E1853,Limits!$A$2:$A$5,0))</f>
        <v/>
      </c>
      <c r="J1853">
        <f>IF(F1853&gt;=I1853,"Action",IF(F1853&gt;=H1853,"Alert","Pass"))</f>
        <v/>
      </c>
      <c r="K1853" s="4">
        <f>DATE(YEAR(B1853),MONTH(B1853),1)</f>
        <v/>
      </c>
    </row>
    <row r="1854">
      <c r="A1854" t="inlineStr">
        <is>
          <t>EM001853</t>
        </is>
      </c>
      <c r="B1854" s="7" t="n">
        <v>46162</v>
      </c>
      <c r="C1854" t="inlineStr">
        <is>
          <t>CR-201</t>
        </is>
      </c>
      <c r="D1854" t="inlineStr">
        <is>
          <t>ISO 8</t>
        </is>
      </c>
      <c r="E1854" t="inlineStr">
        <is>
          <t>Surface contact</t>
        </is>
      </c>
      <c r="F1854" t="n">
        <v>1</v>
      </c>
      <c r="G1854" t="inlineStr">
        <is>
          <t>Tech B</t>
        </is>
      </c>
      <c r="H1854">
        <f>INDEX(Limits!$B$2:$B$5,MATCH(E1854,Limits!$A$2:$A$5,0))</f>
        <v/>
      </c>
      <c r="I1854">
        <f>INDEX(Limits!$C$2:$C$5,MATCH(E1854,Limits!$A$2:$A$5,0))</f>
        <v/>
      </c>
      <c r="J1854">
        <f>IF(F1854&gt;=I1854,"Action",IF(F1854&gt;=H1854,"Alert","Pass"))</f>
        <v/>
      </c>
      <c r="K1854" s="4">
        <f>DATE(YEAR(B1854),MONTH(B1854),1)</f>
        <v/>
      </c>
    </row>
    <row r="1855">
      <c r="A1855" t="inlineStr">
        <is>
          <t>EM001854</t>
        </is>
      </c>
      <c r="B1855" s="7" t="n">
        <v>46162</v>
      </c>
      <c r="C1855" t="inlineStr">
        <is>
          <t>CR-201</t>
        </is>
      </c>
      <c r="D1855" t="inlineStr">
        <is>
          <t>ISO 8</t>
        </is>
      </c>
      <c r="E1855" t="inlineStr">
        <is>
          <t>Compressed air</t>
        </is>
      </c>
      <c r="F1855" t="n">
        <v>0</v>
      </c>
      <c r="G1855" t="inlineStr">
        <is>
          <t>Tech A</t>
        </is>
      </c>
      <c r="H1855">
        <f>INDEX(Limits!$B$2:$B$5,MATCH(E1855,Limits!$A$2:$A$5,0))</f>
        <v/>
      </c>
      <c r="I1855">
        <f>INDEX(Limits!$C$2:$C$5,MATCH(E1855,Limits!$A$2:$A$5,0))</f>
        <v/>
      </c>
      <c r="J1855">
        <f>IF(F1855&gt;=I1855,"Action",IF(F1855&gt;=H1855,"Alert","Pass"))</f>
        <v/>
      </c>
      <c r="K1855" s="4">
        <f>DATE(YEAR(B1855),MONTH(B1855),1)</f>
        <v/>
      </c>
    </row>
    <row r="1856">
      <c r="A1856" t="inlineStr">
        <is>
          <t>EM001855</t>
        </is>
      </c>
      <c r="B1856" s="7" t="n">
        <v>46162</v>
      </c>
      <c r="C1856" t="inlineStr">
        <is>
          <t>CR-201</t>
        </is>
      </c>
      <c r="D1856" t="inlineStr">
        <is>
          <t>ISO 8</t>
        </is>
      </c>
      <c r="E1856" t="inlineStr">
        <is>
          <t>Personnel glove</t>
        </is>
      </c>
      <c r="F1856" t="n">
        <v>0</v>
      </c>
      <c r="G1856" t="inlineStr">
        <is>
          <t>Tech C</t>
        </is>
      </c>
      <c r="H1856">
        <f>INDEX(Limits!$B$2:$B$5,MATCH(E1856,Limits!$A$2:$A$5,0))</f>
        <v/>
      </c>
      <c r="I1856">
        <f>INDEX(Limits!$C$2:$C$5,MATCH(E1856,Limits!$A$2:$A$5,0))</f>
        <v/>
      </c>
      <c r="J1856">
        <f>IF(F1856&gt;=I1856,"Action",IF(F1856&gt;=H1856,"Alert","Pass"))</f>
        <v/>
      </c>
      <c r="K1856" s="4">
        <f>DATE(YEAR(B1856),MONTH(B1856),1)</f>
        <v/>
      </c>
    </row>
    <row r="1857">
      <c r="A1857" t="inlineStr">
        <is>
          <t>EM001856</t>
        </is>
      </c>
      <c r="B1857" s="7" t="n">
        <v>46162</v>
      </c>
      <c r="C1857" t="inlineStr">
        <is>
          <t>CR-202</t>
        </is>
      </c>
      <c r="D1857" t="inlineStr">
        <is>
          <t>ISO 8</t>
        </is>
      </c>
      <c r="E1857" t="inlineStr">
        <is>
          <t>Active air</t>
        </is>
      </c>
      <c r="F1857" t="n">
        <v>1</v>
      </c>
      <c r="G1857" t="inlineStr">
        <is>
          <t>Tech D</t>
        </is>
      </c>
      <c r="H1857">
        <f>INDEX(Limits!$B$2:$B$5,MATCH(E1857,Limits!$A$2:$A$5,0))</f>
        <v/>
      </c>
      <c r="I1857">
        <f>INDEX(Limits!$C$2:$C$5,MATCH(E1857,Limits!$A$2:$A$5,0))</f>
        <v/>
      </c>
      <c r="J1857">
        <f>IF(F1857&gt;=I1857,"Action",IF(F1857&gt;=H1857,"Alert","Pass"))</f>
        <v/>
      </c>
      <c r="K1857" s="4">
        <f>DATE(YEAR(B1857),MONTH(B1857),1)</f>
        <v/>
      </c>
    </row>
    <row r="1858">
      <c r="A1858" t="inlineStr">
        <is>
          <t>EM001857</t>
        </is>
      </c>
      <c r="B1858" s="7" t="n">
        <v>46162</v>
      </c>
      <c r="C1858" t="inlineStr">
        <is>
          <t>CR-202</t>
        </is>
      </c>
      <c r="D1858" t="inlineStr">
        <is>
          <t>ISO 8</t>
        </is>
      </c>
      <c r="E1858" t="inlineStr">
        <is>
          <t>Surface contact</t>
        </is>
      </c>
      <c r="F1858" t="n">
        <v>0</v>
      </c>
      <c r="G1858" t="inlineStr">
        <is>
          <t>Tech C</t>
        </is>
      </c>
      <c r="H1858">
        <f>INDEX(Limits!$B$2:$B$5,MATCH(E1858,Limits!$A$2:$A$5,0))</f>
        <v/>
      </c>
      <c r="I1858">
        <f>INDEX(Limits!$C$2:$C$5,MATCH(E1858,Limits!$A$2:$A$5,0))</f>
        <v/>
      </c>
      <c r="J1858">
        <f>IF(F1858&gt;=I1858,"Action",IF(F1858&gt;=H1858,"Alert","Pass"))</f>
        <v/>
      </c>
      <c r="K1858" s="4">
        <f>DATE(YEAR(B1858),MONTH(B1858),1)</f>
        <v/>
      </c>
    </row>
    <row r="1859">
      <c r="A1859" t="inlineStr">
        <is>
          <t>EM001858</t>
        </is>
      </c>
      <c r="B1859" s="7" t="n">
        <v>46162</v>
      </c>
      <c r="C1859" t="inlineStr">
        <is>
          <t>CR-202</t>
        </is>
      </c>
      <c r="D1859" t="inlineStr">
        <is>
          <t>ISO 8</t>
        </is>
      </c>
      <c r="E1859" t="inlineStr">
        <is>
          <t>Compressed air</t>
        </is>
      </c>
      <c r="F1859" t="n">
        <v>0</v>
      </c>
      <c r="G1859" t="inlineStr">
        <is>
          <t>Tech D</t>
        </is>
      </c>
      <c r="H1859">
        <f>INDEX(Limits!$B$2:$B$5,MATCH(E1859,Limits!$A$2:$A$5,0))</f>
        <v/>
      </c>
      <c r="I1859">
        <f>INDEX(Limits!$C$2:$C$5,MATCH(E1859,Limits!$A$2:$A$5,0))</f>
        <v/>
      </c>
      <c r="J1859">
        <f>IF(F1859&gt;=I1859,"Action",IF(F1859&gt;=H1859,"Alert","Pass"))</f>
        <v/>
      </c>
      <c r="K1859" s="4">
        <f>DATE(YEAR(B1859),MONTH(B1859),1)</f>
        <v/>
      </c>
    </row>
    <row r="1860">
      <c r="A1860" t="inlineStr">
        <is>
          <t>EM001859</t>
        </is>
      </c>
      <c r="B1860" s="7" t="n">
        <v>46162</v>
      </c>
      <c r="C1860" t="inlineStr">
        <is>
          <t>CR-202</t>
        </is>
      </c>
      <c r="D1860" t="inlineStr">
        <is>
          <t>ISO 8</t>
        </is>
      </c>
      <c r="E1860" t="inlineStr">
        <is>
          <t>Personnel glove</t>
        </is>
      </c>
      <c r="F1860" t="n">
        <v>0</v>
      </c>
      <c r="G1860" t="inlineStr">
        <is>
          <t>Tech A</t>
        </is>
      </c>
      <c r="H1860">
        <f>INDEX(Limits!$B$2:$B$5,MATCH(E1860,Limits!$A$2:$A$5,0))</f>
        <v/>
      </c>
      <c r="I1860">
        <f>INDEX(Limits!$C$2:$C$5,MATCH(E1860,Limits!$A$2:$A$5,0))</f>
        <v/>
      </c>
      <c r="J1860">
        <f>IF(F1860&gt;=I1860,"Action",IF(F1860&gt;=H1860,"Alert","Pass"))</f>
        <v/>
      </c>
      <c r="K1860" s="4">
        <f>DATE(YEAR(B1860),MONTH(B1860),1)</f>
        <v/>
      </c>
    </row>
    <row r="1861">
      <c r="A1861" t="inlineStr">
        <is>
          <t>EM001860</t>
        </is>
      </c>
      <c r="B1861" s="7" t="n">
        <v>46162</v>
      </c>
      <c r="C1861" t="inlineStr">
        <is>
          <t>Gowning</t>
        </is>
      </c>
      <c r="D1861" t="inlineStr">
        <is>
          <t>ISO 8</t>
        </is>
      </c>
      <c r="E1861" t="inlineStr">
        <is>
          <t>Active air</t>
        </is>
      </c>
      <c r="F1861" t="n">
        <v>1</v>
      </c>
      <c r="G1861" t="inlineStr">
        <is>
          <t>Tech D</t>
        </is>
      </c>
      <c r="H1861">
        <f>INDEX(Limits!$B$2:$B$5,MATCH(E1861,Limits!$A$2:$A$5,0))</f>
        <v/>
      </c>
      <c r="I1861">
        <f>INDEX(Limits!$C$2:$C$5,MATCH(E1861,Limits!$A$2:$A$5,0))</f>
        <v/>
      </c>
      <c r="J1861">
        <f>IF(F1861&gt;=I1861,"Action",IF(F1861&gt;=H1861,"Alert","Pass"))</f>
        <v/>
      </c>
      <c r="K1861" s="4">
        <f>DATE(YEAR(B1861),MONTH(B1861),1)</f>
        <v/>
      </c>
    </row>
    <row r="1862">
      <c r="A1862" t="inlineStr">
        <is>
          <t>EM001861</t>
        </is>
      </c>
      <c r="B1862" s="7" t="n">
        <v>46162</v>
      </c>
      <c r="C1862" t="inlineStr">
        <is>
          <t>Gowning</t>
        </is>
      </c>
      <c r="D1862" t="inlineStr">
        <is>
          <t>ISO 8</t>
        </is>
      </c>
      <c r="E1862" t="inlineStr">
        <is>
          <t>Surface contact</t>
        </is>
      </c>
      <c r="F1862" t="n">
        <v>0</v>
      </c>
      <c r="G1862" t="inlineStr">
        <is>
          <t>Tech A</t>
        </is>
      </c>
      <c r="H1862">
        <f>INDEX(Limits!$B$2:$B$5,MATCH(E1862,Limits!$A$2:$A$5,0))</f>
        <v/>
      </c>
      <c r="I1862">
        <f>INDEX(Limits!$C$2:$C$5,MATCH(E1862,Limits!$A$2:$A$5,0))</f>
        <v/>
      </c>
      <c r="J1862">
        <f>IF(F1862&gt;=I1862,"Action",IF(F1862&gt;=H1862,"Alert","Pass"))</f>
        <v/>
      </c>
      <c r="K1862" s="4">
        <f>DATE(YEAR(B1862),MONTH(B1862),1)</f>
        <v/>
      </c>
    </row>
    <row r="1863">
      <c r="A1863" t="inlineStr">
        <is>
          <t>EM001862</t>
        </is>
      </c>
      <c r="B1863" s="7" t="n">
        <v>46162</v>
      </c>
      <c r="C1863" t="inlineStr">
        <is>
          <t>Gowning</t>
        </is>
      </c>
      <c r="D1863" t="inlineStr">
        <is>
          <t>ISO 8</t>
        </is>
      </c>
      <c r="E1863" t="inlineStr">
        <is>
          <t>Personnel glove</t>
        </is>
      </c>
      <c r="F1863" t="n">
        <v>0</v>
      </c>
      <c r="G1863" t="inlineStr">
        <is>
          <t>Tech A</t>
        </is>
      </c>
      <c r="H1863">
        <f>INDEX(Limits!$B$2:$B$5,MATCH(E1863,Limits!$A$2:$A$5,0))</f>
        <v/>
      </c>
      <c r="I1863">
        <f>INDEX(Limits!$C$2:$C$5,MATCH(E1863,Limits!$A$2:$A$5,0))</f>
        <v/>
      </c>
      <c r="J1863">
        <f>IF(F1863&gt;=I1863,"Action",IF(F1863&gt;=H1863,"Alert","Pass"))</f>
        <v/>
      </c>
      <c r="K1863" s="4">
        <f>DATE(YEAR(B1863),MONTH(B1863),1)</f>
        <v/>
      </c>
    </row>
    <row r="1864">
      <c r="A1864" t="inlineStr">
        <is>
          <t>EM001863</t>
        </is>
      </c>
      <c r="B1864" s="7" t="n">
        <v>46163</v>
      </c>
      <c r="C1864" t="inlineStr">
        <is>
          <t>CR-101</t>
        </is>
      </c>
      <c r="D1864" t="inlineStr">
        <is>
          <t>ISO 7</t>
        </is>
      </c>
      <c r="E1864" t="inlineStr">
        <is>
          <t>Active air</t>
        </is>
      </c>
      <c r="F1864" t="n">
        <v>1</v>
      </c>
      <c r="G1864" t="inlineStr">
        <is>
          <t>Tech B</t>
        </is>
      </c>
      <c r="H1864">
        <f>INDEX(Limits!$B$2:$B$5,MATCH(E1864,Limits!$A$2:$A$5,0))</f>
        <v/>
      </c>
      <c r="I1864">
        <f>INDEX(Limits!$C$2:$C$5,MATCH(E1864,Limits!$A$2:$A$5,0))</f>
        <v/>
      </c>
      <c r="J1864">
        <f>IF(F1864&gt;=I1864,"Action",IF(F1864&gt;=H1864,"Alert","Pass"))</f>
        <v/>
      </c>
      <c r="K1864" s="4">
        <f>DATE(YEAR(B1864),MONTH(B1864),1)</f>
        <v/>
      </c>
    </row>
    <row r="1865">
      <c r="A1865" t="inlineStr">
        <is>
          <t>EM001864</t>
        </is>
      </c>
      <c r="B1865" s="7" t="n">
        <v>46163</v>
      </c>
      <c r="C1865" t="inlineStr">
        <is>
          <t>CR-101</t>
        </is>
      </c>
      <c r="D1865" t="inlineStr">
        <is>
          <t>ISO 7</t>
        </is>
      </c>
      <c r="E1865" t="inlineStr">
        <is>
          <t>Surface contact</t>
        </is>
      </c>
      <c r="F1865" t="n">
        <v>1</v>
      </c>
      <c r="G1865" t="inlineStr">
        <is>
          <t>Tech B</t>
        </is>
      </c>
      <c r="H1865">
        <f>INDEX(Limits!$B$2:$B$5,MATCH(E1865,Limits!$A$2:$A$5,0))</f>
        <v/>
      </c>
      <c r="I1865">
        <f>INDEX(Limits!$C$2:$C$5,MATCH(E1865,Limits!$A$2:$A$5,0))</f>
        <v/>
      </c>
      <c r="J1865">
        <f>IF(F1865&gt;=I1865,"Action",IF(F1865&gt;=H1865,"Alert","Pass"))</f>
        <v/>
      </c>
      <c r="K1865" s="4">
        <f>DATE(YEAR(B1865),MONTH(B1865),1)</f>
        <v/>
      </c>
    </row>
    <row r="1866">
      <c r="A1866" t="inlineStr">
        <is>
          <t>EM001865</t>
        </is>
      </c>
      <c r="B1866" s="7" t="n">
        <v>46163</v>
      </c>
      <c r="C1866" t="inlineStr">
        <is>
          <t>CR-101</t>
        </is>
      </c>
      <c r="D1866" t="inlineStr">
        <is>
          <t>ISO 7</t>
        </is>
      </c>
      <c r="E1866" t="inlineStr">
        <is>
          <t>Compressed air</t>
        </is>
      </c>
      <c r="F1866" t="n">
        <v>0</v>
      </c>
      <c r="G1866" t="inlineStr">
        <is>
          <t>Tech D</t>
        </is>
      </c>
      <c r="H1866">
        <f>INDEX(Limits!$B$2:$B$5,MATCH(E1866,Limits!$A$2:$A$5,0))</f>
        <v/>
      </c>
      <c r="I1866">
        <f>INDEX(Limits!$C$2:$C$5,MATCH(E1866,Limits!$A$2:$A$5,0))</f>
        <v/>
      </c>
      <c r="J1866">
        <f>IF(F1866&gt;=I1866,"Action",IF(F1866&gt;=H1866,"Alert","Pass"))</f>
        <v/>
      </c>
      <c r="K1866" s="4">
        <f>DATE(YEAR(B1866),MONTH(B1866),1)</f>
        <v/>
      </c>
    </row>
    <row r="1867">
      <c r="A1867" t="inlineStr">
        <is>
          <t>EM001866</t>
        </is>
      </c>
      <c r="B1867" s="7" t="n">
        <v>46163</v>
      </c>
      <c r="C1867" t="inlineStr">
        <is>
          <t>CR-101</t>
        </is>
      </c>
      <c r="D1867" t="inlineStr">
        <is>
          <t>ISO 7</t>
        </is>
      </c>
      <c r="E1867" t="inlineStr">
        <is>
          <t>Personnel glove</t>
        </is>
      </c>
      <c r="F1867" t="n">
        <v>0</v>
      </c>
      <c r="G1867" t="inlineStr">
        <is>
          <t>Tech B</t>
        </is>
      </c>
      <c r="H1867">
        <f>INDEX(Limits!$B$2:$B$5,MATCH(E1867,Limits!$A$2:$A$5,0))</f>
        <v/>
      </c>
      <c r="I1867">
        <f>INDEX(Limits!$C$2:$C$5,MATCH(E1867,Limits!$A$2:$A$5,0))</f>
        <v/>
      </c>
      <c r="J1867">
        <f>IF(F1867&gt;=I1867,"Action",IF(F1867&gt;=H1867,"Alert","Pass"))</f>
        <v/>
      </c>
      <c r="K1867" s="4">
        <f>DATE(YEAR(B1867),MONTH(B1867),1)</f>
        <v/>
      </c>
    </row>
    <row r="1868">
      <c r="A1868" t="inlineStr">
        <is>
          <t>EM001867</t>
        </is>
      </c>
      <c r="B1868" s="7" t="n">
        <v>46163</v>
      </c>
      <c r="C1868" t="inlineStr">
        <is>
          <t>CR-102</t>
        </is>
      </c>
      <c r="D1868" t="inlineStr">
        <is>
          <t>ISO 7</t>
        </is>
      </c>
      <c r="E1868" t="inlineStr">
        <is>
          <t>Active air</t>
        </is>
      </c>
      <c r="F1868" t="n">
        <v>2</v>
      </c>
      <c r="G1868" t="inlineStr">
        <is>
          <t>Tech B</t>
        </is>
      </c>
      <c r="H1868">
        <f>INDEX(Limits!$B$2:$B$5,MATCH(E1868,Limits!$A$2:$A$5,0))</f>
        <v/>
      </c>
      <c r="I1868">
        <f>INDEX(Limits!$C$2:$C$5,MATCH(E1868,Limits!$A$2:$A$5,0))</f>
        <v/>
      </c>
      <c r="J1868">
        <f>IF(F1868&gt;=I1868,"Action",IF(F1868&gt;=H1868,"Alert","Pass"))</f>
        <v/>
      </c>
      <c r="K1868" s="4">
        <f>DATE(YEAR(B1868),MONTH(B1868),1)</f>
        <v/>
      </c>
    </row>
    <row r="1869">
      <c r="A1869" t="inlineStr">
        <is>
          <t>EM001868</t>
        </is>
      </c>
      <c r="B1869" s="7" t="n">
        <v>46163</v>
      </c>
      <c r="C1869" t="inlineStr">
        <is>
          <t>CR-102</t>
        </is>
      </c>
      <c r="D1869" t="inlineStr">
        <is>
          <t>ISO 7</t>
        </is>
      </c>
      <c r="E1869" t="inlineStr">
        <is>
          <t>Surface contact</t>
        </is>
      </c>
      <c r="F1869" t="n">
        <v>0</v>
      </c>
      <c r="G1869" t="inlineStr">
        <is>
          <t>Tech C</t>
        </is>
      </c>
      <c r="H1869">
        <f>INDEX(Limits!$B$2:$B$5,MATCH(E1869,Limits!$A$2:$A$5,0))</f>
        <v/>
      </c>
      <c r="I1869">
        <f>INDEX(Limits!$C$2:$C$5,MATCH(E1869,Limits!$A$2:$A$5,0))</f>
        <v/>
      </c>
      <c r="J1869">
        <f>IF(F1869&gt;=I1869,"Action",IF(F1869&gt;=H1869,"Alert","Pass"))</f>
        <v/>
      </c>
      <c r="K1869" s="4">
        <f>DATE(YEAR(B1869),MONTH(B1869),1)</f>
        <v/>
      </c>
    </row>
    <row r="1870">
      <c r="A1870" t="inlineStr">
        <is>
          <t>EM001869</t>
        </is>
      </c>
      <c r="B1870" s="7" t="n">
        <v>46163</v>
      </c>
      <c r="C1870" t="inlineStr">
        <is>
          <t>CR-102</t>
        </is>
      </c>
      <c r="D1870" t="inlineStr">
        <is>
          <t>ISO 7</t>
        </is>
      </c>
      <c r="E1870" t="inlineStr">
        <is>
          <t>Compressed air</t>
        </is>
      </c>
      <c r="F1870" t="n">
        <v>0</v>
      </c>
      <c r="G1870" t="inlineStr">
        <is>
          <t>Tech A</t>
        </is>
      </c>
      <c r="H1870">
        <f>INDEX(Limits!$B$2:$B$5,MATCH(E1870,Limits!$A$2:$A$5,0))</f>
        <v/>
      </c>
      <c r="I1870">
        <f>INDEX(Limits!$C$2:$C$5,MATCH(E1870,Limits!$A$2:$A$5,0))</f>
        <v/>
      </c>
      <c r="J1870">
        <f>IF(F1870&gt;=I1870,"Action",IF(F1870&gt;=H1870,"Alert","Pass"))</f>
        <v/>
      </c>
      <c r="K1870" s="4">
        <f>DATE(YEAR(B1870),MONTH(B1870),1)</f>
        <v/>
      </c>
    </row>
    <row r="1871">
      <c r="A1871" t="inlineStr">
        <is>
          <t>EM001870</t>
        </is>
      </c>
      <c r="B1871" s="7" t="n">
        <v>46163</v>
      </c>
      <c r="C1871" t="inlineStr">
        <is>
          <t>CR-102</t>
        </is>
      </c>
      <c r="D1871" t="inlineStr">
        <is>
          <t>ISO 7</t>
        </is>
      </c>
      <c r="E1871" t="inlineStr">
        <is>
          <t>Personnel glove</t>
        </is>
      </c>
      <c r="F1871" t="n">
        <v>1</v>
      </c>
      <c r="G1871" t="inlineStr">
        <is>
          <t>Tech A</t>
        </is>
      </c>
      <c r="H1871">
        <f>INDEX(Limits!$B$2:$B$5,MATCH(E1871,Limits!$A$2:$A$5,0))</f>
        <v/>
      </c>
      <c r="I1871">
        <f>INDEX(Limits!$C$2:$C$5,MATCH(E1871,Limits!$A$2:$A$5,0))</f>
        <v/>
      </c>
      <c r="J1871">
        <f>IF(F1871&gt;=I1871,"Action",IF(F1871&gt;=H1871,"Alert","Pass"))</f>
        <v/>
      </c>
      <c r="K1871" s="4">
        <f>DATE(YEAR(B1871),MONTH(B1871),1)</f>
        <v/>
      </c>
    </row>
    <row r="1872">
      <c r="A1872" t="inlineStr">
        <is>
          <t>EM001871</t>
        </is>
      </c>
      <c r="B1872" s="7" t="n">
        <v>46163</v>
      </c>
      <c r="C1872" t="inlineStr">
        <is>
          <t>CR-201</t>
        </is>
      </c>
      <c r="D1872" t="inlineStr">
        <is>
          <t>ISO 8</t>
        </is>
      </c>
      <c r="E1872" t="inlineStr">
        <is>
          <t>Active air</t>
        </is>
      </c>
      <c r="F1872" t="n">
        <v>3</v>
      </c>
      <c r="G1872" t="inlineStr">
        <is>
          <t>Tech D</t>
        </is>
      </c>
      <c r="H1872">
        <f>INDEX(Limits!$B$2:$B$5,MATCH(E1872,Limits!$A$2:$A$5,0))</f>
        <v/>
      </c>
      <c r="I1872">
        <f>INDEX(Limits!$C$2:$C$5,MATCH(E1872,Limits!$A$2:$A$5,0))</f>
        <v/>
      </c>
      <c r="J1872">
        <f>IF(F1872&gt;=I1872,"Action",IF(F1872&gt;=H1872,"Alert","Pass"))</f>
        <v/>
      </c>
      <c r="K1872" s="4">
        <f>DATE(YEAR(B1872),MONTH(B1872),1)</f>
        <v/>
      </c>
    </row>
    <row r="1873">
      <c r="A1873" t="inlineStr">
        <is>
          <t>EM001872</t>
        </is>
      </c>
      <c r="B1873" s="7" t="n">
        <v>46163</v>
      </c>
      <c r="C1873" t="inlineStr">
        <is>
          <t>CR-201</t>
        </is>
      </c>
      <c r="D1873" t="inlineStr">
        <is>
          <t>ISO 8</t>
        </is>
      </c>
      <c r="E1873" t="inlineStr">
        <is>
          <t>Surface contact</t>
        </is>
      </c>
      <c r="F1873" t="n">
        <v>0</v>
      </c>
      <c r="G1873" t="inlineStr">
        <is>
          <t>Tech B</t>
        </is>
      </c>
      <c r="H1873">
        <f>INDEX(Limits!$B$2:$B$5,MATCH(E1873,Limits!$A$2:$A$5,0))</f>
        <v/>
      </c>
      <c r="I1873">
        <f>INDEX(Limits!$C$2:$C$5,MATCH(E1873,Limits!$A$2:$A$5,0))</f>
        <v/>
      </c>
      <c r="J1873">
        <f>IF(F1873&gt;=I1873,"Action",IF(F1873&gt;=H1873,"Alert","Pass"))</f>
        <v/>
      </c>
      <c r="K1873" s="4">
        <f>DATE(YEAR(B1873),MONTH(B1873),1)</f>
        <v/>
      </c>
    </row>
    <row r="1874">
      <c r="A1874" t="inlineStr">
        <is>
          <t>EM001873</t>
        </is>
      </c>
      <c r="B1874" s="7" t="n">
        <v>46163</v>
      </c>
      <c r="C1874" t="inlineStr">
        <is>
          <t>CR-201</t>
        </is>
      </c>
      <c r="D1874" t="inlineStr">
        <is>
          <t>ISO 8</t>
        </is>
      </c>
      <c r="E1874" t="inlineStr">
        <is>
          <t>Compressed air</t>
        </is>
      </c>
      <c r="F1874" t="n">
        <v>0</v>
      </c>
      <c r="G1874" t="inlineStr">
        <is>
          <t>Tech D</t>
        </is>
      </c>
      <c r="H1874">
        <f>INDEX(Limits!$B$2:$B$5,MATCH(E1874,Limits!$A$2:$A$5,0))</f>
        <v/>
      </c>
      <c r="I1874">
        <f>INDEX(Limits!$C$2:$C$5,MATCH(E1874,Limits!$A$2:$A$5,0))</f>
        <v/>
      </c>
      <c r="J1874">
        <f>IF(F1874&gt;=I1874,"Action",IF(F1874&gt;=H1874,"Alert","Pass"))</f>
        <v/>
      </c>
      <c r="K1874" s="4">
        <f>DATE(YEAR(B1874),MONTH(B1874),1)</f>
        <v/>
      </c>
    </row>
    <row r="1875">
      <c r="A1875" t="inlineStr">
        <is>
          <t>EM001874</t>
        </is>
      </c>
      <c r="B1875" s="7" t="n">
        <v>46163</v>
      </c>
      <c r="C1875" t="inlineStr">
        <is>
          <t>CR-201</t>
        </is>
      </c>
      <c r="D1875" t="inlineStr">
        <is>
          <t>ISO 8</t>
        </is>
      </c>
      <c r="E1875" t="inlineStr">
        <is>
          <t>Personnel glove</t>
        </is>
      </c>
      <c r="F1875" t="n">
        <v>0</v>
      </c>
      <c r="G1875" t="inlineStr">
        <is>
          <t>Tech B</t>
        </is>
      </c>
      <c r="H1875">
        <f>INDEX(Limits!$B$2:$B$5,MATCH(E1875,Limits!$A$2:$A$5,0))</f>
        <v/>
      </c>
      <c r="I1875">
        <f>INDEX(Limits!$C$2:$C$5,MATCH(E1875,Limits!$A$2:$A$5,0))</f>
        <v/>
      </c>
      <c r="J1875">
        <f>IF(F1875&gt;=I1875,"Action",IF(F1875&gt;=H1875,"Alert","Pass"))</f>
        <v/>
      </c>
      <c r="K1875" s="4">
        <f>DATE(YEAR(B1875),MONTH(B1875),1)</f>
        <v/>
      </c>
    </row>
    <row r="1876">
      <c r="A1876" t="inlineStr">
        <is>
          <t>EM001875</t>
        </is>
      </c>
      <c r="B1876" s="7" t="n">
        <v>46163</v>
      </c>
      <c r="C1876" t="inlineStr">
        <is>
          <t>CR-202</t>
        </is>
      </c>
      <c r="D1876" t="inlineStr">
        <is>
          <t>ISO 8</t>
        </is>
      </c>
      <c r="E1876" t="inlineStr">
        <is>
          <t>Active air</t>
        </is>
      </c>
      <c r="F1876" t="n">
        <v>1</v>
      </c>
      <c r="G1876" t="inlineStr">
        <is>
          <t>Tech D</t>
        </is>
      </c>
      <c r="H1876">
        <f>INDEX(Limits!$B$2:$B$5,MATCH(E1876,Limits!$A$2:$A$5,0))</f>
        <v/>
      </c>
      <c r="I1876">
        <f>INDEX(Limits!$C$2:$C$5,MATCH(E1876,Limits!$A$2:$A$5,0))</f>
        <v/>
      </c>
      <c r="J1876">
        <f>IF(F1876&gt;=I1876,"Action",IF(F1876&gt;=H1876,"Alert","Pass"))</f>
        <v/>
      </c>
      <c r="K1876" s="4">
        <f>DATE(YEAR(B1876),MONTH(B1876),1)</f>
        <v/>
      </c>
    </row>
    <row r="1877">
      <c r="A1877" t="inlineStr">
        <is>
          <t>EM001876</t>
        </is>
      </c>
      <c r="B1877" s="7" t="n">
        <v>46163</v>
      </c>
      <c r="C1877" t="inlineStr">
        <is>
          <t>CR-202</t>
        </is>
      </c>
      <c r="D1877" t="inlineStr">
        <is>
          <t>ISO 8</t>
        </is>
      </c>
      <c r="E1877" t="inlineStr">
        <is>
          <t>Surface contact</t>
        </is>
      </c>
      <c r="F1877" t="n">
        <v>0</v>
      </c>
      <c r="G1877" t="inlineStr">
        <is>
          <t>Tech D</t>
        </is>
      </c>
      <c r="H1877">
        <f>INDEX(Limits!$B$2:$B$5,MATCH(E1877,Limits!$A$2:$A$5,0))</f>
        <v/>
      </c>
      <c r="I1877">
        <f>INDEX(Limits!$C$2:$C$5,MATCH(E1877,Limits!$A$2:$A$5,0))</f>
        <v/>
      </c>
      <c r="J1877">
        <f>IF(F1877&gt;=I1877,"Action",IF(F1877&gt;=H1877,"Alert","Pass"))</f>
        <v/>
      </c>
      <c r="K1877" s="4">
        <f>DATE(YEAR(B1877),MONTH(B1877),1)</f>
        <v/>
      </c>
    </row>
    <row r="1878">
      <c r="A1878" t="inlineStr">
        <is>
          <t>EM001877</t>
        </is>
      </c>
      <c r="B1878" s="7" t="n">
        <v>46163</v>
      </c>
      <c r="C1878" t="inlineStr">
        <is>
          <t>CR-202</t>
        </is>
      </c>
      <c r="D1878" t="inlineStr">
        <is>
          <t>ISO 8</t>
        </is>
      </c>
      <c r="E1878" t="inlineStr">
        <is>
          <t>Compressed air</t>
        </is>
      </c>
      <c r="F1878" t="n">
        <v>0</v>
      </c>
      <c r="G1878" t="inlineStr">
        <is>
          <t>Tech D</t>
        </is>
      </c>
      <c r="H1878">
        <f>INDEX(Limits!$B$2:$B$5,MATCH(E1878,Limits!$A$2:$A$5,0))</f>
        <v/>
      </c>
      <c r="I1878">
        <f>INDEX(Limits!$C$2:$C$5,MATCH(E1878,Limits!$A$2:$A$5,0))</f>
        <v/>
      </c>
      <c r="J1878">
        <f>IF(F1878&gt;=I1878,"Action",IF(F1878&gt;=H1878,"Alert","Pass"))</f>
        <v/>
      </c>
      <c r="K1878" s="4">
        <f>DATE(YEAR(B1878),MONTH(B1878),1)</f>
        <v/>
      </c>
    </row>
    <row r="1879">
      <c r="A1879" t="inlineStr">
        <is>
          <t>EM001878</t>
        </is>
      </c>
      <c r="B1879" s="7" t="n">
        <v>46163</v>
      </c>
      <c r="C1879" t="inlineStr">
        <is>
          <t>CR-202</t>
        </is>
      </c>
      <c r="D1879" t="inlineStr">
        <is>
          <t>ISO 8</t>
        </is>
      </c>
      <c r="E1879" t="inlineStr">
        <is>
          <t>Personnel glove</t>
        </is>
      </c>
      <c r="F1879" t="n">
        <v>0</v>
      </c>
      <c r="G1879" t="inlineStr">
        <is>
          <t>Tech B</t>
        </is>
      </c>
      <c r="H1879">
        <f>INDEX(Limits!$B$2:$B$5,MATCH(E1879,Limits!$A$2:$A$5,0))</f>
        <v/>
      </c>
      <c r="I1879">
        <f>INDEX(Limits!$C$2:$C$5,MATCH(E1879,Limits!$A$2:$A$5,0))</f>
        <v/>
      </c>
      <c r="J1879">
        <f>IF(F1879&gt;=I1879,"Action",IF(F1879&gt;=H1879,"Alert","Pass"))</f>
        <v/>
      </c>
      <c r="K1879" s="4">
        <f>DATE(YEAR(B1879),MONTH(B1879),1)</f>
        <v/>
      </c>
    </row>
    <row r="1880">
      <c r="A1880" t="inlineStr">
        <is>
          <t>EM001879</t>
        </is>
      </c>
      <c r="B1880" s="7" t="n">
        <v>46163</v>
      </c>
      <c r="C1880" t="inlineStr">
        <is>
          <t>Gowning</t>
        </is>
      </c>
      <c r="D1880" t="inlineStr">
        <is>
          <t>ISO 8</t>
        </is>
      </c>
      <c r="E1880" t="inlineStr">
        <is>
          <t>Active air</t>
        </is>
      </c>
      <c r="F1880" t="n">
        <v>0</v>
      </c>
      <c r="G1880" t="inlineStr">
        <is>
          <t>Tech A</t>
        </is>
      </c>
      <c r="H1880">
        <f>INDEX(Limits!$B$2:$B$5,MATCH(E1880,Limits!$A$2:$A$5,0))</f>
        <v/>
      </c>
      <c r="I1880">
        <f>INDEX(Limits!$C$2:$C$5,MATCH(E1880,Limits!$A$2:$A$5,0))</f>
        <v/>
      </c>
      <c r="J1880">
        <f>IF(F1880&gt;=I1880,"Action",IF(F1880&gt;=H1880,"Alert","Pass"))</f>
        <v/>
      </c>
      <c r="K1880" s="4">
        <f>DATE(YEAR(B1880),MONTH(B1880),1)</f>
        <v/>
      </c>
    </row>
    <row r="1881">
      <c r="A1881" t="inlineStr">
        <is>
          <t>EM001880</t>
        </is>
      </c>
      <c r="B1881" s="7" t="n">
        <v>46163</v>
      </c>
      <c r="C1881" t="inlineStr">
        <is>
          <t>Gowning</t>
        </is>
      </c>
      <c r="D1881" t="inlineStr">
        <is>
          <t>ISO 8</t>
        </is>
      </c>
      <c r="E1881" t="inlineStr">
        <is>
          <t>Surface contact</t>
        </is>
      </c>
      <c r="F1881" t="n">
        <v>1</v>
      </c>
      <c r="G1881" t="inlineStr">
        <is>
          <t>Tech B</t>
        </is>
      </c>
      <c r="H1881">
        <f>INDEX(Limits!$B$2:$B$5,MATCH(E1881,Limits!$A$2:$A$5,0))</f>
        <v/>
      </c>
      <c r="I1881">
        <f>INDEX(Limits!$C$2:$C$5,MATCH(E1881,Limits!$A$2:$A$5,0))</f>
        <v/>
      </c>
      <c r="J1881">
        <f>IF(F1881&gt;=I1881,"Action",IF(F1881&gt;=H1881,"Alert","Pass"))</f>
        <v/>
      </c>
      <c r="K1881" s="4">
        <f>DATE(YEAR(B1881),MONTH(B1881),1)</f>
        <v/>
      </c>
    </row>
    <row r="1882">
      <c r="A1882" t="inlineStr">
        <is>
          <t>EM001881</t>
        </is>
      </c>
      <c r="B1882" s="7" t="n">
        <v>46163</v>
      </c>
      <c r="C1882" t="inlineStr">
        <is>
          <t>Gowning</t>
        </is>
      </c>
      <c r="D1882" t="inlineStr">
        <is>
          <t>ISO 8</t>
        </is>
      </c>
      <c r="E1882" t="inlineStr">
        <is>
          <t>Personnel glove</t>
        </is>
      </c>
      <c r="F1882" t="n">
        <v>0</v>
      </c>
      <c r="G1882" t="inlineStr">
        <is>
          <t>Tech B</t>
        </is>
      </c>
      <c r="H1882">
        <f>INDEX(Limits!$B$2:$B$5,MATCH(E1882,Limits!$A$2:$A$5,0))</f>
        <v/>
      </c>
      <c r="I1882">
        <f>INDEX(Limits!$C$2:$C$5,MATCH(E1882,Limits!$A$2:$A$5,0))</f>
        <v/>
      </c>
      <c r="J1882">
        <f>IF(F1882&gt;=I1882,"Action",IF(F1882&gt;=H1882,"Alert","Pass"))</f>
        <v/>
      </c>
      <c r="K1882" s="4">
        <f>DATE(YEAR(B1882),MONTH(B1882),1)</f>
        <v/>
      </c>
    </row>
    <row r="1883">
      <c r="A1883" t="inlineStr">
        <is>
          <t>EM001882</t>
        </is>
      </c>
      <c r="B1883" s="7" t="n">
        <v>46164</v>
      </c>
      <c r="C1883" t="inlineStr">
        <is>
          <t>CR-101</t>
        </is>
      </c>
      <c r="D1883" t="inlineStr">
        <is>
          <t>ISO 7</t>
        </is>
      </c>
      <c r="E1883" t="inlineStr">
        <is>
          <t>Active air</t>
        </is>
      </c>
      <c r="F1883" t="n">
        <v>1</v>
      </c>
      <c r="G1883" t="inlineStr">
        <is>
          <t>Tech A</t>
        </is>
      </c>
      <c r="H1883">
        <f>INDEX(Limits!$B$2:$B$5,MATCH(E1883,Limits!$A$2:$A$5,0))</f>
        <v/>
      </c>
      <c r="I1883">
        <f>INDEX(Limits!$C$2:$C$5,MATCH(E1883,Limits!$A$2:$A$5,0))</f>
        <v/>
      </c>
      <c r="J1883">
        <f>IF(F1883&gt;=I1883,"Action",IF(F1883&gt;=H1883,"Alert","Pass"))</f>
        <v/>
      </c>
      <c r="K1883" s="4">
        <f>DATE(YEAR(B1883),MONTH(B1883),1)</f>
        <v/>
      </c>
    </row>
    <row r="1884">
      <c r="A1884" t="inlineStr">
        <is>
          <t>EM001883</t>
        </is>
      </c>
      <c r="B1884" s="7" t="n">
        <v>46164</v>
      </c>
      <c r="C1884" t="inlineStr">
        <is>
          <t>CR-101</t>
        </is>
      </c>
      <c r="D1884" t="inlineStr">
        <is>
          <t>ISO 7</t>
        </is>
      </c>
      <c r="E1884" t="inlineStr">
        <is>
          <t>Surface contact</t>
        </is>
      </c>
      <c r="F1884" t="n">
        <v>0</v>
      </c>
      <c r="G1884" t="inlineStr">
        <is>
          <t>Tech A</t>
        </is>
      </c>
      <c r="H1884">
        <f>INDEX(Limits!$B$2:$B$5,MATCH(E1884,Limits!$A$2:$A$5,0))</f>
        <v/>
      </c>
      <c r="I1884">
        <f>INDEX(Limits!$C$2:$C$5,MATCH(E1884,Limits!$A$2:$A$5,0))</f>
        <v/>
      </c>
      <c r="J1884">
        <f>IF(F1884&gt;=I1884,"Action",IF(F1884&gt;=H1884,"Alert","Pass"))</f>
        <v/>
      </c>
      <c r="K1884" s="4">
        <f>DATE(YEAR(B1884),MONTH(B1884),1)</f>
        <v/>
      </c>
    </row>
    <row r="1885">
      <c r="A1885" t="inlineStr">
        <is>
          <t>EM001884</t>
        </is>
      </c>
      <c r="B1885" s="7" t="n">
        <v>46164</v>
      </c>
      <c r="C1885" t="inlineStr">
        <is>
          <t>CR-101</t>
        </is>
      </c>
      <c r="D1885" t="inlineStr">
        <is>
          <t>ISO 7</t>
        </is>
      </c>
      <c r="E1885" t="inlineStr">
        <is>
          <t>Compressed air</t>
        </is>
      </c>
      <c r="F1885" t="n">
        <v>0</v>
      </c>
      <c r="G1885" t="inlineStr">
        <is>
          <t>Tech C</t>
        </is>
      </c>
      <c r="H1885">
        <f>INDEX(Limits!$B$2:$B$5,MATCH(E1885,Limits!$A$2:$A$5,0))</f>
        <v/>
      </c>
      <c r="I1885">
        <f>INDEX(Limits!$C$2:$C$5,MATCH(E1885,Limits!$A$2:$A$5,0))</f>
        <v/>
      </c>
      <c r="J1885">
        <f>IF(F1885&gt;=I1885,"Action",IF(F1885&gt;=H1885,"Alert","Pass"))</f>
        <v/>
      </c>
      <c r="K1885" s="4">
        <f>DATE(YEAR(B1885),MONTH(B1885),1)</f>
        <v/>
      </c>
    </row>
    <row r="1886">
      <c r="A1886" t="inlineStr">
        <is>
          <t>EM001885</t>
        </is>
      </c>
      <c r="B1886" s="7" t="n">
        <v>46164</v>
      </c>
      <c r="C1886" t="inlineStr">
        <is>
          <t>CR-101</t>
        </is>
      </c>
      <c r="D1886" t="inlineStr">
        <is>
          <t>ISO 7</t>
        </is>
      </c>
      <c r="E1886" t="inlineStr">
        <is>
          <t>Personnel glove</t>
        </is>
      </c>
      <c r="F1886" t="n">
        <v>0</v>
      </c>
      <c r="G1886" t="inlineStr">
        <is>
          <t>Tech B</t>
        </is>
      </c>
      <c r="H1886">
        <f>INDEX(Limits!$B$2:$B$5,MATCH(E1886,Limits!$A$2:$A$5,0))</f>
        <v/>
      </c>
      <c r="I1886">
        <f>INDEX(Limits!$C$2:$C$5,MATCH(E1886,Limits!$A$2:$A$5,0))</f>
        <v/>
      </c>
      <c r="J1886">
        <f>IF(F1886&gt;=I1886,"Action",IF(F1886&gt;=H1886,"Alert","Pass"))</f>
        <v/>
      </c>
      <c r="K1886" s="4">
        <f>DATE(YEAR(B1886),MONTH(B1886),1)</f>
        <v/>
      </c>
    </row>
    <row r="1887">
      <c r="A1887" t="inlineStr">
        <is>
          <t>EM001886</t>
        </is>
      </c>
      <c r="B1887" s="7" t="n">
        <v>46164</v>
      </c>
      <c r="C1887" t="inlineStr">
        <is>
          <t>CR-102</t>
        </is>
      </c>
      <c r="D1887" t="inlineStr">
        <is>
          <t>ISO 7</t>
        </is>
      </c>
      <c r="E1887" t="inlineStr">
        <is>
          <t>Active air</t>
        </is>
      </c>
      <c r="F1887" t="n">
        <v>0</v>
      </c>
      <c r="G1887" t="inlineStr">
        <is>
          <t>Tech C</t>
        </is>
      </c>
      <c r="H1887">
        <f>INDEX(Limits!$B$2:$B$5,MATCH(E1887,Limits!$A$2:$A$5,0))</f>
        <v/>
      </c>
      <c r="I1887">
        <f>INDEX(Limits!$C$2:$C$5,MATCH(E1887,Limits!$A$2:$A$5,0))</f>
        <v/>
      </c>
      <c r="J1887">
        <f>IF(F1887&gt;=I1887,"Action",IF(F1887&gt;=H1887,"Alert","Pass"))</f>
        <v/>
      </c>
      <c r="K1887" s="4">
        <f>DATE(YEAR(B1887),MONTH(B1887),1)</f>
        <v/>
      </c>
    </row>
    <row r="1888">
      <c r="A1888" t="inlineStr">
        <is>
          <t>EM001887</t>
        </is>
      </c>
      <c r="B1888" s="7" t="n">
        <v>46164</v>
      </c>
      <c r="C1888" t="inlineStr">
        <is>
          <t>CR-102</t>
        </is>
      </c>
      <c r="D1888" t="inlineStr">
        <is>
          <t>ISO 7</t>
        </is>
      </c>
      <c r="E1888" t="inlineStr">
        <is>
          <t>Surface contact</t>
        </is>
      </c>
      <c r="F1888" t="n">
        <v>0</v>
      </c>
      <c r="G1888" t="inlineStr">
        <is>
          <t>Tech D</t>
        </is>
      </c>
      <c r="H1888">
        <f>INDEX(Limits!$B$2:$B$5,MATCH(E1888,Limits!$A$2:$A$5,0))</f>
        <v/>
      </c>
      <c r="I1888">
        <f>INDEX(Limits!$C$2:$C$5,MATCH(E1888,Limits!$A$2:$A$5,0))</f>
        <v/>
      </c>
      <c r="J1888">
        <f>IF(F1888&gt;=I1888,"Action",IF(F1888&gt;=H1888,"Alert","Pass"))</f>
        <v/>
      </c>
      <c r="K1888" s="4">
        <f>DATE(YEAR(B1888),MONTH(B1888),1)</f>
        <v/>
      </c>
    </row>
    <row r="1889">
      <c r="A1889" t="inlineStr">
        <is>
          <t>EM001888</t>
        </is>
      </c>
      <c r="B1889" s="7" t="n">
        <v>46164</v>
      </c>
      <c r="C1889" t="inlineStr">
        <is>
          <t>CR-102</t>
        </is>
      </c>
      <c r="D1889" t="inlineStr">
        <is>
          <t>ISO 7</t>
        </is>
      </c>
      <c r="E1889" t="inlineStr">
        <is>
          <t>Compressed air</t>
        </is>
      </c>
      <c r="F1889" t="n">
        <v>0</v>
      </c>
      <c r="G1889" t="inlineStr">
        <is>
          <t>Tech A</t>
        </is>
      </c>
      <c r="H1889">
        <f>INDEX(Limits!$B$2:$B$5,MATCH(E1889,Limits!$A$2:$A$5,0))</f>
        <v/>
      </c>
      <c r="I1889">
        <f>INDEX(Limits!$C$2:$C$5,MATCH(E1889,Limits!$A$2:$A$5,0))</f>
        <v/>
      </c>
      <c r="J1889">
        <f>IF(F1889&gt;=I1889,"Action",IF(F1889&gt;=H1889,"Alert","Pass"))</f>
        <v/>
      </c>
      <c r="K1889" s="4">
        <f>DATE(YEAR(B1889),MONTH(B1889),1)</f>
        <v/>
      </c>
    </row>
    <row r="1890">
      <c r="A1890" t="inlineStr">
        <is>
          <t>EM001889</t>
        </is>
      </c>
      <c r="B1890" s="7" t="n">
        <v>46164</v>
      </c>
      <c r="C1890" t="inlineStr">
        <is>
          <t>CR-102</t>
        </is>
      </c>
      <c r="D1890" t="inlineStr">
        <is>
          <t>ISO 7</t>
        </is>
      </c>
      <c r="E1890" t="inlineStr">
        <is>
          <t>Personnel glove</t>
        </is>
      </c>
      <c r="F1890" t="n">
        <v>0</v>
      </c>
      <c r="G1890" t="inlineStr">
        <is>
          <t>Tech B</t>
        </is>
      </c>
      <c r="H1890">
        <f>INDEX(Limits!$B$2:$B$5,MATCH(E1890,Limits!$A$2:$A$5,0))</f>
        <v/>
      </c>
      <c r="I1890">
        <f>INDEX(Limits!$C$2:$C$5,MATCH(E1890,Limits!$A$2:$A$5,0))</f>
        <v/>
      </c>
      <c r="J1890">
        <f>IF(F1890&gt;=I1890,"Action",IF(F1890&gt;=H1890,"Alert","Pass"))</f>
        <v/>
      </c>
      <c r="K1890" s="4">
        <f>DATE(YEAR(B1890),MONTH(B1890),1)</f>
        <v/>
      </c>
    </row>
    <row r="1891">
      <c r="A1891" t="inlineStr">
        <is>
          <t>EM001890</t>
        </is>
      </c>
      <c r="B1891" s="7" t="n">
        <v>46164</v>
      </c>
      <c r="C1891" t="inlineStr">
        <is>
          <t>CR-201</t>
        </is>
      </c>
      <c r="D1891" t="inlineStr">
        <is>
          <t>ISO 8</t>
        </is>
      </c>
      <c r="E1891" t="inlineStr">
        <is>
          <t>Active air</t>
        </is>
      </c>
      <c r="F1891" t="n">
        <v>3</v>
      </c>
      <c r="G1891" t="inlineStr">
        <is>
          <t>Tech C</t>
        </is>
      </c>
      <c r="H1891">
        <f>INDEX(Limits!$B$2:$B$5,MATCH(E1891,Limits!$A$2:$A$5,0))</f>
        <v/>
      </c>
      <c r="I1891">
        <f>INDEX(Limits!$C$2:$C$5,MATCH(E1891,Limits!$A$2:$A$5,0))</f>
        <v/>
      </c>
      <c r="J1891">
        <f>IF(F1891&gt;=I1891,"Action",IF(F1891&gt;=H1891,"Alert","Pass"))</f>
        <v/>
      </c>
      <c r="K1891" s="4">
        <f>DATE(YEAR(B1891),MONTH(B1891),1)</f>
        <v/>
      </c>
    </row>
    <row r="1892">
      <c r="A1892" t="inlineStr">
        <is>
          <t>EM001891</t>
        </is>
      </c>
      <c r="B1892" s="7" t="n">
        <v>46164</v>
      </c>
      <c r="C1892" t="inlineStr">
        <is>
          <t>CR-201</t>
        </is>
      </c>
      <c r="D1892" t="inlineStr">
        <is>
          <t>ISO 8</t>
        </is>
      </c>
      <c r="E1892" t="inlineStr">
        <is>
          <t>Surface contact</t>
        </is>
      </c>
      <c r="F1892" t="n">
        <v>0</v>
      </c>
      <c r="G1892" t="inlineStr">
        <is>
          <t>Tech D</t>
        </is>
      </c>
      <c r="H1892">
        <f>INDEX(Limits!$B$2:$B$5,MATCH(E1892,Limits!$A$2:$A$5,0))</f>
        <v/>
      </c>
      <c r="I1892">
        <f>INDEX(Limits!$C$2:$C$5,MATCH(E1892,Limits!$A$2:$A$5,0))</f>
        <v/>
      </c>
      <c r="J1892">
        <f>IF(F1892&gt;=I1892,"Action",IF(F1892&gt;=H1892,"Alert","Pass"))</f>
        <v/>
      </c>
      <c r="K1892" s="4">
        <f>DATE(YEAR(B1892),MONTH(B1892),1)</f>
        <v/>
      </c>
    </row>
    <row r="1893">
      <c r="A1893" t="inlineStr">
        <is>
          <t>EM001892</t>
        </is>
      </c>
      <c r="B1893" s="7" t="n">
        <v>46164</v>
      </c>
      <c r="C1893" t="inlineStr">
        <is>
          <t>CR-201</t>
        </is>
      </c>
      <c r="D1893" t="inlineStr">
        <is>
          <t>ISO 8</t>
        </is>
      </c>
      <c r="E1893" t="inlineStr">
        <is>
          <t>Compressed air</t>
        </is>
      </c>
      <c r="F1893" t="n">
        <v>0</v>
      </c>
      <c r="G1893" t="inlineStr">
        <is>
          <t>Tech A</t>
        </is>
      </c>
      <c r="H1893">
        <f>INDEX(Limits!$B$2:$B$5,MATCH(E1893,Limits!$A$2:$A$5,0))</f>
        <v/>
      </c>
      <c r="I1893">
        <f>INDEX(Limits!$C$2:$C$5,MATCH(E1893,Limits!$A$2:$A$5,0))</f>
        <v/>
      </c>
      <c r="J1893">
        <f>IF(F1893&gt;=I1893,"Action",IF(F1893&gt;=H1893,"Alert","Pass"))</f>
        <v/>
      </c>
      <c r="K1893" s="4">
        <f>DATE(YEAR(B1893),MONTH(B1893),1)</f>
        <v/>
      </c>
    </row>
    <row r="1894">
      <c r="A1894" t="inlineStr">
        <is>
          <t>EM001893</t>
        </is>
      </c>
      <c r="B1894" s="7" t="n">
        <v>46164</v>
      </c>
      <c r="C1894" t="inlineStr">
        <is>
          <t>CR-201</t>
        </is>
      </c>
      <c r="D1894" t="inlineStr">
        <is>
          <t>ISO 8</t>
        </is>
      </c>
      <c r="E1894" t="inlineStr">
        <is>
          <t>Personnel glove</t>
        </is>
      </c>
      <c r="F1894" t="n">
        <v>0</v>
      </c>
      <c r="G1894" t="inlineStr">
        <is>
          <t>Tech B</t>
        </is>
      </c>
      <c r="H1894">
        <f>INDEX(Limits!$B$2:$B$5,MATCH(E1894,Limits!$A$2:$A$5,0))</f>
        <v/>
      </c>
      <c r="I1894">
        <f>INDEX(Limits!$C$2:$C$5,MATCH(E1894,Limits!$A$2:$A$5,0))</f>
        <v/>
      </c>
      <c r="J1894">
        <f>IF(F1894&gt;=I1894,"Action",IF(F1894&gt;=H1894,"Alert","Pass"))</f>
        <v/>
      </c>
      <c r="K1894" s="4">
        <f>DATE(YEAR(B1894),MONTH(B1894),1)</f>
        <v/>
      </c>
    </row>
    <row r="1895">
      <c r="A1895" t="inlineStr">
        <is>
          <t>EM001894</t>
        </is>
      </c>
      <c r="B1895" s="7" t="n">
        <v>46164</v>
      </c>
      <c r="C1895" t="inlineStr">
        <is>
          <t>CR-202</t>
        </is>
      </c>
      <c r="D1895" t="inlineStr">
        <is>
          <t>ISO 8</t>
        </is>
      </c>
      <c r="E1895" t="inlineStr">
        <is>
          <t>Active air</t>
        </is>
      </c>
      <c r="F1895" t="n">
        <v>2</v>
      </c>
      <c r="G1895" t="inlineStr">
        <is>
          <t>Tech A</t>
        </is>
      </c>
      <c r="H1895">
        <f>INDEX(Limits!$B$2:$B$5,MATCH(E1895,Limits!$A$2:$A$5,0))</f>
        <v/>
      </c>
      <c r="I1895">
        <f>INDEX(Limits!$C$2:$C$5,MATCH(E1895,Limits!$A$2:$A$5,0))</f>
        <v/>
      </c>
      <c r="J1895">
        <f>IF(F1895&gt;=I1895,"Action",IF(F1895&gt;=H1895,"Alert","Pass"))</f>
        <v/>
      </c>
      <c r="K1895" s="4">
        <f>DATE(YEAR(B1895),MONTH(B1895),1)</f>
        <v/>
      </c>
    </row>
    <row r="1896">
      <c r="A1896" t="inlineStr">
        <is>
          <t>EM001895</t>
        </is>
      </c>
      <c r="B1896" s="7" t="n">
        <v>46164</v>
      </c>
      <c r="C1896" t="inlineStr">
        <is>
          <t>CR-202</t>
        </is>
      </c>
      <c r="D1896" t="inlineStr">
        <is>
          <t>ISO 8</t>
        </is>
      </c>
      <c r="E1896" t="inlineStr">
        <is>
          <t>Surface contact</t>
        </is>
      </c>
      <c r="F1896" t="n">
        <v>0</v>
      </c>
      <c r="G1896" t="inlineStr">
        <is>
          <t>Tech A</t>
        </is>
      </c>
      <c r="H1896">
        <f>INDEX(Limits!$B$2:$B$5,MATCH(E1896,Limits!$A$2:$A$5,0))</f>
        <v/>
      </c>
      <c r="I1896">
        <f>INDEX(Limits!$C$2:$C$5,MATCH(E1896,Limits!$A$2:$A$5,0))</f>
        <v/>
      </c>
      <c r="J1896">
        <f>IF(F1896&gt;=I1896,"Action",IF(F1896&gt;=H1896,"Alert","Pass"))</f>
        <v/>
      </c>
      <c r="K1896" s="4">
        <f>DATE(YEAR(B1896),MONTH(B1896),1)</f>
        <v/>
      </c>
    </row>
    <row r="1897">
      <c r="A1897" t="inlineStr">
        <is>
          <t>EM001896</t>
        </is>
      </c>
      <c r="B1897" s="7" t="n">
        <v>46164</v>
      </c>
      <c r="C1897" t="inlineStr">
        <is>
          <t>CR-202</t>
        </is>
      </c>
      <c r="D1897" t="inlineStr">
        <is>
          <t>ISO 8</t>
        </is>
      </c>
      <c r="E1897" t="inlineStr">
        <is>
          <t>Compressed air</t>
        </is>
      </c>
      <c r="F1897" t="n">
        <v>0</v>
      </c>
      <c r="G1897" t="inlineStr">
        <is>
          <t>Tech B</t>
        </is>
      </c>
      <c r="H1897">
        <f>INDEX(Limits!$B$2:$B$5,MATCH(E1897,Limits!$A$2:$A$5,0))</f>
        <v/>
      </c>
      <c r="I1897">
        <f>INDEX(Limits!$C$2:$C$5,MATCH(E1897,Limits!$A$2:$A$5,0))</f>
        <v/>
      </c>
      <c r="J1897">
        <f>IF(F1897&gt;=I1897,"Action",IF(F1897&gt;=H1897,"Alert","Pass"))</f>
        <v/>
      </c>
      <c r="K1897" s="4">
        <f>DATE(YEAR(B1897),MONTH(B1897),1)</f>
        <v/>
      </c>
    </row>
    <row r="1898">
      <c r="A1898" t="inlineStr">
        <is>
          <t>EM001897</t>
        </is>
      </c>
      <c r="B1898" s="7" t="n">
        <v>46164</v>
      </c>
      <c r="C1898" t="inlineStr">
        <is>
          <t>CR-202</t>
        </is>
      </c>
      <c r="D1898" t="inlineStr">
        <is>
          <t>ISO 8</t>
        </is>
      </c>
      <c r="E1898" t="inlineStr">
        <is>
          <t>Personnel glove</t>
        </is>
      </c>
      <c r="F1898" t="n">
        <v>0</v>
      </c>
      <c r="G1898" t="inlineStr">
        <is>
          <t>Tech C</t>
        </is>
      </c>
      <c r="H1898">
        <f>INDEX(Limits!$B$2:$B$5,MATCH(E1898,Limits!$A$2:$A$5,0))</f>
        <v/>
      </c>
      <c r="I1898">
        <f>INDEX(Limits!$C$2:$C$5,MATCH(E1898,Limits!$A$2:$A$5,0))</f>
        <v/>
      </c>
      <c r="J1898">
        <f>IF(F1898&gt;=I1898,"Action",IF(F1898&gt;=H1898,"Alert","Pass"))</f>
        <v/>
      </c>
      <c r="K1898" s="4">
        <f>DATE(YEAR(B1898),MONTH(B1898),1)</f>
        <v/>
      </c>
    </row>
    <row r="1899">
      <c r="A1899" t="inlineStr">
        <is>
          <t>EM001898</t>
        </is>
      </c>
      <c r="B1899" s="7" t="n">
        <v>46164</v>
      </c>
      <c r="C1899" t="inlineStr">
        <is>
          <t>Gowning</t>
        </is>
      </c>
      <c r="D1899" t="inlineStr">
        <is>
          <t>ISO 8</t>
        </is>
      </c>
      <c r="E1899" t="inlineStr">
        <is>
          <t>Active air</t>
        </is>
      </c>
      <c r="F1899" t="n">
        <v>2</v>
      </c>
      <c r="G1899" t="inlineStr">
        <is>
          <t>Tech B</t>
        </is>
      </c>
      <c r="H1899">
        <f>INDEX(Limits!$B$2:$B$5,MATCH(E1899,Limits!$A$2:$A$5,0))</f>
        <v/>
      </c>
      <c r="I1899">
        <f>INDEX(Limits!$C$2:$C$5,MATCH(E1899,Limits!$A$2:$A$5,0))</f>
        <v/>
      </c>
      <c r="J1899">
        <f>IF(F1899&gt;=I1899,"Action",IF(F1899&gt;=H1899,"Alert","Pass"))</f>
        <v/>
      </c>
      <c r="K1899" s="4">
        <f>DATE(YEAR(B1899),MONTH(B1899),1)</f>
        <v/>
      </c>
    </row>
    <row r="1900">
      <c r="A1900" t="inlineStr">
        <is>
          <t>EM001899</t>
        </is>
      </c>
      <c r="B1900" s="7" t="n">
        <v>46164</v>
      </c>
      <c r="C1900" t="inlineStr">
        <is>
          <t>Gowning</t>
        </is>
      </c>
      <c r="D1900" t="inlineStr">
        <is>
          <t>ISO 8</t>
        </is>
      </c>
      <c r="E1900" t="inlineStr">
        <is>
          <t>Surface contact</t>
        </is>
      </c>
      <c r="F1900" t="n">
        <v>0</v>
      </c>
      <c r="G1900" t="inlineStr">
        <is>
          <t>Tech C</t>
        </is>
      </c>
      <c r="H1900">
        <f>INDEX(Limits!$B$2:$B$5,MATCH(E1900,Limits!$A$2:$A$5,0))</f>
        <v/>
      </c>
      <c r="I1900">
        <f>INDEX(Limits!$C$2:$C$5,MATCH(E1900,Limits!$A$2:$A$5,0))</f>
        <v/>
      </c>
      <c r="J1900">
        <f>IF(F1900&gt;=I1900,"Action",IF(F1900&gt;=H1900,"Alert","Pass"))</f>
        <v/>
      </c>
      <c r="K1900" s="4">
        <f>DATE(YEAR(B1900),MONTH(B1900),1)</f>
        <v/>
      </c>
    </row>
    <row r="1901">
      <c r="A1901" t="inlineStr">
        <is>
          <t>EM001900</t>
        </is>
      </c>
      <c r="B1901" s="7" t="n">
        <v>46164</v>
      </c>
      <c r="C1901" t="inlineStr">
        <is>
          <t>Gowning</t>
        </is>
      </c>
      <c r="D1901" t="inlineStr">
        <is>
          <t>ISO 8</t>
        </is>
      </c>
      <c r="E1901" t="inlineStr">
        <is>
          <t>Personnel glove</t>
        </is>
      </c>
      <c r="F1901" t="n">
        <v>0</v>
      </c>
      <c r="G1901" t="inlineStr">
        <is>
          <t>Tech A</t>
        </is>
      </c>
      <c r="H1901">
        <f>INDEX(Limits!$B$2:$B$5,MATCH(E1901,Limits!$A$2:$A$5,0))</f>
        <v/>
      </c>
      <c r="I1901">
        <f>INDEX(Limits!$C$2:$C$5,MATCH(E1901,Limits!$A$2:$A$5,0))</f>
        <v/>
      </c>
      <c r="J1901">
        <f>IF(F1901&gt;=I1901,"Action",IF(F1901&gt;=H1901,"Alert","Pass"))</f>
        <v/>
      </c>
      <c r="K1901" s="4">
        <f>DATE(YEAR(B1901),MONTH(B1901),1)</f>
        <v/>
      </c>
    </row>
    <row r="1902">
      <c r="A1902" t="inlineStr">
        <is>
          <t>EM001901</t>
        </is>
      </c>
      <c r="B1902" s="7" t="n">
        <v>46167</v>
      </c>
      <c r="C1902" t="inlineStr">
        <is>
          <t>CR-101</t>
        </is>
      </c>
      <c r="D1902" t="inlineStr">
        <is>
          <t>ISO 7</t>
        </is>
      </c>
      <c r="E1902" t="inlineStr">
        <is>
          <t>Active air</t>
        </is>
      </c>
      <c r="F1902" t="n">
        <v>2</v>
      </c>
      <c r="G1902" t="inlineStr">
        <is>
          <t>Tech C</t>
        </is>
      </c>
      <c r="H1902">
        <f>INDEX(Limits!$B$2:$B$5,MATCH(E1902,Limits!$A$2:$A$5,0))</f>
        <v/>
      </c>
      <c r="I1902">
        <f>INDEX(Limits!$C$2:$C$5,MATCH(E1902,Limits!$A$2:$A$5,0))</f>
        <v/>
      </c>
      <c r="J1902">
        <f>IF(F1902&gt;=I1902,"Action",IF(F1902&gt;=H1902,"Alert","Pass"))</f>
        <v/>
      </c>
      <c r="K1902" s="4">
        <f>DATE(YEAR(B1902),MONTH(B1902),1)</f>
        <v/>
      </c>
    </row>
    <row r="1903">
      <c r="A1903" t="inlineStr">
        <is>
          <t>EM001902</t>
        </is>
      </c>
      <c r="B1903" s="7" t="n">
        <v>46167</v>
      </c>
      <c r="C1903" t="inlineStr">
        <is>
          <t>CR-101</t>
        </is>
      </c>
      <c r="D1903" t="inlineStr">
        <is>
          <t>ISO 7</t>
        </is>
      </c>
      <c r="E1903" t="inlineStr">
        <is>
          <t>Surface contact</t>
        </is>
      </c>
      <c r="F1903" t="n">
        <v>1</v>
      </c>
      <c r="G1903" t="inlineStr">
        <is>
          <t>Tech A</t>
        </is>
      </c>
      <c r="H1903">
        <f>INDEX(Limits!$B$2:$B$5,MATCH(E1903,Limits!$A$2:$A$5,0))</f>
        <v/>
      </c>
      <c r="I1903">
        <f>INDEX(Limits!$C$2:$C$5,MATCH(E1903,Limits!$A$2:$A$5,0))</f>
        <v/>
      </c>
      <c r="J1903">
        <f>IF(F1903&gt;=I1903,"Action",IF(F1903&gt;=H1903,"Alert","Pass"))</f>
        <v/>
      </c>
      <c r="K1903" s="4">
        <f>DATE(YEAR(B1903),MONTH(B1903),1)</f>
        <v/>
      </c>
    </row>
    <row r="1904">
      <c r="A1904" t="inlineStr">
        <is>
          <t>EM001903</t>
        </is>
      </c>
      <c r="B1904" s="7" t="n">
        <v>46167</v>
      </c>
      <c r="C1904" t="inlineStr">
        <is>
          <t>CR-101</t>
        </is>
      </c>
      <c r="D1904" t="inlineStr">
        <is>
          <t>ISO 7</t>
        </is>
      </c>
      <c r="E1904" t="inlineStr">
        <is>
          <t>Compressed air</t>
        </is>
      </c>
      <c r="F1904" t="n">
        <v>0</v>
      </c>
      <c r="G1904" t="inlineStr">
        <is>
          <t>Tech C</t>
        </is>
      </c>
      <c r="H1904">
        <f>INDEX(Limits!$B$2:$B$5,MATCH(E1904,Limits!$A$2:$A$5,0))</f>
        <v/>
      </c>
      <c r="I1904">
        <f>INDEX(Limits!$C$2:$C$5,MATCH(E1904,Limits!$A$2:$A$5,0))</f>
        <v/>
      </c>
      <c r="J1904">
        <f>IF(F1904&gt;=I1904,"Action",IF(F1904&gt;=H1904,"Alert","Pass"))</f>
        <v/>
      </c>
      <c r="K1904" s="4">
        <f>DATE(YEAR(B1904),MONTH(B1904),1)</f>
        <v/>
      </c>
    </row>
    <row r="1905">
      <c r="A1905" t="inlineStr">
        <is>
          <t>EM001904</t>
        </is>
      </c>
      <c r="B1905" s="7" t="n">
        <v>46167</v>
      </c>
      <c r="C1905" t="inlineStr">
        <is>
          <t>CR-101</t>
        </is>
      </c>
      <c r="D1905" t="inlineStr">
        <is>
          <t>ISO 7</t>
        </is>
      </c>
      <c r="E1905" t="inlineStr">
        <is>
          <t>Personnel glove</t>
        </is>
      </c>
      <c r="F1905" t="n">
        <v>0</v>
      </c>
      <c r="G1905" t="inlineStr">
        <is>
          <t>Tech D</t>
        </is>
      </c>
      <c r="H1905">
        <f>INDEX(Limits!$B$2:$B$5,MATCH(E1905,Limits!$A$2:$A$5,0))</f>
        <v/>
      </c>
      <c r="I1905">
        <f>INDEX(Limits!$C$2:$C$5,MATCH(E1905,Limits!$A$2:$A$5,0))</f>
        <v/>
      </c>
      <c r="J1905">
        <f>IF(F1905&gt;=I1905,"Action",IF(F1905&gt;=H1905,"Alert","Pass"))</f>
        <v/>
      </c>
      <c r="K1905" s="4">
        <f>DATE(YEAR(B1905),MONTH(B1905),1)</f>
        <v/>
      </c>
    </row>
    <row r="1906">
      <c r="A1906" t="inlineStr">
        <is>
          <t>EM001905</t>
        </is>
      </c>
      <c r="B1906" s="7" t="n">
        <v>46167</v>
      </c>
      <c r="C1906" t="inlineStr">
        <is>
          <t>CR-102</t>
        </is>
      </c>
      <c r="D1906" t="inlineStr">
        <is>
          <t>ISO 7</t>
        </is>
      </c>
      <c r="E1906" t="inlineStr">
        <is>
          <t>Active air</t>
        </is>
      </c>
      <c r="F1906" t="n">
        <v>1</v>
      </c>
      <c r="G1906" t="inlineStr">
        <is>
          <t>Tech C</t>
        </is>
      </c>
      <c r="H1906">
        <f>INDEX(Limits!$B$2:$B$5,MATCH(E1906,Limits!$A$2:$A$5,0))</f>
        <v/>
      </c>
      <c r="I1906">
        <f>INDEX(Limits!$C$2:$C$5,MATCH(E1906,Limits!$A$2:$A$5,0))</f>
        <v/>
      </c>
      <c r="J1906">
        <f>IF(F1906&gt;=I1906,"Action",IF(F1906&gt;=H1906,"Alert","Pass"))</f>
        <v/>
      </c>
      <c r="K1906" s="4">
        <f>DATE(YEAR(B1906),MONTH(B1906),1)</f>
        <v/>
      </c>
    </row>
    <row r="1907">
      <c r="A1907" t="inlineStr">
        <is>
          <t>EM001906</t>
        </is>
      </c>
      <c r="B1907" s="7" t="n">
        <v>46167</v>
      </c>
      <c r="C1907" t="inlineStr">
        <is>
          <t>CR-102</t>
        </is>
      </c>
      <c r="D1907" t="inlineStr">
        <is>
          <t>ISO 7</t>
        </is>
      </c>
      <c r="E1907" t="inlineStr">
        <is>
          <t>Surface contact</t>
        </is>
      </c>
      <c r="F1907" t="n">
        <v>1</v>
      </c>
      <c r="G1907" t="inlineStr">
        <is>
          <t>Tech C</t>
        </is>
      </c>
      <c r="H1907">
        <f>INDEX(Limits!$B$2:$B$5,MATCH(E1907,Limits!$A$2:$A$5,0))</f>
        <v/>
      </c>
      <c r="I1907">
        <f>INDEX(Limits!$C$2:$C$5,MATCH(E1907,Limits!$A$2:$A$5,0))</f>
        <v/>
      </c>
      <c r="J1907">
        <f>IF(F1907&gt;=I1907,"Action",IF(F1907&gt;=H1907,"Alert","Pass"))</f>
        <v/>
      </c>
      <c r="K1907" s="4">
        <f>DATE(YEAR(B1907),MONTH(B1907),1)</f>
        <v/>
      </c>
    </row>
    <row r="1908">
      <c r="A1908" t="inlineStr">
        <is>
          <t>EM001907</t>
        </is>
      </c>
      <c r="B1908" s="7" t="n">
        <v>46167</v>
      </c>
      <c r="C1908" t="inlineStr">
        <is>
          <t>CR-102</t>
        </is>
      </c>
      <c r="D1908" t="inlineStr">
        <is>
          <t>ISO 7</t>
        </is>
      </c>
      <c r="E1908" t="inlineStr">
        <is>
          <t>Compressed air</t>
        </is>
      </c>
      <c r="F1908" t="n">
        <v>0</v>
      </c>
      <c r="G1908" t="inlineStr">
        <is>
          <t>Tech B</t>
        </is>
      </c>
      <c r="H1908">
        <f>INDEX(Limits!$B$2:$B$5,MATCH(E1908,Limits!$A$2:$A$5,0))</f>
        <v/>
      </c>
      <c r="I1908">
        <f>INDEX(Limits!$C$2:$C$5,MATCH(E1908,Limits!$A$2:$A$5,0))</f>
        <v/>
      </c>
      <c r="J1908">
        <f>IF(F1908&gt;=I1908,"Action",IF(F1908&gt;=H1908,"Alert","Pass"))</f>
        <v/>
      </c>
      <c r="K1908" s="4">
        <f>DATE(YEAR(B1908),MONTH(B1908),1)</f>
        <v/>
      </c>
    </row>
    <row r="1909">
      <c r="A1909" t="inlineStr">
        <is>
          <t>EM001908</t>
        </is>
      </c>
      <c r="B1909" s="7" t="n">
        <v>46167</v>
      </c>
      <c r="C1909" t="inlineStr">
        <is>
          <t>CR-102</t>
        </is>
      </c>
      <c r="D1909" t="inlineStr">
        <is>
          <t>ISO 7</t>
        </is>
      </c>
      <c r="E1909" t="inlineStr">
        <is>
          <t>Personnel glove</t>
        </is>
      </c>
      <c r="F1909" t="n">
        <v>0</v>
      </c>
      <c r="G1909" t="inlineStr">
        <is>
          <t>Tech C</t>
        </is>
      </c>
      <c r="H1909">
        <f>INDEX(Limits!$B$2:$B$5,MATCH(E1909,Limits!$A$2:$A$5,0))</f>
        <v/>
      </c>
      <c r="I1909">
        <f>INDEX(Limits!$C$2:$C$5,MATCH(E1909,Limits!$A$2:$A$5,0))</f>
        <v/>
      </c>
      <c r="J1909">
        <f>IF(F1909&gt;=I1909,"Action",IF(F1909&gt;=H1909,"Alert","Pass"))</f>
        <v/>
      </c>
      <c r="K1909" s="4">
        <f>DATE(YEAR(B1909),MONTH(B1909),1)</f>
        <v/>
      </c>
    </row>
    <row r="1910">
      <c r="A1910" t="inlineStr">
        <is>
          <t>EM001909</t>
        </is>
      </c>
      <c r="B1910" s="7" t="n">
        <v>46167</v>
      </c>
      <c r="C1910" t="inlineStr">
        <is>
          <t>CR-201</t>
        </is>
      </c>
      <c r="D1910" t="inlineStr">
        <is>
          <t>ISO 8</t>
        </is>
      </c>
      <c r="E1910" t="inlineStr">
        <is>
          <t>Active air</t>
        </is>
      </c>
      <c r="F1910" t="n">
        <v>1</v>
      </c>
      <c r="G1910" t="inlineStr">
        <is>
          <t>Tech A</t>
        </is>
      </c>
      <c r="H1910">
        <f>INDEX(Limits!$B$2:$B$5,MATCH(E1910,Limits!$A$2:$A$5,0))</f>
        <v/>
      </c>
      <c r="I1910">
        <f>INDEX(Limits!$C$2:$C$5,MATCH(E1910,Limits!$A$2:$A$5,0))</f>
        <v/>
      </c>
      <c r="J1910">
        <f>IF(F1910&gt;=I1910,"Action",IF(F1910&gt;=H1910,"Alert","Pass"))</f>
        <v/>
      </c>
      <c r="K1910" s="4">
        <f>DATE(YEAR(B1910),MONTH(B1910),1)</f>
        <v/>
      </c>
    </row>
    <row r="1911">
      <c r="A1911" t="inlineStr">
        <is>
          <t>EM001910</t>
        </is>
      </c>
      <c r="B1911" s="7" t="n">
        <v>46167</v>
      </c>
      <c r="C1911" t="inlineStr">
        <is>
          <t>CR-201</t>
        </is>
      </c>
      <c r="D1911" t="inlineStr">
        <is>
          <t>ISO 8</t>
        </is>
      </c>
      <c r="E1911" t="inlineStr">
        <is>
          <t>Surface contact</t>
        </is>
      </c>
      <c r="F1911" t="n">
        <v>0</v>
      </c>
      <c r="G1911" t="inlineStr">
        <is>
          <t>Tech B</t>
        </is>
      </c>
      <c r="H1911">
        <f>INDEX(Limits!$B$2:$B$5,MATCH(E1911,Limits!$A$2:$A$5,0))</f>
        <v/>
      </c>
      <c r="I1911">
        <f>INDEX(Limits!$C$2:$C$5,MATCH(E1911,Limits!$A$2:$A$5,0))</f>
        <v/>
      </c>
      <c r="J1911">
        <f>IF(F1911&gt;=I1911,"Action",IF(F1911&gt;=H1911,"Alert","Pass"))</f>
        <v/>
      </c>
      <c r="K1911" s="4">
        <f>DATE(YEAR(B1911),MONTH(B1911),1)</f>
        <v/>
      </c>
    </row>
    <row r="1912">
      <c r="A1912" t="inlineStr">
        <is>
          <t>EM001911</t>
        </is>
      </c>
      <c r="B1912" s="7" t="n">
        <v>46167</v>
      </c>
      <c r="C1912" t="inlineStr">
        <is>
          <t>CR-201</t>
        </is>
      </c>
      <c r="D1912" t="inlineStr">
        <is>
          <t>ISO 8</t>
        </is>
      </c>
      <c r="E1912" t="inlineStr">
        <is>
          <t>Compressed air</t>
        </is>
      </c>
      <c r="F1912" t="n">
        <v>0</v>
      </c>
      <c r="G1912" t="inlineStr">
        <is>
          <t>Tech A</t>
        </is>
      </c>
      <c r="H1912">
        <f>INDEX(Limits!$B$2:$B$5,MATCH(E1912,Limits!$A$2:$A$5,0))</f>
        <v/>
      </c>
      <c r="I1912">
        <f>INDEX(Limits!$C$2:$C$5,MATCH(E1912,Limits!$A$2:$A$5,0))</f>
        <v/>
      </c>
      <c r="J1912">
        <f>IF(F1912&gt;=I1912,"Action",IF(F1912&gt;=H1912,"Alert","Pass"))</f>
        <v/>
      </c>
      <c r="K1912" s="4">
        <f>DATE(YEAR(B1912),MONTH(B1912),1)</f>
        <v/>
      </c>
    </row>
    <row r="1913">
      <c r="A1913" t="inlineStr">
        <is>
          <t>EM001912</t>
        </is>
      </c>
      <c r="B1913" s="7" t="n">
        <v>46167</v>
      </c>
      <c r="C1913" t="inlineStr">
        <is>
          <t>CR-201</t>
        </is>
      </c>
      <c r="D1913" t="inlineStr">
        <is>
          <t>ISO 8</t>
        </is>
      </c>
      <c r="E1913" t="inlineStr">
        <is>
          <t>Personnel glove</t>
        </is>
      </c>
      <c r="F1913" t="n">
        <v>0</v>
      </c>
      <c r="G1913" t="inlineStr">
        <is>
          <t>Tech C</t>
        </is>
      </c>
      <c r="H1913">
        <f>INDEX(Limits!$B$2:$B$5,MATCH(E1913,Limits!$A$2:$A$5,0))</f>
        <v/>
      </c>
      <c r="I1913">
        <f>INDEX(Limits!$C$2:$C$5,MATCH(E1913,Limits!$A$2:$A$5,0))</f>
        <v/>
      </c>
      <c r="J1913">
        <f>IF(F1913&gt;=I1913,"Action",IF(F1913&gt;=H1913,"Alert","Pass"))</f>
        <v/>
      </c>
      <c r="K1913" s="4">
        <f>DATE(YEAR(B1913),MONTH(B1913),1)</f>
        <v/>
      </c>
    </row>
    <row r="1914">
      <c r="A1914" t="inlineStr">
        <is>
          <t>EM001913</t>
        </is>
      </c>
      <c r="B1914" s="7" t="n">
        <v>46167</v>
      </c>
      <c r="C1914" t="inlineStr">
        <is>
          <t>CR-202</t>
        </is>
      </c>
      <c r="D1914" t="inlineStr">
        <is>
          <t>ISO 8</t>
        </is>
      </c>
      <c r="E1914" t="inlineStr">
        <is>
          <t>Active air</t>
        </is>
      </c>
      <c r="F1914" t="n">
        <v>2</v>
      </c>
      <c r="G1914" t="inlineStr">
        <is>
          <t>Tech C</t>
        </is>
      </c>
      <c r="H1914">
        <f>INDEX(Limits!$B$2:$B$5,MATCH(E1914,Limits!$A$2:$A$5,0))</f>
        <v/>
      </c>
      <c r="I1914">
        <f>INDEX(Limits!$C$2:$C$5,MATCH(E1914,Limits!$A$2:$A$5,0))</f>
        <v/>
      </c>
      <c r="J1914">
        <f>IF(F1914&gt;=I1914,"Action",IF(F1914&gt;=H1914,"Alert","Pass"))</f>
        <v/>
      </c>
      <c r="K1914" s="4">
        <f>DATE(YEAR(B1914),MONTH(B1914),1)</f>
        <v/>
      </c>
    </row>
    <row r="1915">
      <c r="A1915" t="inlineStr">
        <is>
          <t>EM001914</t>
        </is>
      </c>
      <c r="B1915" s="7" t="n">
        <v>46167</v>
      </c>
      <c r="C1915" t="inlineStr">
        <is>
          <t>CR-202</t>
        </is>
      </c>
      <c r="D1915" t="inlineStr">
        <is>
          <t>ISO 8</t>
        </is>
      </c>
      <c r="E1915" t="inlineStr">
        <is>
          <t>Surface contact</t>
        </is>
      </c>
      <c r="F1915" t="n">
        <v>2</v>
      </c>
      <c r="G1915" t="inlineStr">
        <is>
          <t>Tech B</t>
        </is>
      </c>
      <c r="H1915">
        <f>INDEX(Limits!$B$2:$B$5,MATCH(E1915,Limits!$A$2:$A$5,0))</f>
        <v/>
      </c>
      <c r="I1915">
        <f>INDEX(Limits!$C$2:$C$5,MATCH(E1915,Limits!$A$2:$A$5,0))</f>
        <v/>
      </c>
      <c r="J1915">
        <f>IF(F1915&gt;=I1915,"Action",IF(F1915&gt;=H1915,"Alert","Pass"))</f>
        <v/>
      </c>
      <c r="K1915" s="4">
        <f>DATE(YEAR(B1915),MONTH(B1915),1)</f>
        <v/>
      </c>
    </row>
    <row r="1916">
      <c r="A1916" t="inlineStr">
        <is>
          <t>EM001915</t>
        </is>
      </c>
      <c r="B1916" s="7" t="n">
        <v>46167</v>
      </c>
      <c r="C1916" t="inlineStr">
        <is>
          <t>CR-202</t>
        </is>
      </c>
      <c r="D1916" t="inlineStr">
        <is>
          <t>ISO 8</t>
        </is>
      </c>
      <c r="E1916" t="inlineStr">
        <is>
          <t>Compressed air</t>
        </is>
      </c>
      <c r="F1916" t="n">
        <v>0</v>
      </c>
      <c r="G1916" t="inlineStr">
        <is>
          <t>Tech B</t>
        </is>
      </c>
      <c r="H1916">
        <f>INDEX(Limits!$B$2:$B$5,MATCH(E1916,Limits!$A$2:$A$5,0))</f>
        <v/>
      </c>
      <c r="I1916">
        <f>INDEX(Limits!$C$2:$C$5,MATCH(E1916,Limits!$A$2:$A$5,0))</f>
        <v/>
      </c>
      <c r="J1916">
        <f>IF(F1916&gt;=I1916,"Action",IF(F1916&gt;=H1916,"Alert","Pass"))</f>
        <v/>
      </c>
      <c r="K1916" s="4">
        <f>DATE(YEAR(B1916),MONTH(B1916),1)</f>
        <v/>
      </c>
    </row>
    <row r="1917">
      <c r="A1917" t="inlineStr">
        <is>
          <t>EM001916</t>
        </is>
      </c>
      <c r="B1917" s="7" t="n">
        <v>46167</v>
      </c>
      <c r="C1917" t="inlineStr">
        <is>
          <t>CR-202</t>
        </is>
      </c>
      <c r="D1917" t="inlineStr">
        <is>
          <t>ISO 8</t>
        </is>
      </c>
      <c r="E1917" t="inlineStr">
        <is>
          <t>Personnel glove</t>
        </is>
      </c>
      <c r="F1917" t="n">
        <v>0</v>
      </c>
      <c r="G1917" t="inlineStr">
        <is>
          <t>Tech C</t>
        </is>
      </c>
      <c r="H1917">
        <f>INDEX(Limits!$B$2:$B$5,MATCH(E1917,Limits!$A$2:$A$5,0))</f>
        <v/>
      </c>
      <c r="I1917">
        <f>INDEX(Limits!$C$2:$C$5,MATCH(E1917,Limits!$A$2:$A$5,0))</f>
        <v/>
      </c>
      <c r="J1917">
        <f>IF(F1917&gt;=I1917,"Action",IF(F1917&gt;=H1917,"Alert","Pass"))</f>
        <v/>
      </c>
      <c r="K1917" s="4">
        <f>DATE(YEAR(B1917),MONTH(B1917),1)</f>
        <v/>
      </c>
    </row>
    <row r="1918">
      <c r="A1918" t="inlineStr">
        <is>
          <t>EM001917</t>
        </is>
      </c>
      <c r="B1918" s="7" t="n">
        <v>46167</v>
      </c>
      <c r="C1918" t="inlineStr">
        <is>
          <t>Gowning</t>
        </is>
      </c>
      <c r="D1918" t="inlineStr">
        <is>
          <t>ISO 8</t>
        </is>
      </c>
      <c r="E1918" t="inlineStr">
        <is>
          <t>Active air</t>
        </is>
      </c>
      <c r="F1918" t="n">
        <v>0</v>
      </c>
      <c r="G1918" t="inlineStr">
        <is>
          <t>Tech B</t>
        </is>
      </c>
      <c r="H1918">
        <f>INDEX(Limits!$B$2:$B$5,MATCH(E1918,Limits!$A$2:$A$5,0))</f>
        <v/>
      </c>
      <c r="I1918">
        <f>INDEX(Limits!$C$2:$C$5,MATCH(E1918,Limits!$A$2:$A$5,0))</f>
        <v/>
      </c>
      <c r="J1918">
        <f>IF(F1918&gt;=I1918,"Action",IF(F1918&gt;=H1918,"Alert","Pass"))</f>
        <v/>
      </c>
      <c r="K1918" s="4">
        <f>DATE(YEAR(B1918),MONTH(B1918),1)</f>
        <v/>
      </c>
    </row>
    <row r="1919">
      <c r="A1919" t="inlineStr">
        <is>
          <t>EM001918</t>
        </is>
      </c>
      <c r="B1919" s="7" t="n">
        <v>46167</v>
      </c>
      <c r="C1919" t="inlineStr">
        <is>
          <t>Gowning</t>
        </is>
      </c>
      <c r="D1919" t="inlineStr">
        <is>
          <t>ISO 8</t>
        </is>
      </c>
      <c r="E1919" t="inlineStr">
        <is>
          <t>Surface contact</t>
        </is>
      </c>
      <c r="F1919" t="n">
        <v>1</v>
      </c>
      <c r="G1919" t="inlineStr">
        <is>
          <t>Tech C</t>
        </is>
      </c>
      <c r="H1919">
        <f>INDEX(Limits!$B$2:$B$5,MATCH(E1919,Limits!$A$2:$A$5,0))</f>
        <v/>
      </c>
      <c r="I1919">
        <f>INDEX(Limits!$C$2:$C$5,MATCH(E1919,Limits!$A$2:$A$5,0))</f>
        <v/>
      </c>
      <c r="J1919">
        <f>IF(F1919&gt;=I1919,"Action",IF(F1919&gt;=H1919,"Alert","Pass"))</f>
        <v/>
      </c>
      <c r="K1919" s="4">
        <f>DATE(YEAR(B1919),MONTH(B1919),1)</f>
        <v/>
      </c>
    </row>
    <row r="1920">
      <c r="A1920" t="inlineStr">
        <is>
          <t>EM001919</t>
        </is>
      </c>
      <c r="B1920" s="7" t="n">
        <v>46167</v>
      </c>
      <c r="C1920" t="inlineStr">
        <is>
          <t>Gowning</t>
        </is>
      </c>
      <c r="D1920" t="inlineStr">
        <is>
          <t>ISO 8</t>
        </is>
      </c>
      <c r="E1920" t="inlineStr">
        <is>
          <t>Personnel glove</t>
        </is>
      </c>
      <c r="F1920" t="n">
        <v>0</v>
      </c>
      <c r="G1920" t="inlineStr">
        <is>
          <t>Tech D</t>
        </is>
      </c>
      <c r="H1920">
        <f>INDEX(Limits!$B$2:$B$5,MATCH(E1920,Limits!$A$2:$A$5,0))</f>
        <v/>
      </c>
      <c r="I1920">
        <f>INDEX(Limits!$C$2:$C$5,MATCH(E1920,Limits!$A$2:$A$5,0))</f>
        <v/>
      </c>
      <c r="J1920">
        <f>IF(F1920&gt;=I1920,"Action",IF(F1920&gt;=H1920,"Alert","Pass"))</f>
        <v/>
      </c>
      <c r="K1920" s="4">
        <f>DATE(YEAR(B1920),MONTH(B1920),1)</f>
        <v/>
      </c>
    </row>
    <row r="1921">
      <c r="A1921" t="inlineStr">
        <is>
          <t>EM001920</t>
        </is>
      </c>
      <c r="B1921" s="7" t="n">
        <v>46168</v>
      </c>
      <c r="C1921" t="inlineStr">
        <is>
          <t>CR-101</t>
        </is>
      </c>
      <c r="D1921" t="inlineStr">
        <is>
          <t>ISO 7</t>
        </is>
      </c>
      <c r="E1921" t="inlineStr">
        <is>
          <t>Active air</t>
        </is>
      </c>
      <c r="F1921" t="n">
        <v>0</v>
      </c>
      <c r="G1921" t="inlineStr">
        <is>
          <t>Tech B</t>
        </is>
      </c>
      <c r="H1921">
        <f>INDEX(Limits!$B$2:$B$5,MATCH(E1921,Limits!$A$2:$A$5,0))</f>
        <v/>
      </c>
      <c r="I1921">
        <f>INDEX(Limits!$C$2:$C$5,MATCH(E1921,Limits!$A$2:$A$5,0))</f>
        <v/>
      </c>
      <c r="J1921">
        <f>IF(F1921&gt;=I1921,"Action",IF(F1921&gt;=H1921,"Alert","Pass"))</f>
        <v/>
      </c>
      <c r="K1921" s="4">
        <f>DATE(YEAR(B1921),MONTH(B1921),1)</f>
        <v/>
      </c>
    </row>
    <row r="1922">
      <c r="A1922" t="inlineStr">
        <is>
          <t>EM001921</t>
        </is>
      </c>
      <c r="B1922" s="7" t="n">
        <v>46168</v>
      </c>
      <c r="C1922" t="inlineStr">
        <is>
          <t>CR-101</t>
        </is>
      </c>
      <c r="D1922" t="inlineStr">
        <is>
          <t>ISO 7</t>
        </is>
      </c>
      <c r="E1922" t="inlineStr">
        <is>
          <t>Surface contact</t>
        </is>
      </c>
      <c r="F1922" t="n">
        <v>0</v>
      </c>
      <c r="G1922" t="inlineStr">
        <is>
          <t>Tech A</t>
        </is>
      </c>
      <c r="H1922">
        <f>INDEX(Limits!$B$2:$B$5,MATCH(E1922,Limits!$A$2:$A$5,0))</f>
        <v/>
      </c>
      <c r="I1922">
        <f>INDEX(Limits!$C$2:$C$5,MATCH(E1922,Limits!$A$2:$A$5,0))</f>
        <v/>
      </c>
      <c r="J1922">
        <f>IF(F1922&gt;=I1922,"Action",IF(F1922&gt;=H1922,"Alert","Pass"))</f>
        <v/>
      </c>
      <c r="K1922" s="4">
        <f>DATE(YEAR(B1922),MONTH(B1922),1)</f>
        <v/>
      </c>
    </row>
    <row r="1923">
      <c r="A1923" t="inlineStr">
        <is>
          <t>EM001922</t>
        </is>
      </c>
      <c r="B1923" s="7" t="n">
        <v>46168</v>
      </c>
      <c r="C1923" t="inlineStr">
        <is>
          <t>CR-101</t>
        </is>
      </c>
      <c r="D1923" t="inlineStr">
        <is>
          <t>ISO 7</t>
        </is>
      </c>
      <c r="E1923" t="inlineStr">
        <is>
          <t>Compressed air</t>
        </is>
      </c>
      <c r="F1923" t="n">
        <v>0</v>
      </c>
      <c r="G1923" t="inlineStr">
        <is>
          <t>Tech D</t>
        </is>
      </c>
      <c r="H1923">
        <f>INDEX(Limits!$B$2:$B$5,MATCH(E1923,Limits!$A$2:$A$5,0))</f>
        <v/>
      </c>
      <c r="I1923">
        <f>INDEX(Limits!$C$2:$C$5,MATCH(E1923,Limits!$A$2:$A$5,0))</f>
        <v/>
      </c>
      <c r="J1923">
        <f>IF(F1923&gt;=I1923,"Action",IF(F1923&gt;=H1923,"Alert","Pass"))</f>
        <v/>
      </c>
      <c r="K1923" s="4">
        <f>DATE(YEAR(B1923),MONTH(B1923),1)</f>
        <v/>
      </c>
    </row>
    <row r="1924">
      <c r="A1924" t="inlineStr">
        <is>
          <t>EM001923</t>
        </is>
      </c>
      <c r="B1924" s="7" t="n">
        <v>46168</v>
      </c>
      <c r="C1924" t="inlineStr">
        <is>
          <t>CR-101</t>
        </is>
      </c>
      <c r="D1924" t="inlineStr">
        <is>
          <t>ISO 7</t>
        </is>
      </c>
      <c r="E1924" t="inlineStr">
        <is>
          <t>Personnel glove</t>
        </is>
      </c>
      <c r="F1924" t="n">
        <v>0</v>
      </c>
      <c r="G1924" t="inlineStr">
        <is>
          <t>Tech D</t>
        </is>
      </c>
      <c r="H1924">
        <f>INDEX(Limits!$B$2:$B$5,MATCH(E1924,Limits!$A$2:$A$5,0))</f>
        <v/>
      </c>
      <c r="I1924">
        <f>INDEX(Limits!$C$2:$C$5,MATCH(E1924,Limits!$A$2:$A$5,0))</f>
        <v/>
      </c>
      <c r="J1924">
        <f>IF(F1924&gt;=I1924,"Action",IF(F1924&gt;=H1924,"Alert","Pass"))</f>
        <v/>
      </c>
      <c r="K1924" s="4">
        <f>DATE(YEAR(B1924),MONTH(B1924),1)</f>
        <v/>
      </c>
    </row>
    <row r="1925">
      <c r="A1925" t="inlineStr">
        <is>
          <t>EM001924</t>
        </is>
      </c>
      <c r="B1925" s="7" t="n">
        <v>46168</v>
      </c>
      <c r="C1925" t="inlineStr">
        <is>
          <t>CR-102</t>
        </is>
      </c>
      <c r="D1925" t="inlineStr">
        <is>
          <t>ISO 7</t>
        </is>
      </c>
      <c r="E1925" t="inlineStr">
        <is>
          <t>Active air</t>
        </is>
      </c>
      <c r="F1925" t="n">
        <v>1</v>
      </c>
      <c r="G1925" t="inlineStr">
        <is>
          <t>Tech D</t>
        </is>
      </c>
      <c r="H1925">
        <f>INDEX(Limits!$B$2:$B$5,MATCH(E1925,Limits!$A$2:$A$5,0))</f>
        <v/>
      </c>
      <c r="I1925">
        <f>INDEX(Limits!$C$2:$C$5,MATCH(E1925,Limits!$A$2:$A$5,0))</f>
        <v/>
      </c>
      <c r="J1925">
        <f>IF(F1925&gt;=I1925,"Action",IF(F1925&gt;=H1925,"Alert","Pass"))</f>
        <v/>
      </c>
      <c r="K1925" s="4">
        <f>DATE(YEAR(B1925),MONTH(B1925),1)</f>
        <v/>
      </c>
    </row>
    <row r="1926">
      <c r="A1926" t="inlineStr">
        <is>
          <t>EM001925</t>
        </is>
      </c>
      <c r="B1926" s="7" t="n">
        <v>46168</v>
      </c>
      <c r="C1926" t="inlineStr">
        <is>
          <t>CR-102</t>
        </is>
      </c>
      <c r="D1926" t="inlineStr">
        <is>
          <t>ISO 7</t>
        </is>
      </c>
      <c r="E1926" t="inlineStr">
        <is>
          <t>Surface contact</t>
        </is>
      </c>
      <c r="F1926" t="n">
        <v>0</v>
      </c>
      <c r="G1926" t="inlineStr">
        <is>
          <t>Tech D</t>
        </is>
      </c>
      <c r="H1926">
        <f>INDEX(Limits!$B$2:$B$5,MATCH(E1926,Limits!$A$2:$A$5,0))</f>
        <v/>
      </c>
      <c r="I1926">
        <f>INDEX(Limits!$C$2:$C$5,MATCH(E1926,Limits!$A$2:$A$5,0))</f>
        <v/>
      </c>
      <c r="J1926">
        <f>IF(F1926&gt;=I1926,"Action",IF(F1926&gt;=H1926,"Alert","Pass"))</f>
        <v/>
      </c>
      <c r="K1926" s="4">
        <f>DATE(YEAR(B1926),MONTH(B1926),1)</f>
        <v/>
      </c>
    </row>
    <row r="1927">
      <c r="A1927" t="inlineStr">
        <is>
          <t>EM001926</t>
        </is>
      </c>
      <c r="B1927" s="7" t="n">
        <v>46168</v>
      </c>
      <c r="C1927" t="inlineStr">
        <is>
          <t>CR-102</t>
        </is>
      </c>
      <c r="D1927" t="inlineStr">
        <is>
          <t>ISO 7</t>
        </is>
      </c>
      <c r="E1927" t="inlineStr">
        <is>
          <t>Compressed air</t>
        </is>
      </c>
      <c r="F1927" t="n">
        <v>0</v>
      </c>
      <c r="G1927" t="inlineStr">
        <is>
          <t>Tech A</t>
        </is>
      </c>
      <c r="H1927">
        <f>INDEX(Limits!$B$2:$B$5,MATCH(E1927,Limits!$A$2:$A$5,0))</f>
        <v/>
      </c>
      <c r="I1927">
        <f>INDEX(Limits!$C$2:$C$5,MATCH(E1927,Limits!$A$2:$A$5,0))</f>
        <v/>
      </c>
      <c r="J1927">
        <f>IF(F1927&gt;=I1927,"Action",IF(F1927&gt;=H1927,"Alert","Pass"))</f>
        <v/>
      </c>
      <c r="K1927" s="4">
        <f>DATE(YEAR(B1927),MONTH(B1927),1)</f>
        <v/>
      </c>
    </row>
    <row r="1928">
      <c r="A1928" t="inlineStr">
        <is>
          <t>EM001927</t>
        </is>
      </c>
      <c r="B1928" s="7" t="n">
        <v>46168</v>
      </c>
      <c r="C1928" t="inlineStr">
        <is>
          <t>CR-102</t>
        </is>
      </c>
      <c r="D1928" t="inlineStr">
        <is>
          <t>ISO 7</t>
        </is>
      </c>
      <c r="E1928" t="inlineStr">
        <is>
          <t>Personnel glove</t>
        </is>
      </c>
      <c r="F1928" t="n">
        <v>0</v>
      </c>
      <c r="G1928" t="inlineStr">
        <is>
          <t>Tech C</t>
        </is>
      </c>
      <c r="H1928">
        <f>INDEX(Limits!$B$2:$B$5,MATCH(E1928,Limits!$A$2:$A$5,0))</f>
        <v/>
      </c>
      <c r="I1928">
        <f>INDEX(Limits!$C$2:$C$5,MATCH(E1928,Limits!$A$2:$A$5,0))</f>
        <v/>
      </c>
      <c r="J1928">
        <f>IF(F1928&gt;=I1928,"Action",IF(F1928&gt;=H1928,"Alert","Pass"))</f>
        <v/>
      </c>
      <c r="K1928" s="4">
        <f>DATE(YEAR(B1928),MONTH(B1928),1)</f>
        <v/>
      </c>
    </row>
    <row r="1929">
      <c r="A1929" t="inlineStr">
        <is>
          <t>EM001928</t>
        </is>
      </c>
      <c r="B1929" s="7" t="n">
        <v>46168</v>
      </c>
      <c r="C1929" t="inlineStr">
        <is>
          <t>CR-201</t>
        </is>
      </c>
      <c r="D1929" t="inlineStr">
        <is>
          <t>ISO 8</t>
        </is>
      </c>
      <c r="E1929" t="inlineStr">
        <is>
          <t>Active air</t>
        </is>
      </c>
      <c r="F1929" t="n">
        <v>2</v>
      </c>
      <c r="G1929" t="inlineStr">
        <is>
          <t>Tech D</t>
        </is>
      </c>
      <c r="H1929">
        <f>INDEX(Limits!$B$2:$B$5,MATCH(E1929,Limits!$A$2:$A$5,0))</f>
        <v/>
      </c>
      <c r="I1929">
        <f>INDEX(Limits!$C$2:$C$5,MATCH(E1929,Limits!$A$2:$A$5,0))</f>
        <v/>
      </c>
      <c r="J1929">
        <f>IF(F1929&gt;=I1929,"Action",IF(F1929&gt;=H1929,"Alert","Pass"))</f>
        <v/>
      </c>
      <c r="K1929" s="4">
        <f>DATE(YEAR(B1929),MONTH(B1929),1)</f>
        <v/>
      </c>
    </row>
    <row r="1930">
      <c r="A1930" t="inlineStr">
        <is>
          <t>EM001929</t>
        </is>
      </c>
      <c r="B1930" s="7" t="n">
        <v>46168</v>
      </c>
      <c r="C1930" t="inlineStr">
        <is>
          <t>CR-201</t>
        </is>
      </c>
      <c r="D1930" t="inlineStr">
        <is>
          <t>ISO 8</t>
        </is>
      </c>
      <c r="E1930" t="inlineStr">
        <is>
          <t>Surface contact</t>
        </is>
      </c>
      <c r="F1930" t="n">
        <v>0</v>
      </c>
      <c r="G1930" t="inlineStr">
        <is>
          <t>Tech B</t>
        </is>
      </c>
      <c r="H1930">
        <f>INDEX(Limits!$B$2:$B$5,MATCH(E1930,Limits!$A$2:$A$5,0))</f>
        <v/>
      </c>
      <c r="I1930">
        <f>INDEX(Limits!$C$2:$C$5,MATCH(E1930,Limits!$A$2:$A$5,0))</f>
        <v/>
      </c>
      <c r="J1930">
        <f>IF(F1930&gt;=I1930,"Action",IF(F1930&gt;=H1930,"Alert","Pass"))</f>
        <v/>
      </c>
      <c r="K1930" s="4">
        <f>DATE(YEAR(B1930),MONTH(B1930),1)</f>
        <v/>
      </c>
    </row>
    <row r="1931">
      <c r="A1931" t="inlineStr">
        <is>
          <t>EM001930</t>
        </is>
      </c>
      <c r="B1931" s="7" t="n">
        <v>46168</v>
      </c>
      <c r="C1931" t="inlineStr">
        <is>
          <t>CR-201</t>
        </is>
      </c>
      <c r="D1931" t="inlineStr">
        <is>
          <t>ISO 8</t>
        </is>
      </c>
      <c r="E1931" t="inlineStr">
        <is>
          <t>Compressed air</t>
        </is>
      </c>
      <c r="F1931" t="n">
        <v>0</v>
      </c>
      <c r="G1931" t="inlineStr">
        <is>
          <t>Tech A</t>
        </is>
      </c>
      <c r="H1931">
        <f>INDEX(Limits!$B$2:$B$5,MATCH(E1931,Limits!$A$2:$A$5,0))</f>
        <v/>
      </c>
      <c r="I1931">
        <f>INDEX(Limits!$C$2:$C$5,MATCH(E1931,Limits!$A$2:$A$5,0))</f>
        <v/>
      </c>
      <c r="J1931">
        <f>IF(F1931&gt;=I1931,"Action",IF(F1931&gt;=H1931,"Alert","Pass"))</f>
        <v/>
      </c>
      <c r="K1931" s="4">
        <f>DATE(YEAR(B1931),MONTH(B1931),1)</f>
        <v/>
      </c>
    </row>
    <row r="1932">
      <c r="A1932" t="inlineStr">
        <is>
          <t>EM001931</t>
        </is>
      </c>
      <c r="B1932" s="7" t="n">
        <v>46168</v>
      </c>
      <c r="C1932" t="inlineStr">
        <is>
          <t>CR-201</t>
        </is>
      </c>
      <c r="D1932" t="inlineStr">
        <is>
          <t>ISO 8</t>
        </is>
      </c>
      <c r="E1932" t="inlineStr">
        <is>
          <t>Personnel glove</t>
        </is>
      </c>
      <c r="F1932" t="n">
        <v>0</v>
      </c>
      <c r="G1932" t="inlineStr">
        <is>
          <t>Tech A</t>
        </is>
      </c>
      <c r="H1932">
        <f>INDEX(Limits!$B$2:$B$5,MATCH(E1932,Limits!$A$2:$A$5,0))</f>
        <v/>
      </c>
      <c r="I1932">
        <f>INDEX(Limits!$C$2:$C$5,MATCH(E1932,Limits!$A$2:$A$5,0))</f>
        <v/>
      </c>
      <c r="J1932">
        <f>IF(F1932&gt;=I1932,"Action",IF(F1932&gt;=H1932,"Alert","Pass"))</f>
        <v/>
      </c>
      <c r="K1932" s="4">
        <f>DATE(YEAR(B1932),MONTH(B1932),1)</f>
        <v/>
      </c>
    </row>
    <row r="1933">
      <c r="A1933" t="inlineStr">
        <is>
          <t>EM001932</t>
        </is>
      </c>
      <c r="B1933" s="7" t="n">
        <v>46168</v>
      </c>
      <c r="C1933" t="inlineStr">
        <is>
          <t>CR-202</t>
        </is>
      </c>
      <c r="D1933" t="inlineStr">
        <is>
          <t>ISO 8</t>
        </is>
      </c>
      <c r="E1933" t="inlineStr">
        <is>
          <t>Active air</t>
        </is>
      </c>
      <c r="F1933" t="n">
        <v>3</v>
      </c>
      <c r="G1933" t="inlineStr">
        <is>
          <t>Tech A</t>
        </is>
      </c>
      <c r="H1933">
        <f>INDEX(Limits!$B$2:$B$5,MATCH(E1933,Limits!$A$2:$A$5,0))</f>
        <v/>
      </c>
      <c r="I1933">
        <f>INDEX(Limits!$C$2:$C$5,MATCH(E1933,Limits!$A$2:$A$5,0))</f>
        <v/>
      </c>
      <c r="J1933">
        <f>IF(F1933&gt;=I1933,"Action",IF(F1933&gt;=H1933,"Alert","Pass"))</f>
        <v/>
      </c>
      <c r="K1933" s="4">
        <f>DATE(YEAR(B1933),MONTH(B1933),1)</f>
        <v/>
      </c>
    </row>
    <row r="1934">
      <c r="A1934" t="inlineStr">
        <is>
          <t>EM001933</t>
        </is>
      </c>
      <c r="B1934" s="7" t="n">
        <v>46168</v>
      </c>
      <c r="C1934" t="inlineStr">
        <is>
          <t>CR-202</t>
        </is>
      </c>
      <c r="D1934" t="inlineStr">
        <is>
          <t>ISO 8</t>
        </is>
      </c>
      <c r="E1934" t="inlineStr">
        <is>
          <t>Surface contact</t>
        </is>
      </c>
      <c r="F1934" t="n">
        <v>0</v>
      </c>
      <c r="G1934" t="inlineStr">
        <is>
          <t>Tech A</t>
        </is>
      </c>
      <c r="H1934">
        <f>INDEX(Limits!$B$2:$B$5,MATCH(E1934,Limits!$A$2:$A$5,0))</f>
        <v/>
      </c>
      <c r="I1934">
        <f>INDEX(Limits!$C$2:$C$5,MATCH(E1934,Limits!$A$2:$A$5,0))</f>
        <v/>
      </c>
      <c r="J1934">
        <f>IF(F1934&gt;=I1934,"Action",IF(F1934&gt;=H1934,"Alert","Pass"))</f>
        <v/>
      </c>
      <c r="K1934" s="4">
        <f>DATE(YEAR(B1934),MONTH(B1934),1)</f>
        <v/>
      </c>
    </row>
    <row r="1935">
      <c r="A1935" t="inlineStr">
        <is>
          <t>EM001934</t>
        </is>
      </c>
      <c r="B1935" s="7" t="n">
        <v>46168</v>
      </c>
      <c r="C1935" t="inlineStr">
        <is>
          <t>CR-202</t>
        </is>
      </c>
      <c r="D1935" t="inlineStr">
        <is>
          <t>ISO 8</t>
        </is>
      </c>
      <c r="E1935" t="inlineStr">
        <is>
          <t>Compressed air</t>
        </is>
      </c>
      <c r="F1935" t="n">
        <v>0</v>
      </c>
      <c r="G1935" t="inlineStr">
        <is>
          <t>Tech C</t>
        </is>
      </c>
      <c r="H1935">
        <f>INDEX(Limits!$B$2:$B$5,MATCH(E1935,Limits!$A$2:$A$5,0))</f>
        <v/>
      </c>
      <c r="I1935">
        <f>INDEX(Limits!$C$2:$C$5,MATCH(E1935,Limits!$A$2:$A$5,0))</f>
        <v/>
      </c>
      <c r="J1935">
        <f>IF(F1935&gt;=I1935,"Action",IF(F1935&gt;=H1935,"Alert","Pass"))</f>
        <v/>
      </c>
      <c r="K1935" s="4">
        <f>DATE(YEAR(B1935),MONTH(B1935),1)</f>
        <v/>
      </c>
    </row>
    <row r="1936">
      <c r="A1936" t="inlineStr">
        <is>
          <t>EM001935</t>
        </is>
      </c>
      <c r="B1936" s="7" t="n">
        <v>46168</v>
      </c>
      <c r="C1936" t="inlineStr">
        <is>
          <t>CR-202</t>
        </is>
      </c>
      <c r="D1936" t="inlineStr">
        <is>
          <t>ISO 8</t>
        </is>
      </c>
      <c r="E1936" t="inlineStr">
        <is>
          <t>Personnel glove</t>
        </is>
      </c>
      <c r="F1936" t="n">
        <v>0</v>
      </c>
      <c r="G1936" t="inlineStr">
        <is>
          <t>Tech A</t>
        </is>
      </c>
      <c r="H1936">
        <f>INDEX(Limits!$B$2:$B$5,MATCH(E1936,Limits!$A$2:$A$5,0))</f>
        <v/>
      </c>
      <c r="I1936">
        <f>INDEX(Limits!$C$2:$C$5,MATCH(E1936,Limits!$A$2:$A$5,0))</f>
        <v/>
      </c>
      <c r="J1936">
        <f>IF(F1936&gt;=I1936,"Action",IF(F1936&gt;=H1936,"Alert","Pass"))</f>
        <v/>
      </c>
      <c r="K1936" s="4">
        <f>DATE(YEAR(B1936),MONTH(B1936),1)</f>
        <v/>
      </c>
    </row>
    <row r="1937">
      <c r="A1937" t="inlineStr">
        <is>
          <t>EM001936</t>
        </is>
      </c>
      <c r="B1937" s="7" t="n">
        <v>46168</v>
      </c>
      <c r="C1937" t="inlineStr">
        <is>
          <t>Gowning</t>
        </is>
      </c>
      <c r="D1937" t="inlineStr">
        <is>
          <t>ISO 8</t>
        </is>
      </c>
      <c r="E1937" t="inlineStr">
        <is>
          <t>Active air</t>
        </is>
      </c>
      <c r="F1937" t="n">
        <v>1</v>
      </c>
      <c r="G1937" t="inlineStr">
        <is>
          <t>Tech A</t>
        </is>
      </c>
      <c r="H1937">
        <f>INDEX(Limits!$B$2:$B$5,MATCH(E1937,Limits!$A$2:$A$5,0))</f>
        <v/>
      </c>
      <c r="I1937">
        <f>INDEX(Limits!$C$2:$C$5,MATCH(E1937,Limits!$A$2:$A$5,0))</f>
        <v/>
      </c>
      <c r="J1937">
        <f>IF(F1937&gt;=I1937,"Action",IF(F1937&gt;=H1937,"Alert","Pass"))</f>
        <v/>
      </c>
      <c r="K1937" s="4">
        <f>DATE(YEAR(B1937),MONTH(B1937),1)</f>
        <v/>
      </c>
    </row>
    <row r="1938">
      <c r="A1938" t="inlineStr">
        <is>
          <t>EM001937</t>
        </is>
      </c>
      <c r="B1938" s="7" t="n">
        <v>46168</v>
      </c>
      <c r="C1938" t="inlineStr">
        <is>
          <t>Gowning</t>
        </is>
      </c>
      <c r="D1938" t="inlineStr">
        <is>
          <t>ISO 8</t>
        </is>
      </c>
      <c r="E1938" t="inlineStr">
        <is>
          <t>Surface contact</t>
        </is>
      </c>
      <c r="F1938" t="n">
        <v>2</v>
      </c>
      <c r="G1938" t="inlineStr">
        <is>
          <t>Tech C</t>
        </is>
      </c>
      <c r="H1938">
        <f>INDEX(Limits!$B$2:$B$5,MATCH(E1938,Limits!$A$2:$A$5,0))</f>
        <v/>
      </c>
      <c r="I1938">
        <f>INDEX(Limits!$C$2:$C$5,MATCH(E1938,Limits!$A$2:$A$5,0))</f>
        <v/>
      </c>
      <c r="J1938">
        <f>IF(F1938&gt;=I1938,"Action",IF(F1938&gt;=H1938,"Alert","Pass"))</f>
        <v/>
      </c>
      <c r="K1938" s="4">
        <f>DATE(YEAR(B1938),MONTH(B1938),1)</f>
        <v/>
      </c>
    </row>
    <row r="1939">
      <c r="A1939" t="inlineStr">
        <is>
          <t>EM001938</t>
        </is>
      </c>
      <c r="B1939" s="7" t="n">
        <v>46168</v>
      </c>
      <c r="C1939" t="inlineStr">
        <is>
          <t>Gowning</t>
        </is>
      </c>
      <c r="D1939" t="inlineStr">
        <is>
          <t>ISO 8</t>
        </is>
      </c>
      <c r="E1939" t="inlineStr">
        <is>
          <t>Personnel glove</t>
        </is>
      </c>
      <c r="F1939" t="n">
        <v>0</v>
      </c>
      <c r="G1939" t="inlineStr">
        <is>
          <t>Tech B</t>
        </is>
      </c>
      <c r="H1939">
        <f>INDEX(Limits!$B$2:$B$5,MATCH(E1939,Limits!$A$2:$A$5,0))</f>
        <v/>
      </c>
      <c r="I1939">
        <f>INDEX(Limits!$C$2:$C$5,MATCH(E1939,Limits!$A$2:$A$5,0))</f>
        <v/>
      </c>
      <c r="J1939">
        <f>IF(F1939&gt;=I1939,"Action",IF(F1939&gt;=H1939,"Alert","Pass"))</f>
        <v/>
      </c>
      <c r="K1939" s="4">
        <f>DATE(YEAR(B1939),MONTH(B1939),1)</f>
        <v/>
      </c>
    </row>
    <row r="1940">
      <c r="A1940" t="inlineStr">
        <is>
          <t>EM001939</t>
        </is>
      </c>
      <c r="B1940" s="7" t="n">
        <v>46169</v>
      </c>
      <c r="C1940" t="inlineStr">
        <is>
          <t>CR-101</t>
        </is>
      </c>
      <c r="D1940" t="inlineStr">
        <is>
          <t>ISO 7</t>
        </is>
      </c>
      <c r="E1940" t="inlineStr">
        <is>
          <t>Active air</t>
        </is>
      </c>
      <c r="F1940" t="n">
        <v>0</v>
      </c>
      <c r="G1940" t="inlineStr">
        <is>
          <t>Tech C</t>
        </is>
      </c>
      <c r="H1940">
        <f>INDEX(Limits!$B$2:$B$5,MATCH(E1940,Limits!$A$2:$A$5,0))</f>
        <v/>
      </c>
      <c r="I1940">
        <f>INDEX(Limits!$C$2:$C$5,MATCH(E1940,Limits!$A$2:$A$5,0))</f>
        <v/>
      </c>
      <c r="J1940">
        <f>IF(F1940&gt;=I1940,"Action",IF(F1940&gt;=H1940,"Alert","Pass"))</f>
        <v/>
      </c>
      <c r="K1940" s="4">
        <f>DATE(YEAR(B1940),MONTH(B1940),1)</f>
        <v/>
      </c>
    </row>
    <row r="1941">
      <c r="A1941" t="inlineStr">
        <is>
          <t>EM001940</t>
        </is>
      </c>
      <c r="B1941" s="7" t="n">
        <v>46169</v>
      </c>
      <c r="C1941" t="inlineStr">
        <is>
          <t>CR-101</t>
        </is>
      </c>
      <c r="D1941" t="inlineStr">
        <is>
          <t>ISO 7</t>
        </is>
      </c>
      <c r="E1941" t="inlineStr">
        <is>
          <t>Surface contact</t>
        </is>
      </c>
      <c r="F1941" t="n">
        <v>0</v>
      </c>
      <c r="G1941" t="inlineStr">
        <is>
          <t>Tech A</t>
        </is>
      </c>
      <c r="H1941">
        <f>INDEX(Limits!$B$2:$B$5,MATCH(E1941,Limits!$A$2:$A$5,0))</f>
        <v/>
      </c>
      <c r="I1941">
        <f>INDEX(Limits!$C$2:$C$5,MATCH(E1941,Limits!$A$2:$A$5,0))</f>
        <v/>
      </c>
      <c r="J1941">
        <f>IF(F1941&gt;=I1941,"Action",IF(F1941&gt;=H1941,"Alert","Pass"))</f>
        <v/>
      </c>
      <c r="K1941" s="4">
        <f>DATE(YEAR(B1941),MONTH(B1941),1)</f>
        <v/>
      </c>
    </row>
    <row r="1942">
      <c r="A1942" t="inlineStr">
        <is>
          <t>EM001941</t>
        </is>
      </c>
      <c r="B1942" s="7" t="n">
        <v>46169</v>
      </c>
      <c r="C1942" t="inlineStr">
        <is>
          <t>CR-101</t>
        </is>
      </c>
      <c r="D1942" t="inlineStr">
        <is>
          <t>ISO 7</t>
        </is>
      </c>
      <c r="E1942" t="inlineStr">
        <is>
          <t>Compressed air</t>
        </is>
      </c>
      <c r="F1942" t="n">
        <v>0</v>
      </c>
      <c r="G1942" t="inlineStr">
        <is>
          <t>Tech A</t>
        </is>
      </c>
      <c r="H1942">
        <f>INDEX(Limits!$B$2:$B$5,MATCH(E1942,Limits!$A$2:$A$5,0))</f>
        <v/>
      </c>
      <c r="I1942">
        <f>INDEX(Limits!$C$2:$C$5,MATCH(E1942,Limits!$A$2:$A$5,0))</f>
        <v/>
      </c>
      <c r="J1942">
        <f>IF(F1942&gt;=I1942,"Action",IF(F1942&gt;=H1942,"Alert","Pass"))</f>
        <v/>
      </c>
      <c r="K1942" s="4">
        <f>DATE(YEAR(B1942),MONTH(B1942),1)</f>
        <v/>
      </c>
    </row>
    <row r="1943">
      <c r="A1943" t="inlineStr">
        <is>
          <t>EM001942</t>
        </is>
      </c>
      <c r="B1943" s="7" t="n">
        <v>46169</v>
      </c>
      <c r="C1943" t="inlineStr">
        <is>
          <t>CR-101</t>
        </is>
      </c>
      <c r="D1943" t="inlineStr">
        <is>
          <t>ISO 7</t>
        </is>
      </c>
      <c r="E1943" t="inlineStr">
        <is>
          <t>Personnel glove</t>
        </is>
      </c>
      <c r="F1943" t="n">
        <v>0</v>
      </c>
      <c r="G1943" t="inlineStr">
        <is>
          <t>Tech C</t>
        </is>
      </c>
      <c r="H1943">
        <f>INDEX(Limits!$B$2:$B$5,MATCH(E1943,Limits!$A$2:$A$5,0))</f>
        <v/>
      </c>
      <c r="I1943">
        <f>INDEX(Limits!$C$2:$C$5,MATCH(E1943,Limits!$A$2:$A$5,0))</f>
        <v/>
      </c>
      <c r="J1943">
        <f>IF(F1943&gt;=I1943,"Action",IF(F1943&gt;=H1943,"Alert","Pass"))</f>
        <v/>
      </c>
      <c r="K1943" s="4">
        <f>DATE(YEAR(B1943),MONTH(B1943),1)</f>
        <v/>
      </c>
    </row>
    <row r="1944">
      <c r="A1944" t="inlineStr">
        <is>
          <t>EM001943</t>
        </is>
      </c>
      <c r="B1944" s="7" t="n">
        <v>46169</v>
      </c>
      <c r="C1944" t="inlineStr">
        <is>
          <t>CR-102</t>
        </is>
      </c>
      <c r="D1944" t="inlineStr">
        <is>
          <t>ISO 7</t>
        </is>
      </c>
      <c r="E1944" t="inlineStr">
        <is>
          <t>Active air</t>
        </is>
      </c>
      <c r="F1944" t="n">
        <v>0</v>
      </c>
      <c r="G1944" t="inlineStr">
        <is>
          <t>Tech B</t>
        </is>
      </c>
      <c r="H1944">
        <f>INDEX(Limits!$B$2:$B$5,MATCH(E1944,Limits!$A$2:$A$5,0))</f>
        <v/>
      </c>
      <c r="I1944">
        <f>INDEX(Limits!$C$2:$C$5,MATCH(E1944,Limits!$A$2:$A$5,0))</f>
        <v/>
      </c>
      <c r="J1944">
        <f>IF(F1944&gt;=I1944,"Action",IF(F1944&gt;=H1944,"Alert","Pass"))</f>
        <v/>
      </c>
      <c r="K1944" s="4">
        <f>DATE(YEAR(B1944),MONTH(B1944),1)</f>
        <v/>
      </c>
    </row>
    <row r="1945">
      <c r="A1945" t="inlineStr">
        <is>
          <t>EM001944</t>
        </is>
      </c>
      <c r="B1945" s="7" t="n">
        <v>46169</v>
      </c>
      <c r="C1945" t="inlineStr">
        <is>
          <t>CR-102</t>
        </is>
      </c>
      <c r="D1945" t="inlineStr">
        <is>
          <t>ISO 7</t>
        </is>
      </c>
      <c r="E1945" t="inlineStr">
        <is>
          <t>Surface contact</t>
        </is>
      </c>
      <c r="F1945" t="n">
        <v>0</v>
      </c>
      <c r="G1945" t="inlineStr">
        <is>
          <t>Tech A</t>
        </is>
      </c>
      <c r="H1945">
        <f>INDEX(Limits!$B$2:$B$5,MATCH(E1945,Limits!$A$2:$A$5,0))</f>
        <v/>
      </c>
      <c r="I1945">
        <f>INDEX(Limits!$C$2:$C$5,MATCH(E1945,Limits!$A$2:$A$5,0))</f>
        <v/>
      </c>
      <c r="J1945">
        <f>IF(F1945&gt;=I1945,"Action",IF(F1945&gt;=H1945,"Alert","Pass"))</f>
        <v/>
      </c>
      <c r="K1945" s="4">
        <f>DATE(YEAR(B1945),MONTH(B1945),1)</f>
        <v/>
      </c>
    </row>
    <row r="1946">
      <c r="A1946" t="inlineStr">
        <is>
          <t>EM001945</t>
        </is>
      </c>
      <c r="B1946" s="7" t="n">
        <v>46169</v>
      </c>
      <c r="C1946" t="inlineStr">
        <is>
          <t>CR-102</t>
        </is>
      </c>
      <c r="D1946" t="inlineStr">
        <is>
          <t>ISO 7</t>
        </is>
      </c>
      <c r="E1946" t="inlineStr">
        <is>
          <t>Compressed air</t>
        </is>
      </c>
      <c r="F1946" t="n">
        <v>0</v>
      </c>
      <c r="G1946" t="inlineStr">
        <is>
          <t>Tech C</t>
        </is>
      </c>
      <c r="H1946">
        <f>INDEX(Limits!$B$2:$B$5,MATCH(E1946,Limits!$A$2:$A$5,0))</f>
        <v/>
      </c>
      <c r="I1946">
        <f>INDEX(Limits!$C$2:$C$5,MATCH(E1946,Limits!$A$2:$A$5,0))</f>
        <v/>
      </c>
      <c r="J1946">
        <f>IF(F1946&gt;=I1946,"Action",IF(F1946&gt;=H1946,"Alert","Pass"))</f>
        <v/>
      </c>
      <c r="K1946" s="4">
        <f>DATE(YEAR(B1946),MONTH(B1946),1)</f>
        <v/>
      </c>
    </row>
    <row r="1947">
      <c r="A1947" t="inlineStr">
        <is>
          <t>EM001946</t>
        </is>
      </c>
      <c r="B1947" s="7" t="n">
        <v>46169</v>
      </c>
      <c r="C1947" t="inlineStr">
        <is>
          <t>CR-102</t>
        </is>
      </c>
      <c r="D1947" t="inlineStr">
        <is>
          <t>ISO 7</t>
        </is>
      </c>
      <c r="E1947" t="inlineStr">
        <is>
          <t>Personnel glove</t>
        </is>
      </c>
      <c r="F1947" t="n">
        <v>1</v>
      </c>
      <c r="G1947" t="inlineStr">
        <is>
          <t>Tech B</t>
        </is>
      </c>
      <c r="H1947">
        <f>INDEX(Limits!$B$2:$B$5,MATCH(E1947,Limits!$A$2:$A$5,0))</f>
        <v/>
      </c>
      <c r="I1947">
        <f>INDEX(Limits!$C$2:$C$5,MATCH(E1947,Limits!$A$2:$A$5,0))</f>
        <v/>
      </c>
      <c r="J1947">
        <f>IF(F1947&gt;=I1947,"Action",IF(F1947&gt;=H1947,"Alert","Pass"))</f>
        <v/>
      </c>
      <c r="K1947" s="4">
        <f>DATE(YEAR(B1947),MONTH(B1947),1)</f>
        <v/>
      </c>
    </row>
    <row r="1948">
      <c r="A1948" t="inlineStr">
        <is>
          <t>EM001947</t>
        </is>
      </c>
      <c r="B1948" s="7" t="n">
        <v>46169</v>
      </c>
      <c r="C1948" t="inlineStr">
        <is>
          <t>CR-201</t>
        </is>
      </c>
      <c r="D1948" t="inlineStr">
        <is>
          <t>ISO 8</t>
        </is>
      </c>
      <c r="E1948" t="inlineStr">
        <is>
          <t>Active air</t>
        </is>
      </c>
      <c r="F1948" t="n">
        <v>0</v>
      </c>
      <c r="G1948" t="inlineStr">
        <is>
          <t>Tech D</t>
        </is>
      </c>
      <c r="H1948">
        <f>INDEX(Limits!$B$2:$B$5,MATCH(E1948,Limits!$A$2:$A$5,0))</f>
        <v/>
      </c>
      <c r="I1948">
        <f>INDEX(Limits!$C$2:$C$5,MATCH(E1948,Limits!$A$2:$A$5,0))</f>
        <v/>
      </c>
      <c r="J1948">
        <f>IF(F1948&gt;=I1948,"Action",IF(F1948&gt;=H1948,"Alert","Pass"))</f>
        <v/>
      </c>
      <c r="K1948" s="4">
        <f>DATE(YEAR(B1948),MONTH(B1948),1)</f>
        <v/>
      </c>
    </row>
    <row r="1949">
      <c r="A1949" t="inlineStr">
        <is>
          <t>EM001948</t>
        </is>
      </c>
      <c r="B1949" s="7" t="n">
        <v>46169</v>
      </c>
      <c r="C1949" t="inlineStr">
        <is>
          <t>CR-201</t>
        </is>
      </c>
      <c r="D1949" t="inlineStr">
        <is>
          <t>ISO 8</t>
        </is>
      </c>
      <c r="E1949" t="inlineStr">
        <is>
          <t>Surface contact</t>
        </is>
      </c>
      <c r="F1949" t="n">
        <v>0</v>
      </c>
      <c r="G1949" t="inlineStr">
        <is>
          <t>Tech C</t>
        </is>
      </c>
      <c r="H1949">
        <f>INDEX(Limits!$B$2:$B$5,MATCH(E1949,Limits!$A$2:$A$5,0))</f>
        <v/>
      </c>
      <c r="I1949">
        <f>INDEX(Limits!$C$2:$C$5,MATCH(E1949,Limits!$A$2:$A$5,0))</f>
        <v/>
      </c>
      <c r="J1949">
        <f>IF(F1949&gt;=I1949,"Action",IF(F1949&gt;=H1949,"Alert","Pass"))</f>
        <v/>
      </c>
      <c r="K1949" s="4">
        <f>DATE(YEAR(B1949),MONTH(B1949),1)</f>
        <v/>
      </c>
    </row>
    <row r="1950">
      <c r="A1950" t="inlineStr">
        <is>
          <t>EM001949</t>
        </is>
      </c>
      <c r="B1950" s="7" t="n">
        <v>46169</v>
      </c>
      <c r="C1950" t="inlineStr">
        <is>
          <t>CR-201</t>
        </is>
      </c>
      <c r="D1950" t="inlineStr">
        <is>
          <t>ISO 8</t>
        </is>
      </c>
      <c r="E1950" t="inlineStr">
        <is>
          <t>Compressed air</t>
        </is>
      </c>
      <c r="F1950" t="n">
        <v>0</v>
      </c>
      <c r="G1950" t="inlineStr">
        <is>
          <t>Tech D</t>
        </is>
      </c>
      <c r="H1950">
        <f>INDEX(Limits!$B$2:$B$5,MATCH(E1950,Limits!$A$2:$A$5,0))</f>
        <v/>
      </c>
      <c r="I1950">
        <f>INDEX(Limits!$C$2:$C$5,MATCH(E1950,Limits!$A$2:$A$5,0))</f>
        <v/>
      </c>
      <c r="J1950">
        <f>IF(F1950&gt;=I1950,"Action",IF(F1950&gt;=H1950,"Alert","Pass"))</f>
        <v/>
      </c>
      <c r="K1950" s="4">
        <f>DATE(YEAR(B1950),MONTH(B1950),1)</f>
        <v/>
      </c>
    </row>
    <row r="1951">
      <c r="A1951" t="inlineStr">
        <is>
          <t>EM001950</t>
        </is>
      </c>
      <c r="B1951" s="7" t="n">
        <v>46169</v>
      </c>
      <c r="C1951" t="inlineStr">
        <is>
          <t>CR-201</t>
        </is>
      </c>
      <c r="D1951" t="inlineStr">
        <is>
          <t>ISO 8</t>
        </is>
      </c>
      <c r="E1951" t="inlineStr">
        <is>
          <t>Personnel glove</t>
        </is>
      </c>
      <c r="F1951" t="n">
        <v>0</v>
      </c>
      <c r="G1951" t="inlineStr">
        <is>
          <t>Tech B</t>
        </is>
      </c>
      <c r="H1951">
        <f>INDEX(Limits!$B$2:$B$5,MATCH(E1951,Limits!$A$2:$A$5,0))</f>
        <v/>
      </c>
      <c r="I1951">
        <f>INDEX(Limits!$C$2:$C$5,MATCH(E1951,Limits!$A$2:$A$5,0))</f>
        <v/>
      </c>
      <c r="J1951">
        <f>IF(F1951&gt;=I1951,"Action",IF(F1951&gt;=H1951,"Alert","Pass"))</f>
        <v/>
      </c>
      <c r="K1951" s="4">
        <f>DATE(YEAR(B1951),MONTH(B1951),1)</f>
        <v/>
      </c>
    </row>
    <row r="1952">
      <c r="A1952" t="inlineStr">
        <is>
          <t>EM001951</t>
        </is>
      </c>
      <c r="B1952" s="7" t="n">
        <v>46169</v>
      </c>
      <c r="C1952" t="inlineStr">
        <is>
          <t>CR-202</t>
        </is>
      </c>
      <c r="D1952" t="inlineStr">
        <is>
          <t>ISO 8</t>
        </is>
      </c>
      <c r="E1952" t="inlineStr">
        <is>
          <t>Active air</t>
        </is>
      </c>
      <c r="F1952" t="n">
        <v>1</v>
      </c>
      <c r="G1952" t="inlineStr">
        <is>
          <t>Tech A</t>
        </is>
      </c>
      <c r="H1952">
        <f>INDEX(Limits!$B$2:$B$5,MATCH(E1952,Limits!$A$2:$A$5,0))</f>
        <v/>
      </c>
      <c r="I1952">
        <f>INDEX(Limits!$C$2:$C$5,MATCH(E1952,Limits!$A$2:$A$5,0))</f>
        <v/>
      </c>
      <c r="J1952">
        <f>IF(F1952&gt;=I1952,"Action",IF(F1952&gt;=H1952,"Alert","Pass"))</f>
        <v/>
      </c>
      <c r="K1952" s="4">
        <f>DATE(YEAR(B1952),MONTH(B1952),1)</f>
        <v/>
      </c>
    </row>
    <row r="1953">
      <c r="A1953" t="inlineStr">
        <is>
          <t>EM001952</t>
        </is>
      </c>
      <c r="B1953" s="7" t="n">
        <v>46169</v>
      </c>
      <c r="C1953" t="inlineStr">
        <is>
          <t>CR-202</t>
        </is>
      </c>
      <c r="D1953" t="inlineStr">
        <is>
          <t>ISO 8</t>
        </is>
      </c>
      <c r="E1953" t="inlineStr">
        <is>
          <t>Surface contact</t>
        </is>
      </c>
      <c r="F1953" t="n">
        <v>1</v>
      </c>
      <c r="G1953" t="inlineStr">
        <is>
          <t>Tech B</t>
        </is>
      </c>
      <c r="H1953">
        <f>INDEX(Limits!$B$2:$B$5,MATCH(E1953,Limits!$A$2:$A$5,0))</f>
        <v/>
      </c>
      <c r="I1953">
        <f>INDEX(Limits!$C$2:$C$5,MATCH(E1953,Limits!$A$2:$A$5,0))</f>
        <v/>
      </c>
      <c r="J1953">
        <f>IF(F1953&gt;=I1953,"Action",IF(F1953&gt;=H1953,"Alert","Pass"))</f>
        <v/>
      </c>
      <c r="K1953" s="4">
        <f>DATE(YEAR(B1953),MONTH(B1953),1)</f>
        <v/>
      </c>
    </row>
    <row r="1954">
      <c r="A1954" t="inlineStr">
        <is>
          <t>EM001953</t>
        </is>
      </c>
      <c r="B1954" s="7" t="n">
        <v>46169</v>
      </c>
      <c r="C1954" t="inlineStr">
        <is>
          <t>CR-202</t>
        </is>
      </c>
      <c r="D1954" t="inlineStr">
        <is>
          <t>ISO 8</t>
        </is>
      </c>
      <c r="E1954" t="inlineStr">
        <is>
          <t>Compressed air</t>
        </is>
      </c>
      <c r="F1954" t="n">
        <v>0</v>
      </c>
      <c r="G1954" t="inlineStr">
        <is>
          <t>Tech C</t>
        </is>
      </c>
      <c r="H1954">
        <f>INDEX(Limits!$B$2:$B$5,MATCH(E1954,Limits!$A$2:$A$5,0))</f>
        <v/>
      </c>
      <c r="I1954">
        <f>INDEX(Limits!$C$2:$C$5,MATCH(E1954,Limits!$A$2:$A$5,0))</f>
        <v/>
      </c>
      <c r="J1954">
        <f>IF(F1954&gt;=I1954,"Action",IF(F1954&gt;=H1954,"Alert","Pass"))</f>
        <v/>
      </c>
      <c r="K1954" s="4">
        <f>DATE(YEAR(B1954),MONTH(B1954),1)</f>
        <v/>
      </c>
    </row>
    <row r="1955">
      <c r="A1955" t="inlineStr">
        <is>
          <t>EM001954</t>
        </is>
      </c>
      <c r="B1955" s="7" t="n">
        <v>46169</v>
      </c>
      <c r="C1955" t="inlineStr">
        <is>
          <t>CR-202</t>
        </is>
      </c>
      <c r="D1955" t="inlineStr">
        <is>
          <t>ISO 8</t>
        </is>
      </c>
      <c r="E1955" t="inlineStr">
        <is>
          <t>Personnel glove</t>
        </is>
      </c>
      <c r="F1955" t="n">
        <v>0</v>
      </c>
      <c r="G1955" t="inlineStr">
        <is>
          <t>Tech A</t>
        </is>
      </c>
      <c r="H1955">
        <f>INDEX(Limits!$B$2:$B$5,MATCH(E1955,Limits!$A$2:$A$5,0))</f>
        <v/>
      </c>
      <c r="I1955">
        <f>INDEX(Limits!$C$2:$C$5,MATCH(E1955,Limits!$A$2:$A$5,0))</f>
        <v/>
      </c>
      <c r="J1955">
        <f>IF(F1955&gt;=I1955,"Action",IF(F1955&gt;=H1955,"Alert","Pass"))</f>
        <v/>
      </c>
      <c r="K1955" s="4">
        <f>DATE(YEAR(B1955),MONTH(B1955),1)</f>
        <v/>
      </c>
    </row>
    <row r="1956">
      <c r="A1956" t="inlineStr">
        <is>
          <t>EM001955</t>
        </is>
      </c>
      <c r="B1956" s="7" t="n">
        <v>46169</v>
      </c>
      <c r="C1956" t="inlineStr">
        <is>
          <t>Gowning</t>
        </is>
      </c>
      <c r="D1956" t="inlineStr">
        <is>
          <t>ISO 8</t>
        </is>
      </c>
      <c r="E1956" t="inlineStr">
        <is>
          <t>Active air</t>
        </is>
      </c>
      <c r="F1956" t="n">
        <v>1</v>
      </c>
      <c r="G1956" t="inlineStr">
        <is>
          <t>Tech A</t>
        </is>
      </c>
      <c r="H1956">
        <f>INDEX(Limits!$B$2:$B$5,MATCH(E1956,Limits!$A$2:$A$5,0))</f>
        <v/>
      </c>
      <c r="I1956">
        <f>INDEX(Limits!$C$2:$C$5,MATCH(E1956,Limits!$A$2:$A$5,0))</f>
        <v/>
      </c>
      <c r="J1956">
        <f>IF(F1956&gt;=I1956,"Action",IF(F1956&gt;=H1956,"Alert","Pass"))</f>
        <v/>
      </c>
      <c r="K1956" s="4">
        <f>DATE(YEAR(B1956),MONTH(B1956),1)</f>
        <v/>
      </c>
    </row>
    <row r="1957">
      <c r="A1957" t="inlineStr">
        <is>
          <t>EM001956</t>
        </is>
      </c>
      <c r="B1957" s="7" t="n">
        <v>46169</v>
      </c>
      <c r="C1957" t="inlineStr">
        <is>
          <t>Gowning</t>
        </is>
      </c>
      <c r="D1957" t="inlineStr">
        <is>
          <t>ISO 8</t>
        </is>
      </c>
      <c r="E1957" t="inlineStr">
        <is>
          <t>Surface contact</t>
        </is>
      </c>
      <c r="F1957" t="n">
        <v>1</v>
      </c>
      <c r="G1957" t="inlineStr">
        <is>
          <t>Tech B</t>
        </is>
      </c>
      <c r="H1957">
        <f>INDEX(Limits!$B$2:$B$5,MATCH(E1957,Limits!$A$2:$A$5,0))</f>
        <v/>
      </c>
      <c r="I1957">
        <f>INDEX(Limits!$C$2:$C$5,MATCH(E1957,Limits!$A$2:$A$5,0))</f>
        <v/>
      </c>
      <c r="J1957">
        <f>IF(F1957&gt;=I1957,"Action",IF(F1957&gt;=H1957,"Alert","Pass"))</f>
        <v/>
      </c>
      <c r="K1957" s="4">
        <f>DATE(YEAR(B1957),MONTH(B1957),1)</f>
        <v/>
      </c>
    </row>
    <row r="1958">
      <c r="A1958" t="inlineStr">
        <is>
          <t>EM001957</t>
        </is>
      </c>
      <c r="B1958" s="7" t="n">
        <v>46169</v>
      </c>
      <c r="C1958" t="inlineStr">
        <is>
          <t>Gowning</t>
        </is>
      </c>
      <c r="D1958" t="inlineStr">
        <is>
          <t>ISO 8</t>
        </is>
      </c>
      <c r="E1958" t="inlineStr">
        <is>
          <t>Personnel glove</t>
        </is>
      </c>
      <c r="F1958" t="n">
        <v>0</v>
      </c>
      <c r="G1958" t="inlineStr">
        <is>
          <t>Tech C</t>
        </is>
      </c>
      <c r="H1958">
        <f>INDEX(Limits!$B$2:$B$5,MATCH(E1958,Limits!$A$2:$A$5,0))</f>
        <v/>
      </c>
      <c r="I1958">
        <f>INDEX(Limits!$C$2:$C$5,MATCH(E1958,Limits!$A$2:$A$5,0))</f>
        <v/>
      </c>
      <c r="J1958">
        <f>IF(F1958&gt;=I1958,"Action",IF(F1958&gt;=H1958,"Alert","Pass"))</f>
        <v/>
      </c>
      <c r="K1958" s="4">
        <f>DATE(YEAR(B1958),MONTH(B1958),1)</f>
        <v/>
      </c>
    </row>
    <row r="1959">
      <c r="A1959" t="inlineStr">
        <is>
          <t>EM001958</t>
        </is>
      </c>
      <c r="B1959" s="7" t="n">
        <v>46170</v>
      </c>
      <c r="C1959" t="inlineStr">
        <is>
          <t>CR-101</t>
        </is>
      </c>
      <c r="D1959" t="inlineStr">
        <is>
          <t>ISO 7</t>
        </is>
      </c>
      <c r="E1959" t="inlineStr">
        <is>
          <t>Active air</t>
        </is>
      </c>
      <c r="F1959" t="n">
        <v>1</v>
      </c>
      <c r="G1959" t="inlineStr">
        <is>
          <t>Tech A</t>
        </is>
      </c>
      <c r="H1959">
        <f>INDEX(Limits!$B$2:$B$5,MATCH(E1959,Limits!$A$2:$A$5,0))</f>
        <v/>
      </c>
      <c r="I1959">
        <f>INDEX(Limits!$C$2:$C$5,MATCH(E1959,Limits!$A$2:$A$5,0))</f>
        <v/>
      </c>
      <c r="J1959">
        <f>IF(F1959&gt;=I1959,"Action",IF(F1959&gt;=H1959,"Alert","Pass"))</f>
        <v/>
      </c>
      <c r="K1959" s="4">
        <f>DATE(YEAR(B1959),MONTH(B1959),1)</f>
        <v/>
      </c>
    </row>
    <row r="1960">
      <c r="A1960" t="inlineStr">
        <is>
          <t>EM001959</t>
        </is>
      </c>
      <c r="B1960" s="7" t="n">
        <v>46170</v>
      </c>
      <c r="C1960" t="inlineStr">
        <is>
          <t>CR-101</t>
        </is>
      </c>
      <c r="D1960" t="inlineStr">
        <is>
          <t>ISO 7</t>
        </is>
      </c>
      <c r="E1960" t="inlineStr">
        <is>
          <t>Surface contact</t>
        </is>
      </c>
      <c r="F1960" t="n">
        <v>0</v>
      </c>
      <c r="G1960" t="inlineStr">
        <is>
          <t>Tech D</t>
        </is>
      </c>
      <c r="H1960">
        <f>INDEX(Limits!$B$2:$B$5,MATCH(E1960,Limits!$A$2:$A$5,0))</f>
        <v/>
      </c>
      <c r="I1960">
        <f>INDEX(Limits!$C$2:$C$5,MATCH(E1960,Limits!$A$2:$A$5,0))</f>
        <v/>
      </c>
      <c r="J1960">
        <f>IF(F1960&gt;=I1960,"Action",IF(F1960&gt;=H1960,"Alert","Pass"))</f>
        <v/>
      </c>
      <c r="K1960" s="4">
        <f>DATE(YEAR(B1960),MONTH(B1960),1)</f>
        <v/>
      </c>
    </row>
    <row r="1961">
      <c r="A1961" t="inlineStr">
        <is>
          <t>EM001960</t>
        </is>
      </c>
      <c r="B1961" s="7" t="n">
        <v>46170</v>
      </c>
      <c r="C1961" t="inlineStr">
        <is>
          <t>CR-101</t>
        </is>
      </c>
      <c r="D1961" t="inlineStr">
        <is>
          <t>ISO 7</t>
        </is>
      </c>
      <c r="E1961" t="inlineStr">
        <is>
          <t>Compressed air</t>
        </is>
      </c>
      <c r="F1961" t="n">
        <v>0</v>
      </c>
      <c r="G1961" t="inlineStr">
        <is>
          <t>Tech A</t>
        </is>
      </c>
      <c r="H1961">
        <f>INDEX(Limits!$B$2:$B$5,MATCH(E1961,Limits!$A$2:$A$5,0))</f>
        <v/>
      </c>
      <c r="I1961">
        <f>INDEX(Limits!$C$2:$C$5,MATCH(E1961,Limits!$A$2:$A$5,0))</f>
        <v/>
      </c>
      <c r="J1961">
        <f>IF(F1961&gt;=I1961,"Action",IF(F1961&gt;=H1961,"Alert","Pass"))</f>
        <v/>
      </c>
      <c r="K1961" s="4">
        <f>DATE(YEAR(B1961),MONTH(B1961),1)</f>
        <v/>
      </c>
    </row>
    <row r="1962">
      <c r="A1962" t="inlineStr">
        <is>
          <t>EM001961</t>
        </is>
      </c>
      <c r="B1962" s="7" t="n">
        <v>46170</v>
      </c>
      <c r="C1962" t="inlineStr">
        <is>
          <t>CR-101</t>
        </is>
      </c>
      <c r="D1962" t="inlineStr">
        <is>
          <t>ISO 7</t>
        </is>
      </c>
      <c r="E1962" t="inlineStr">
        <is>
          <t>Personnel glove</t>
        </is>
      </c>
      <c r="F1962" t="n">
        <v>0</v>
      </c>
      <c r="G1962" t="inlineStr">
        <is>
          <t>Tech D</t>
        </is>
      </c>
      <c r="H1962">
        <f>INDEX(Limits!$B$2:$B$5,MATCH(E1962,Limits!$A$2:$A$5,0))</f>
        <v/>
      </c>
      <c r="I1962">
        <f>INDEX(Limits!$C$2:$C$5,MATCH(E1962,Limits!$A$2:$A$5,0))</f>
        <v/>
      </c>
      <c r="J1962">
        <f>IF(F1962&gt;=I1962,"Action",IF(F1962&gt;=H1962,"Alert","Pass"))</f>
        <v/>
      </c>
      <c r="K1962" s="4">
        <f>DATE(YEAR(B1962),MONTH(B1962),1)</f>
        <v/>
      </c>
    </row>
    <row r="1963">
      <c r="A1963" t="inlineStr">
        <is>
          <t>EM001962</t>
        </is>
      </c>
      <c r="B1963" s="7" t="n">
        <v>46170</v>
      </c>
      <c r="C1963" t="inlineStr">
        <is>
          <t>CR-102</t>
        </is>
      </c>
      <c r="D1963" t="inlineStr">
        <is>
          <t>ISO 7</t>
        </is>
      </c>
      <c r="E1963" t="inlineStr">
        <is>
          <t>Active air</t>
        </is>
      </c>
      <c r="F1963" t="n">
        <v>1</v>
      </c>
      <c r="G1963" t="inlineStr">
        <is>
          <t>Tech D</t>
        </is>
      </c>
      <c r="H1963">
        <f>INDEX(Limits!$B$2:$B$5,MATCH(E1963,Limits!$A$2:$A$5,0))</f>
        <v/>
      </c>
      <c r="I1963">
        <f>INDEX(Limits!$C$2:$C$5,MATCH(E1963,Limits!$A$2:$A$5,0))</f>
        <v/>
      </c>
      <c r="J1963">
        <f>IF(F1963&gt;=I1963,"Action",IF(F1963&gt;=H1963,"Alert","Pass"))</f>
        <v/>
      </c>
      <c r="K1963" s="4">
        <f>DATE(YEAR(B1963),MONTH(B1963),1)</f>
        <v/>
      </c>
    </row>
    <row r="1964">
      <c r="A1964" t="inlineStr">
        <is>
          <t>EM001963</t>
        </is>
      </c>
      <c r="B1964" s="7" t="n">
        <v>46170</v>
      </c>
      <c r="C1964" t="inlineStr">
        <is>
          <t>CR-102</t>
        </is>
      </c>
      <c r="D1964" t="inlineStr">
        <is>
          <t>ISO 7</t>
        </is>
      </c>
      <c r="E1964" t="inlineStr">
        <is>
          <t>Surface contact</t>
        </is>
      </c>
      <c r="F1964" t="n">
        <v>0</v>
      </c>
      <c r="G1964" t="inlineStr">
        <is>
          <t>Tech D</t>
        </is>
      </c>
      <c r="H1964">
        <f>INDEX(Limits!$B$2:$B$5,MATCH(E1964,Limits!$A$2:$A$5,0))</f>
        <v/>
      </c>
      <c r="I1964">
        <f>INDEX(Limits!$C$2:$C$5,MATCH(E1964,Limits!$A$2:$A$5,0))</f>
        <v/>
      </c>
      <c r="J1964">
        <f>IF(F1964&gt;=I1964,"Action",IF(F1964&gt;=H1964,"Alert","Pass"))</f>
        <v/>
      </c>
      <c r="K1964" s="4">
        <f>DATE(YEAR(B1964),MONTH(B1964),1)</f>
        <v/>
      </c>
    </row>
    <row r="1965">
      <c r="A1965" t="inlineStr">
        <is>
          <t>EM001964</t>
        </is>
      </c>
      <c r="B1965" s="7" t="n">
        <v>46170</v>
      </c>
      <c r="C1965" t="inlineStr">
        <is>
          <t>CR-102</t>
        </is>
      </c>
      <c r="D1965" t="inlineStr">
        <is>
          <t>ISO 7</t>
        </is>
      </c>
      <c r="E1965" t="inlineStr">
        <is>
          <t>Compressed air</t>
        </is>
      </c>
      <c r="F1965" t="n">
        <v>0</v>
      </c>
      <c r="G1965" t="inlineStr">
        <is>
          <t>Tech C</t>
        </is>
      </c>
      <c r="H1965">
        <f>INDEX(Limits!$B$2:$B$5,MATCH(E1965,Limits!$A$2:$A$5,0))</f>
        <v/>
      </c>
      <c r="I1965">
        <f>INDEX(Limits!$C$2:$C$5,MATCH(E1965,Limits!$A$2:$A$5,0))</f>
        <v/>
      </c>
      <c r="J1965">
        <f>IF(F1965&gt;=I1965,"Action",IF(F1965&gt;=H1965,"Alert","Pass"))</f>
        <v/>
      </c>
      <c r="K1965" s="4">
        <f>DATE(YEAR(B1965),MONTH(B1965),1)</f>
        <v/>
      </c>
    </row>
    <row r="1966">
      <c r="A1966" t="inlineStr">
        <is>
          <t>EM001965</t>
        </is>
      </c>
      <c r="B1966" s="7" t="n">
        <v>46170</v>
      </c>
      <c r="C1966" t="inlineStr">
        <is>
          <t>CR-102</t>
        </is>
      </c>
      <c r="D1966" t="inlineStr">
        <is>
          <t>ISO 7</t>
        </is>
      </c>
      <c r="E1966" t="inlineStr">
        <is>
          <t>Personnel glove</t>
        </is>
      </c>
      <c r="F1966" t="n">
        <v>0</v>
      </c>
      <c r="G1966" t="inlineStr">
        <is>
          <t>Tech A</t>
        </is>
      </c>
      <c r="H1966">
        <f>INDEX(Limits!$B$2:$B$5,MATCH(E1966,Limits!$A$2:$A$5,0))</f>
        <v/>
      </c>
      <c r="I1966">
        <f>INDEX(Limits!$C$2:$C$5,MATCH(E1966,Limits!$A$2:$A$5,0))</f>
        <v/>
      </c>
      <c r="J1966">
        <f>IF(F1966&gt;=I1966,"Action",IF(F1966&gt;=H1966,"Alert","Pass"))</f>
        <v/>
      </c>
      <c r="K1966" s="4">
        <f>DATE(YEAR(B1966),MONTH(B1966),1)</f>
        <v/>
      </c>
    </row>
    <row r="1967">
      <c r="A1967" t="inlineStr">
        <is>
          <t>EM001966</t>
        </is>
      </c>
      <c r="B1967" s="7" t="n">
        <v>46170</v>
      </c>
      <c r="C1967" t="inlineStr">
        <is>
          <t>CR-201</t>
        </is>
      </c>
      <c r="D1967" t="inlineStr">
        <is>
          <t>ISO 8</t>
        </is>
      </c>
      <c r="E1967" t="inlineStr">
        <is>
          <t>Active air</t>
        </is>
      </c>
      <c r="F1967" t="n">
        <v>0</v>
      </c>
      <c r="G1967" t="inlineStr">
        <is>
          <t>Tech B</t>
        </is>
      </c>
      <c r="H1967">
        <f>INDEX(Limits!$B$2:$B$5,MATCH(E1967,Limits!$A$2:$A$5,0))</f>
        <v/>
      </c>
      <c r="I1967">
        <f>INDEX(Limits!$C$2:$C$5,MATCH(E1967,Limits!$A$2:$A$5,0))</f>
        <v/>
      </c>
      <c r="J1967">
        <f>IF(F1967&gt;=I1967,"Action",IF(F1967&gt;=H1967,"Alert","Pass"))</f>
        <v/>
      </c>
      <c r="K1967" s="4">
        <f>DATE(YEAR(B1967),MONTH(B1967),1)</f>
        <v/>
      </c>
    </row>
    <row r="1968">
      <c r="A1968" t="inlineStr">
        <is>
          <t>EM001967</t>
        </is>
      </c>
      <c r="B1968" s="7" t="n">
        <v>46170</v>
      </c>
      <c r="C1968" t="inlineStr">
        <is>
          <t>CR-201</t>
        </is>
      </c>
      <c r="D1968" t="inlineStr">
        <is>
          <t>ISO 8</t>
        </is>
      </c>
      <c r="E1968" t="inlineStr">
        <is>
          <t>Surface contact</t>
        </is>
      </c>
      <c r="F1968" t="n">
        <v>0</v>
      </c>
      <c r="G1968" t="inlineStr">
        <is>
          <t>Tech D</t>
        </is>
      </c>
      <c r="H1968">
        <f>INDEX(Limits!$B$2:$B$5,MATCH(E1968,Limits!$A$2:$A$5,0))</f>
        <v/>
      </c>
      <c r="I1968">
        <f>INDEX(Limits!$C$2:$C$5,MATCH(E1968,Limits!$A$2:$A$5,0))</f>
        <v/>
      </c>
      <c r="J1968">
        <f>IF(F1968&gt;=I1968,"Action",IF(F1968&gt;=H1968,"Alert","Pass"))</f>
        <v/>
      </c>
      <c r="K1968" s="4">
        <f>DATE(YEAR(B1968),MONTH(B1968),1)</f>
        <v/>
      </c>
    </row>
    <row r="1969">
      <c r="A1969" t="inlineStr">
        <is>
          <t>EM001968</t>
        </is>
      </c>
      <c r="B1969" s="7" t="n">
        <v>46170</v>
      </c>
      <c r="C1969" t="inlineStr">
        <is>
          <t>CR-201</t>
        </is>
      </c>
      <c r="D1969" t="inlineStr">
        <is>
          <t>ISO 8</t>
        </is>
      </c>
      <c r="E1969" t="inlineStr">
        <is>
          <t>Compressed air</t>
        </is>
      </c>
      <c r="F1969" t="n">
        <v>0</v>
      </c>
      <c r="G1969" t="inlineStr">
        <is>
          <t>Tech A</t>
        </is>
      </c>
      <c r="H1969">
        <f>INDEX(Limits!$B$2:$B$5,MATCH(E1969,Limits!$A$2:$A$5,0))</f>
        <v/>
      </c>
      <c r="I1969">
        <f>INDEX(Limits!$C$2:$C$5,MATCH(E1969,Limits!$A$2:$A$5,0))</f>
        <v/>
      </c>
      <c r="J1969">
        <f>IF(F1969&gt;=I1969,"Action",IF(F1969&gt;=H1969,"Alert","Pass"))</f>
        <v/>
      </c>
      <c r="K1969" s="4">
        <f>DATE(YEAR(B1969),MONTH(B1969),1)</f>
        <v/>
      </c>
    </row>
    <row r="1970">
      <c r="A1970" t="inlineStr">
        <is>
          <t>EM001969</t>
        </is>
      </c>
      <c r="B1970" s="7" t="n">
        <v>46170</v>
      </c>
      <c r="C1970" t="inlineStr">
        <is>
          <t>CR-201</t>
        </is>
      </c>
      <c r="D1970" t="inlineStr">
        <is>
          <t>ISO 8</t>
        </is>
      </c>
      <c r="E1970" t="inlineStr">
        <is>
          <t>Personnel glove</t>
        </is>
      </c>
      <c r="F1970" t="n">
        <v>0</v>
      </c>
      <c r="G1970" t="inlineStr">
        <is>
          <t>Tech D</t>
        </is>
      </c>
      <c r="H1970">
        <f>INDEX(Limits!$B$2:$B$5,MATCH(E1970,Limits!$A$2:$A$5,0))</f>
        <v/>
      </c>
      <c r="I1970">
        <f>INDEX(Limits!$C$2:$C$5,MATCH(E1970,Limits!$A$2:$A$5,0))</f>
        <v/>
      </c>
      <c r="J1970">
        <f>IF(F1970&gt;=I1970,"Action",IF(F1970&gt;=H1970,"Alert","Pass"))</f>
        <v/>
      </c>
      <c r="K1970" s="4">
        <f>DATE(YEAR(B1970),MONTH(B1970),1)</f>
        <v/>
      </c>
    </row>
    <row r="1971">
      <c r="A1971" t="inlineStr">
        <is>
          <t>EM001970</t>
        </is>
      </c>
      <c r="B1971" s="7" t="n">
        <v>46170</v>
      </c>
      <c r="C1971" t="inlineStr">
        <is>
          <t>CR-202</t>
        </is>
      </c>
      <c r="D1971" t="inlineStr">
        <is>
          <t>ISO 8</t>
        </is>
      </c>
      <c r="E1971" t="inlineStr">
        <is>
          <t>Active air</t>
        </is>
      </c>
      <c r="F1971" t="n">
        <v>1</v>
      </c>
      <c r="G1971" t="inlineStr">
        <is>
          <t>Tech D</t>
        </is>
      </c>
      <c r="H1971">
        <f>INDEX(Limits!$B$2:$B$5,MATCH(E1971,Limits!$A$2:$A$5,0))</f>
        <v/>
      </c>
      <c r="I1971">
        <f>INDEX(Limits!$C$2:$C$5,MATCH(E1971,Limits!$A$2:$A$5,0))</f>
        <v/>
      </c>
      <c r="J1971">
        <f>IF(F1971&gt;=I1971,"Action",IF(F1971&gt;=H1971,"Alert","Pass"))</f>
        <v/>
      </c>
      <c r="K1971" s="4">
        <f>DATE(YEAR(B1971),MONTH(B1971),1)</f>
        <v/>
      </c>
    </row>
    <row r="1972">
      <c r="A1972" t="inlineStr">
        <is>
          <t>EM001971</t>
        </is>
      </c>
      <c r="B1972" s="7" t="n">
        <v>46170</v>
      </c>
      <c r="C1972" t="inlineStr">
        <is>
          <t>CR-202</t>
        </is>
      </c>
      <c r="D1972" t="inlineStr">
        <is>
          <t>ISO 8</t>
        </is>
      </c>
      <c r="E1972" t="inlineStr">
        <is>
          <t>Surface contact</t>
        </is>
      </c>
      <c r="F1972" t="n">
        <v>0</v>
      </c>
      <c r="G1972" t="inlineStr">
        <is>
          <t>Tech B</t>
        </is>
      </c>
      <c r="H1972">
        <f>INDEX(Limits!$B$2:$B$5,MATCH(E1972,Limits!$A$2:$A$5,0))</f>
        <v/>
      </c>
      <c r="I1972">
        <f>INDEX(Limits!$C$2:$C$5,MATCH(E1972,Limits!$A$2:$A$5,0))</f>
        <v/>
      </c>
      <c r="J1972">
        <f>IF(F1972&gt;=I1972,"Action",IF(F1972&gt;=H1972,"Alert","Pass"))</f>
        <v/>
      </c>
      <c r="K1972" s="4">
        <f>DATE(YEAR(B1972),MONTH(B1972),1)</f>
        <v/>
      </c>
    </row>
    <row r="1973">
      <c r="A1973" t="inlineStr">
        <is>
          <t>EM001972</t>
        </is>
      </c>
      <c r="B1973" s="7" t="n">
        <v>46170</v>
      </c>
      <c r="C1973" t="inlineStr">
        <is>
          <t>CR-202</t>
        </is>
      </c>
      <c r="D1973" t="inlineStr">
        <is>
          <t>ISO 8</t>
        </is>
      </c>
      <c r="E1973" t="inlineStr">
        <is>
          <t>Compressed air</t>
        </is>
      </c>
      <c r="F1973" t="n">
        <v>0</v>
      </c>
      <c r="G1973" t="inlineStr">
        <is>
          <t>Tech C</t>
        </is>
      </c>
      <c r="H1973">
        <f>INDEX(Limits!$B$2:$B$5,MATCH(E1973,Limits!$A$2:$A$5,0))</f>
        <v/>
      </c>
      <c r="I1973">
        <f>INDEX(Limits!$C$2:$C$5,MATCH(E1973,Limits!$A$2:$A$5,0))</f>
        <v/>
      </c>
      <c r="J1973">
        <f>IF(F1973&gt;=I1973,"Action",IF(F1973&gt;=H1973,"Alert","Pass"))</f>
        <v/>
      </c>
      <c r="K1973" s="4">
        <f>DATE(YEAR(B1973),MONTH(B1973),1)</f>
        <v/>
      </c>
    </row>
    <row r="1974">
      <c r="A1974" t="inlineStr">
        <is>
          <t>EM001973</t>
        </is>
      </c>
      <c r="B1974" s="7" t="n">
        <v>46170</v>
      </c>
      <c r="C1974" t="inlineStr">
        <is>
          <t>CR-202</t>
        </is>
      </c>
      <c r="D1974" t="inlineStr">
        <is>
          <t>ISO 8</t>
        </is>
      </c>
      <c r="E1974" t="inlineStr">
        <is>
          <t>Personnel glove</t>
        </is>
      </c>
      <c r="F1974" t="n">
        <v>0</v>
      </c>
      <c r="G1974" t="inlineStr">
        <is>
          <t>Tech B</t>
        </is>
      </c>
      <c r="H1974">
        <f>INDEX(Limits!$B$2:$B$5,MATCH(E1974,Limits!$A$2:$A$5,0))</f>
        <v/>
      </c>
      <c r="I1974">
        <f>INDEX(Limits!$C$2:$C$5,MATCH(E1974,Limits!$A$2:$A$5,0))</f>
        <v/>
      </c>
      <c r="J1974">
        <f>IF(F1974&gt;=I1974,"Action",IF(F1974&gt;=H1974,"Alert","Pass"))</f>
        <v/>
      </c>
      <c r="K1974" s="4">
        <f>DATE(YEAR(B1974),MONTH(B1974),1)</f>
        <v/>
      </c>
    </row>
    <row r="1975">
      <c r="A1975" t="inlineStr">
        <is>
          <t>EM001974</t>
        </is>
      </c>
      <c r="B1975" s="7" t="n">
        <v>46170</v>
      </c>
      <c r="C1975" t="inlineStr">
        <is>
          <t>Gowning</t>
        </is>
      </c>
      <c r="D1975" t="inlineStr">
        <is>
          <t>ISO 8</t>
        </is>
      </c>
      <c r="E1975" t="inlineStr">
        <is>
          <t>Active air</t>
        </is>
      </c>
      <c r="F1975" t="n">
        <v>0</v>
      </c>
      <c r="G1975" t="inlineStr">
        <is>
          <t>Tech C</t>
        </is>
      </c>
      <c r="H1975">
        <f>INDEX(Limits!$B$2:$B$5,MATCH(E1975,Limits!$A$2:$A$5,0))</f>
        <v/>
      </c>
      <c r="I1975">
        <f>INDEX(Limits!$C$2:$C$5,MATCH(E1975,Limits!$A$2:$A$5,0))</f>
        <v/>
      </c>
      <c r="J1975">
        <f>IF(F1975&gt;=I1975,"Action",IF(F1975&gt;=H1975,"Alert","Pass"))</f>
        <v/>
      </c>
      <c r="K1975" s="4">
        <f>DATE(YEAR(B1975),MONTH(B1975),1)</f>
        <v/>
      </c>
    </row>
    <row r="1976">
      <c r="A1976" t="inlineStr">
        <is>
          <t>EM001975</t>
        </is>
      </c>
      <c r="B1976" s="7" t="n">
        <v>46170</v>
      </c>
      <c r="C1976" t="inlineStr">
        <is>
          <t>Gowning</t>
        </is>
      </c>
      <c r="D1976" t="inlineStr">
        <is>
          <t>ISO 8</t>
        </is>
      </c>
      <c r="E1976" t="inlineStr">
        <is>
          <t>Surface contact</t>
        </is>
      </c>
      <c r="F1976" t="n">
        <v>1</v>
      </c>
      <c r="G1976" t="inlineStr">
        <is>
          <t>Tech C</t>
        </is>
      </c>
      <c r="H1976">
        <f>INDEX(Limits!$B$2:$B$5,MATCH(E1976,Limits!$A$2:$A$5,0))</f>
        <v/>
      </c>
      <c r="I1976">
        <f>INDEX(Limits!$C$2:$C$5,MATCH(E1976,Limits!$A$2:$A$5,0))</f>
        <v/>
      </c>
      <c r="J1976">
        <f>IF(F1976&gt;=I1976,"Action",IF(F1976&gt;=H1976,"Alert","Pass"))</f>
        <v/>
      </c>
      <c r="K1976" s="4">
        <f>DATE(YEAR(B1976),MONTH(B1976),1)</f>
        <v/>
      </c>
    </row>
    <row r="1977">
      <c r="A1977" t="inlineStr">
        <is>
          <t>EM001976</t>
        </is>
      </c>
      <c r="B1977" s="7" t="n">
        <v>46170</v>
      </c>
      <c r="C1977" t="inlineStr">
        <is>
          <t>Gowning</t>
        </is>
      </c>
      <c r="D1977" t="inlineStr">
        <is>
          <t>ISO 8</t>
        </is>
      </c>
      <c r="E1977" t="inlineStr">
        <is>
          <t>Personnel glove</t>
        </is>
      </c>
      <c r="F1977" t="n">
        <v>0</v>
      </c>
      <c r="G1977" t="inlineStr">
        <is>
          <t>Tech C</t>
        </is>
      </c>
      <c r="H1977">
        <f>INDEX(Limits!$B$2:$B$5,MATCH(E1977,Limits!$A$2:$A$5,0))</f>
        <v/>
      </c>
      <c r="I1977">
        <f>INDEX(Limits!$C$2:$C$5,MATCH(E1977,Limits!$A$2:$A$5,0))</f>
        <v/>
      </c>
      <c r="J1977">
        <f>IF(F1977&gt;=I1977,"Action",IF(F1977&gt;=H1977,"Alert","Pass"))</f>
        <v/>
      </c>
      <c r="K1977" s="4">
        <f>DATE(YEAR(B1977),MONTH(B1977),1)</f>
        <v/>
      </c>
    </row>
    <row r="1978">
      <c r="A1978" t="inlineStr">
        <is>
          <t>EM001977</t>
        </is>
      </c>
      <c r="B1978" s="7" t="n">
        <v>46171</v>
      </c>
      <c r="C1978" t="inlineStr">
        <is>
          <t>CR-101</t>
        </is>
      </c>
      <c r="D1978" t="inlineStr">
        <is>
          <t>ISO 7</t>
        </is>
      </c>
      <c r="E1978" t="inlineStr">
        <is>
          <t>Active air</t>
        </is>
      </c>
      <c r="F1978" t="n">
        <v>1</v>
      </c>
      <c r="G1978" t="inlineStr">
        <is>
          <t>Tech A</t>
        </is>
      </c>
      <c r="H1978">
        <f>INDEX(Limits!$B$2:$B$5,MATCH(E1978,Limits!$A$2:$A$5,0))</f>
        <v/>
      </c>
      <c r="I1978">
        <f>INDEX(Limits!$C$2:$C$5,MATCH(E1978,Limits!$A$2:$A$5,0))</f>
        <v/>
      </c>
      <c r="J1978">
        <f>IF(F1978&gt;=I1978,"Action",IF(F1978&gt;=H1978,"Alert","Pass"))</f>
        <v/>
      </c>
      <c r="K1978" s="4">
        <f>DATE(YEAR(B1978),MONTH(B1978),1)</f>
        <v/>
      </c>
    </row>
    <row r="1979">
      <c r="A1979" t="inlineStr">
        <is>
          <t>EM001978</t>
        </is>
      </c>
      <c r="B1979" s="7" t="n">
        <v>46171</v>
      </c>
      <c r="C1979" t="inlineStr">
        <is>
          <t>CR-101</t>
        </is>
      </c>
      <c r="D1979" t="inlineStr">
        <is>
          <t>ISO 7</t>
        </is>
      </c>
      <c r="E1979" t="inlineStr">
        <is>
          <t>Surface contact</t>
        </is>
      </c>
      <c r="F1979" t="n">
        <v>0</v>
      </c>
      <c r="G1979" t="inlineStr">
        <is>
          <t>Tech B</t>
        </is>
      </c>
      <c r="H1979">
        <f>INDEX(Limits!$B$2:$B$5,MATCH(E1979,Limits!$A$2:$A$5,0))</f>
        <v/>
      </c>
      <c r="I1979">
        <f>INDEX(Limits!$C$2:$C$5,MATCH(E1979,Limits!$A$2:$A$5,0))</f>
        <v/>
      </c>
      <c r="J1979">
        <f>IF(F1979&gt;=I1979,"Action",IF(F1979&gt;=H1979,"Alert","Pass"))</f>
        <v/>
      </c>
      <c r="K1979" s="4">
        <f>DATE(YEAR(B1979),MONTH(B1979),1)</f>
        <v/>
      </c>
    </row>
    <row r="1980">
      <c r="A1980" t="inlineStr">
        <is>
          <t>EM001979</t>
        </is>
      </c>
      <c r="B1980" s="7" t="n">
        <v>46171</v>
      </c>
      <c r="C1980" t="inlineStr">
        <is>
          <t>CR-101</t>
        </is>
      </c>
      <c r="D1980" t="inlineStr">
        <is>
          <t>ISO 7</t>
        </is>
      </c>
      <c r="E1980" t="inlineStr">
        <is>
          <t>Compressed air</t>
        </is>
      </c>
      <c r="F1980" t="n">
        <v>0</v>
      </c>
      <c r="G1980" t="inlineStr">
        <is>
          <t>Tech C</t>
        </is>
      </c>
      <c r="H1980">
        <f>INDEX(Limits!$B$2:$B$5,MATCH(E1980,Limits!$A$2:$A$5,0))</f>
        <v/>
      </c>
      <c r="I1980">
        <f>INDEX(Limits!$C$2:$C$5,MATCH(E1980,Limits!$A$2:$A$5,0))</f>
        <v/>
      </c>
      <c r="J1980">
        <f>IF(F1980&gt;=I1980,"Action",IF(F1980&gt;=H1980,"Alert","Pass"))</f>
        <v/>
      </c>
      <c r="K1980" s="4">
        <f>DATE(YEAR(B1980),MONTH(B1980),1)</f>
        <v/>
      </c>
    </row>
    <row r="1981">
      <c r="A1981" t="inlineStr">
        <is>
          <t>EM001980</t>
        </is>
      </c>
      <c r="B1981" s="7" t="n">
        <v>46171</v>
      </c>
      <c r="C1981" t="inlineStr">
        <is>
          <t>CR-101</t>
        </is>
      </c>
      <c r="D1981" t="inlineStr">
        <is>
          <t>ISO 7</t>
        </is>
      </c>
      <c r="E1981" t="inlineStr">
        <is>
          <t>Personnel glove</t>
        </is>
      </c>
      <c r="F1981" t="n">
        <v>0</v>
      </c>
      <c r="G1981" t="inlineStr">
        <is>
          <t>Tech B</t>
        </is>
      </c>
      <c r="H1981">
        <f>INDEX(Limits!$B$2:$B$5,MATCH(E1981,Limits!$A$2:$A$5,0))</f>
        <v/>
      </c>
      <c r="I1981">
        <f>INDEX(Limits!$C$2:$C$5,MATCH(E1981,Limits!$A$2:$A$5,0))</f>
        <v/>
      </c>
      <c r="J1981">
        <f>IF(F1981&gt;=I1981,"Action",IF(F1981&gt;=H1981,"Alert","Pass"))</f>
        <v/>
      </c>
      <c r="K1981" s="4">
        <f>DATE(YEAR(B1981),MONTH(B1981),1)</f>
        <v/>
      </c>
    </row>
    <row r="1982">
      <c r="A1982" t="inlineStr">
        <is>
          <t>EM001981</t>
        </is>
      </c>
      <c r="B1982" s="7" t="n">
        <v>46171</v>
      </c>
      <c r="C1982" t="inlineStr">
        <is>
          <t>CR-102</t>
        </is>
      </c>
      <c r="D1982" t="inlineStr">
        <is>
          <t>ISO 7</t>
        </is>
      </c>
      <c r="E1982" t="inlineStr">
        <is>
          <t>Active air</t>
        </is>
      </c>
      <c r="F1982" t="n">
        <v>1</v>
      </c>
      <c r="G1982" t="inlineStr">
        <is>
          <t>Tech A</t>
        </is>
      </c>
      <c r="H1982">
        <f>INDEX(Limits!$B$2:$B$5,MATCH(E1982,Limits!$A$2:$A$5,0))</f>
        <v/>
      </c>
      <c r="I1982">
        <f>INDEX(Limits!$C$2:$C$5,MATCH(E1982,Limits!$A$2:$A$5,0))</f>
        <v/>
      </c>
      <c r="J1982">
        <f>IF(F1982&gt;=I1982,"Action",IF(F1982&gt;=H1982,"Alert","Pass"))</f>
        <v/>
      </c>
      <c r="K1982" s="4">
        <f>DATE(YEAR(B1982),MONTH(B1982),1)</f>
        <v/>
      </c>
    </row>
    <row r="1983">
      <c r="A1983" t="inlineStr">
        <is>
          <t>EM001982</t>
        </is>
      </c>
      <c r="B1983" s="7" t="n">
        <v>46171</v>
      </c>
      <c r="C1983" t="inlineStr">
        <is>
          <t>CR-102</t>
        </is>
      </c>
      <c r="D1983" t="inlineStr">
        <is>
          <t>ISO 7</t>
        </is>
      </c>
      <c r="E1983" t="inlineStr">
        <is>
          <t>Surface contact</t>
        </is>
      </c>
      <c r="F1983" t="n">
        <v>2</v>
      </c>
      <c r="G1983" t="inlineStr">
        <is>
          <t>Tech D</t>
        </is>
      </c>
      <c r="H1983">
        <f>INDEX(Limits!$B$2:$B$5,MATCH(E1983,Limits!$A$2:$A$5,0))</f>
        <v/>
      </c>
      <c r="I1983">
        <f>INDEX(Limits!$C$2:$C$5,MATCH(E1983,Limits!$A$2:$A$5,0))</f>
        <v/>
      </c>
      <c r="J1983">
        <f>IF(F1983&gt;=I1983,"Action",IF(F1983&gt;=H1983,"Alert","Pass"))</f>
        <v/>
      </c>
      <c r="K1983" s="4">
        <f>DATE(YEAR(B1983),MONTH(B1983),1)</f>
        <v/>
      </c>
    </row>
    <row r="1984">
      <c r="A1984" t="inlineStr">
        <is>
          <t>EM001983</t>
        </is>
      </c>
      <c r="B1984" s="7" t="n">
        <v>46171</v>
      </c>
      <c r="C1984" t="inlineStr">
        <is>
          <t>CR-102</t>
        </is>
      </c>
      <c r="D1984" t="inlineStr">
        <is>
          <t>ISO 7</t>
        </is>
      </c>
      <c r="E1984" t="inlineStr">
        <is>
          <t>Compressed air</t>
        </is>
      </c>
      <c r="F1984" t="n">
        <v>0</v>
      </c>
      <c r="G1984" t="inlineStr">
        <is>
          <t>Tech C</t>
        </is>
      </c>
      <c r="H1984">
        <f>INDEX(Limits!$B$2:$B$5,MATCH(E1984,Limits!$A$2:$A$5,0))</f>
        <v/>
      </c>
      <c r="I1984">
        <f>INDEX(Limits!$C$2:$C$5,MATCH(E1984,Limits!$A$2:$A$5,0))</f>
        <v/>
      </c>
      <c r="J1984">
        <f>IF(F1984&gt;=I1984,"Action",IF(F1984&gt;=H1984,"Alert","Pass"))</f>
        <v/>
      </c>
      <c r="K1984" s="4">
        <f>DATE(YEAR(B1984),MONTH(B1984),1)</f>
        <v/>
      </c>
    </row>
    <row r="1985">
      <c r="A1985" t="inlineStr">
        <is>
          <t>EM001984</t>
        </is>
      </c>
      <c r="B1985" s="7" t="n">
        <v>46171</v>
      </c>
      <c r="C1985" t="inlineStr">
        <is>
          <t>CR-102</t>
        </is>
      </c>
      <c r="D1985" t="inlineStr">
        <is>
          <t>ISO 7</t>
        </is>
      </c>
      <c r="E1985" t="inlineStr">
        <is>
          <t>Personnel glove</t>
        </is>
      </c>
      <c r="F1985" t="n">
        <v>0</v>
      </c>
      <c r="G1985" t="inlineStr">
        <is>
          <t>Tech D</t>
        </is>
      </c>
      <c r="H1985">
        <f>INDEX(Limits!$B$2:$B$5,MATCH(E1985,Limits!$A$2:$A$5,0))</f>
        <v/>
      </c>
      <c r="I1985">
        <f>INDEX(Limits!$C$2:$C$5,MATCH(E1985,Limits!$A$2:$A$5,0))</f>
        <v/>
      </c>
      <c r="J1985">
        <f>IF(F1985&gt;=I1985,"Action",IF(F1985&gt;=H1985,"Alert","Pass"))</f>
        <v/>
      </c>
      <c r="K1985" s="4">
        <f>DATE(YEAR(B1985),MONTH(B1985),1)</f>
        <v/>
      </c>
    </row>
    <row r="1986">
      <c r="A1986" t="inlineStr">
        <is>
          <t>EM001985</t>
        </is>
      </c>
      <c r="B1986" s="7" t="n">
        <v>46171</v>
      </c>
      <c r="C1986" t="inlineStr">
        <is>
          <t>CR-201</t>
        </is>
      </c>
      <c r="D1986" t="inlineStr">
        <is>
          <t>ISO 8</t>
        </is>
      </c>
      <c r="E1986" t="inlineStr">
        <is>
          <t>Active air</t>
        </is>
      </c>
      <c r="F1986" t="n">
        <v>0</v>
      </c>
      <c r="G1986" t="inlineStr">
        <is>
          <t>Tech B</t>
        </is>
      </c>
      <c r="H1986">
        <f>INDEX(Limits!$B$2:$B$5,MATCH(E1986,Limits!$A$2:$A$5,0))</f>
        <v/>
      </c>
      <c r="I1986">
        <f>INDEX(Limits!$C$2:$C$5,MATCH(E1986,Limits!$A$2:$A$5,0))</f>
        <v/>
      </c>
      <c r="J1986">
        <f>IF(F1986&gt;=I1986,"Action",IF(F1986&gt;=H1986,"Alert","Pass"))</f>
        <v/>
      </c>
      <c r="K1986" s="4">
        <f>DATE(YEAR(B1986),MONTH(B1986),1)</f>
        <v/>
      </c>
    </row>
    <row r="1987">
      <c r="A1987" t="inlineStr">
        <is>
          <t>EM001986</t>
        </is>
      </c>
      <c r="B1987" s="7" t="n">
        <v>46171</v>
      </c>
      <c r="C1987" t="inlineStr">
        <is>
          <t>CR-201</t>
        </is>
      </c>
      <c r="D1987" t="inlineStr">
        <is>
          <t>ISO 8</t>
        </is>
      </c>
      <c r="E1987" t="inlineStr">
        <is>
          <t>Surface contact</t>
        </is>
      </c>
      <c r="F1987" t="n">
        <v>1</v>
      </c>
      <c r="G1987" t="inlineStr">
        <is>
          <t>Tech D</t>
        </is>
      </c>
      <c r="H1987">
        <f>INDEX(Limits!$B$2:$B$5,MATCH(E1987,Limits!$A$2:$A$5,0))</f>
        <v/>
      </c>
      <c r="I1987">
        <f>INDEX(Limits!$C$2:$C$5,MATCH(E1987,Limits!$A$2:$A$5,0))</f>
        <v/>
      </c>
      <c r="J1987">
        <f>IF(F1987&gt;=I1987,"Action",IF(F1987&gt;=H1987,"Alert","Pass"))</f>
        <v/>
      </c>
      <c r="K1987" s="4">
        <f>DATE(YEAR(B1987),MONTH(B1987),1)</f>
        <v/>
      </c>
    </row>
    <row r="1988">
      <c r="A1988" t="inlineStr">
        <is>
          <t>EM001987</t>
        </is>
      </c>
      <c r="B1988" s="7" t="n">
        <v>46171</v>
      </c>
      <c r="C1988" t="inlineStr">
        <is>
          <t>CR-201</t>
        </is>
      </c>
      <c r="D1988" t="inlineStr">
        <is>
          <t>ISO 8</t>
        </is>
      </c>
      <c r="E1988" t="inlineStr">
        <is>
          <t>Compressed air</t>
        </is>
      </c>
      <c r="F1988" t="n">
        <v>0</v>
      </c>
      <c r="G1988" t="inlineStr">
        <is>
          <t>Tech A</t>
        </is>
      </c>
      <c r="H1988">
        <f>INDEX(Limits!$B$2:$B$5,MATCH(E1988,Limits!$A$2:$A$5,0))</f>
        <v/>
      </c>
      <c r="I1988">
        <f>INDEX(Limits!$C$2:$C$5,MATCH(E1988,Limits!$A$2:$A$5,0))</f>
        <v/>
      </c>
      <c r="J1988">
        <f>IF(F1988&gt;=I1988,"Action",IF(F1988&gt;=H1988,"Alert","Pass"))</f>
        <v/>
      </c>
      <c r="K1988" s="4">
        <f>DATE(YEAR(B1988),MONTH(B1988),1)</f>
        <v/>
      </c>
    </row>
    <row r="1989">
      <c r="A1989" t="inlineStr">
        <is>
          <t>EM001988</t>
        </is>
      </c>
      <c r="B1989" s="7" t="n">
        <v>46171</v>
      </c>
      <c r="C1989" t="inlineStr">
        <is>
          <t>CR-201</t>
        </is>
      </c>
      <c r="D1989" t="inlineStr">
        <is>
          <t>ISO 8</t>
        </is>
      </c>
      <c r="E1989" t="inlineStr">
        <is>
          <t>Personnel glove</t>
        </is>
      </c>
      <c r="F1989" t="n">
        <v>0</v>
      </c>
      <c r="G1989" t="inlineStr">
        <is>
          <t>Tech A</t>
        </is>
      </c>
      <c r="H1989">
        <f>INDEX(Limits!$B$2:$B$5,MATCH(E1989,Limits!$A$2:$A$5,0))</f>
        <v/>
      </c>
      <c r="I1989">
        <f>INDEX(Limits!$C$2:$C$5,MATCH(E1989,Limits!$A$2:$A$5,0))</f>
        <v/>
      </c>
      <c r="J1989">
        <f>IF(F1989&gt;=I1989,"Action",IF(F1989&gt;=H1989,"Alert","Pass"))</f>
        <v/>
      </c>
      <c r="K1989" s="4">
        <f>DATE(YEAR(B1989),MONTH(B1989),1)</f>
        <v/>
      </c>
    </row>
    <row r="1990">
      <c r="A1990" t="inlineStr">
        <is>
          <t>EM001989</t>
        </is>
      </c>
      <c r="B1990" s="7" t="n">
        <v>46171</v>
      </c>
      <c r="C1990" t="inlineStr">
        <is>
          <t>CR-202</t>
        </is>
      </c>
      <c r="D1990" t="inlineStr">
        <is>
          <t>ISO 8</t>
        </is>
      </c>
      <c r="E1990" t="inlineStr">
        <is>
          <t>Active air</t>
        </is>
      </c>
      <c r="F1990" t="n">
        <v>0</v>
      </c>
      <c r="G1990" t="inlineStr">
        <is>
          <t>Tech D</t>
        </is>
      </c>
      <c r="H1990">
        <f>INDEX(Limits!$B$2:$B$5,MATCH(E1990,Limits!$A$2:$A$5,0))</f>
        <v/>
      </c>
      <c r="I1990">
        <f>INDEX(Limits!$C$2:$C$5,MATCH(E1990,Limits!$A$2:$A$5,0))</f>
        <v/>
      </c>
      <c r="J1990">
        <f>IF(F1990&gt;=I1990,"Action",IF(F1990&gt;=H1990,"Alert","Pass"))</f>
        <v/>
      </c>
      <c r="K1990" s="4">
        <f>DATE(YEAR(B1990),MONTH(B1990),1)</f>
        <v/>
      </c>
    </row>
    <row r="1991">
      <c r="A1991" t="inlineStr">
        <is>
          <t>EM001990</t>
        </is>
      </c>
      <c r="B1991" s="7" t="n">
        <v>46171</v>
      </c>
      <c r="C1991" t="inlineStr">
        <is>
          <t>CR-202</t>
        </is>
      </c>
      <c r="D1991" t="inlineStr">
        <is>
          <t>ISO 8</t>
        </is>
      </c>
      <c r="E1991" t="inlineStr">
        <is>
          <t>Surface contact</t>
        </is>
      </c>
      <c r="F1991" t="n">
        <v>0</v>
      </c>
      <c r="G1991" t="inlineStr">
        <is>
          <t>Tech D</t>
        </is>
      </c>
      <c r="H1991">
        <f>INDEX(Limits!$B$2:$B$5,MATCH(E1991,Limits!$A$2:$A$5,0))</f>
        <v/>
      </c>
      <c r="I1991">
        <f>INDEX(Limits!$C$2:$C$5,MATCH(E1991,Limits!$A$2:$A$5,0))</f>
        <v/>
      </c>
      <c r="J1991">
        <f>IF(F1991&gt;=I1991,"Action",IF(F1991&gt;=H1991,"Alert","Pass"))</f>
        <v/>
      </c>
      <c r="K1991" s="4">
        <f>DATE(YEAR(B1991),MONTH(B1991),1)</f>
        <v/>
      </c>
    </row>
    <row r="1992">
      <c r="A1992" t="inlineStr">
        <is>
          <t>EM001991</t>
        </is>
      </c>
      <c r="B1992" s="7" t="n">
        <v>46171</v>
      </c>
      <c r="C1992" t="inlineStr">
        <is>
          <t>CR-202</t>
        </is>
      </c>
      <c r="D1992" t="inlineStr">
        <is>
          <t>ISO 8</t>
        </is>
      </c>
      <c r="E1992" t="inlineStr">
        <is>
          <t>Compressed air</t>
        </is>
      </c>
      <c r="F1992" t="n">
        <v>0</v>
      </c>
      <c r="G1992" t="inlineStr">
        <is>
          <t>Tech B</t>
        </is>
      </c>
      <c r="H1992">
        <f>INDEX(Limits!$B$2:$B$5,MATCH(E1992,Limits!$A$2:$A$5,0))</f>
        <v/>
      </c>
      <c r="I1992">
        <f>INDEX(Limits!$C$2:$C$5,MATCH(E1992,Limits!$A$2:$A$5,0))</f>
        <v/>
      </c>
      <c r="J1992">
        <f>IF(F1992&gt;=I1992,"Action",IF(F1992&gt;=H1992,"Alert","Pass"))</f>
        <v/>
      </c>
      <c r="K1992" s="4">
        <f>DATE(YEAR(B1992),MONTH(B1992),1)</f>
        <v/>
      </c>
    </row>
    <row r="1993">
      <c r="A1993" t="inlineStr">
        <is>
          <t>EM001992</t>
        </is>
      </c>
      <c r="B1993" s="7" t="n">
        <v>46171</v>
      </c>
      <c r="C1993" t="inlineStr">
        <is>
          <t>CR-202</t>
        </is>
      </c>
      <c r="D1993" t="inlineStr">
        <is>
          <t>ISO 8</t>
        </is>
      </c>
      <c r="E1993" t="inlineStr">
        <is>
          <t>Personnel glove</t>
        </is>
      </c>
      <c r="F1993" t="n">
        <v>0</v>
      </c>
      <c r="G1993" t="inlineStr">
        <is>
          <t>Tech D</t>
        </is>
      </c>
      <c r="H1993">
        <f>INDEX(Limits!$B$2:$B$5,MATCH(E1993,Limits!$A$2:$A$5,0))</f>
        <v/>
      </c>
      <c r="I1993">
        <f>INDEX(Limits!$C$2:$C$5,MATCH(E1993,Limits!$A$2:$A$5,0))</f>
        <v/>
      </c>
      <c r="J1993">
        <f>IF(F1993&gt;=I1993,"Action",IF(F1993&gt;=H1993,"Alert","Pass"))</f>
        <v/>
      </c>
      <c r="K1993" s="4">
        <f>DATE(YEAR(B1993),MONTH(B1993),1)</f>
        <v/>
      </c>
    </row>
    <row r="1994">
      <c r="A1994" t="inlineStr">
        <is>
          <t>EM001993</t>
        </is>
      </c>
      <c r="B1994" s="7" t="n">
        <v>46171</v>
      </c>
      <c r="C1994" t="inlineStr">
        <is>
          <t>Gowning</t>
        </is>
      </c>
      <c r="D1994" t="inlineStr">
        <is>
          <t>ISO 8</t>
        </is>
      </c>
      <c r="E1994" t="inlineStr">
        <is>
          <t>Active air</t>
        </is>
      </c>
      <c r="F1994" t="n">
        <v>2</v>
      </c>
      <c r="G1994" t="inlineStr">
        <is>
          <t>Tech D</t>
        </is>
      </c>
      <c r="H1994">
        <f>INDEX(Limits!$B$2:$B$5,MATCH(E1994,Limits!$A$2:$A$5,0))</f>
        <v/>
      </c>
      <c r="I1994">
        <f>INDEX(Limits!$C$2:$C$5,MATCH(E1994,Limits!$A$2:$A$5,0))</f>
        <v/>
      </c>
      <c r="J1994">
        <f>IF(F1994&gt;=I1994,"Action",IF(F1994&gt;=H1994,"Alert","Pass"))</f>
        <v/>
      </c>
      <c r="K1994" s="4">
        <f>DATE(YEAR(B1994),MONTH(B1994),1)</f>
        <v/>
      </c>
    </row>
    <row r="1995">
      <c r="A1995" t="inlineStr">
        <is>
          <t>EM001994</t>
        </is>
      </c>
      <c r="B1995" s="7" t="n">
        <v>46171</v>
      </c>
      <c r="C1995" t="inlineStr">
        <is>
          <t>Gowning</t>
        </is>
      </c>
      <c r="D1995" t="inlineStr">
        <is>
          <t>ISO 8</t>
        </is>
      </c>
      <c r="E1995" t="inlineStr">
        <is>
          <t>Surface contact</t>
        </is>
      </c>
      <c r="F1995" t="n">
        <v>0</v>
      </c>
      <c r="G1995" t="inlineStr">
        <is>
          <t>Tech C</t>
        </is>
      </c>
      <c r="H1995">
        <f>INDEX(Limits!$B$2:$B$5,MATCH(E1995,Limits!$A$2:$A$5,0))</f>
        <v/>
      </c>
      <c r="I1995">
        <f>INDEX(Limits!$C$2:$C$5,MATCH(E1995,Limits!$A$2:$A$5,0))</f>
        <v/>
      </c>
      <c r="J1995">
        <f>IF(F1995&gt;=I1995,"Action",IF(F1995&gt;=H1995,"Alert","Pass"))</f>
        <v/>
      </c>
      <c r="K1995" s="4">
        <f>DATE(YEAR(B1995),MONTH(B1995),1)</f>
        <v/>
      </c>
    </row>
    <row r="1996">
      <c r="A1996" t="inlineStr">
        <is>
          <t>EM001995</t>
        </is>
      </c>
      <c r="B1996" s="7" t="n">
        <v>46171</v>
      </c>
      <c r="C1996" t="inlineStr">
        <is>
          <t>Gowning</t>
        </is>
      </c>
      <c r="D1996" t="inlineStr">
        <is>
          <t>ISO 8</t>
        </is>
      </c>
      <c r="E1996" t="inlineStr">
        <is>
          <t>Personnel glove</t>
        </is>
      </c>
      <c r="F1996" t="n">
        <v>0</v>
      </c>
      <c r="G1996" t="inlineStr">
        <is>
          <t>Tech C</t>
        </is>
      </c>
      <c r="H1996">
        <f>INDEX(Limits!$B$2:$B$5,MATCH(E1996,Limits!$A$2:$A$5,0))</f>
        <v/>
      </c>
      <c r="I1996">
        <f>INDEX(Limits!$C$2:$C$5,MATCH(E1996,Limits!$A$2:$A$5,0))</f>
        <v/>
      </c>
      <c r="J1996">
        <f>IF(F1996&gt;=I1996,"Action",IF(F1996&gt;=H1996,"Alert","Pass"))</f>
        <v/>
      </c>
      <c r="K1996" s="4">
        <f>DATE(YEAR(B1996),MONTH(B1996),1)</f>
        <v/>
      </c>
    </row>
    <row r="1997">
      <c r="A1997" t="inlineStr">
        <is>
          <t>EM001996</t>
        </is>
      </c>
      <c r="B1997" s="7" t="n">
        <v>46174</v>
      </c>
      <c r="C1997" t="inlineStr">
        <is>
          <t>CR-101</t>
        </is>
      </c>
      <c r="D1997" t="inlineStr">
        <is>
          <t>ISO 7</t>
        </is>
      </c>
      <c r="E1997" t="inlineStr">
        <is>
          <t>Active air</t>
        </is>
      </c>
      <c r="F1997" t="n">
        <v>1</v>
      </c>
      <c r="G1997" t="inlineStr">
        <is>
          <t>Tech B</t>
        </is>
      </c>
      <c r="H1997">
        <f>INDEX(Limits!$B$2:$B$5,MATCH(E1997,Limits!$A$2:$A$5,0))</f>
        <v/>
      </c>
      <c r="I1997">
        <f>INDEX(Limits!$C$2:$C$5,MATCH(E1997,Limits!$A$2:$A$5,0))</f>
        <v/>
      </c>
      <c r="J1997">
        <f>IF(F1997&gt;=I1997,"Action",IF(F1997&gt;=H1997,"Alert","Pass"))</f>
        <v/>
      </c>
      <c r="K1997" s="4">
        <f>DATE(YEAR(B1997),MONTH(B1997),1)</f>
        <v/>
      </c>
    </row>
    <row r="1998">
      <c r="A1998" t="inlineStr">
        <is>
          <t>EM001997</t>
        </is>
      </c>
      <c r="B1998" s="7" t="n">
        <v>46174</v>
      </c>
      <c r="C1998" t="inlineStr">
        <is>
          <t>CR-101</t>
        </is>
      </c>
      <c r="D1998" t="inlineStr">
        <is>
          <t>ISO 7</t>
        </is>
      </c>
      <c r="E1998" t="inlineStr">
        <is>
          <t>Surface contact</t>
        </is>
      </c>
      <c r="F1998" t="n">
        <v>0</v>
      </c>
      <c r="G1998" t="inlineStr">
        <is>
          <t>Tech B</t>
        </is>
      </c>
      <c r="H1998">
        <f>INDEX(Limits!$B$2:$B$5,MATCH(E1998,Limits!$A$2:$A$5,0))</f>
        <v/>
      </c>
      <c r="I1998">
        <f>INDEX(Limits!$C$2:$C$5,MATCH(E1998,Limits!$A$2:$A$5,0))</f>
        <v/>
      </c>
      <c r="J1998">
        <f>IF(F1998&gt;=I1998,"Action",IF(F1998&gt;=H1998,"Alert","Pass"))</f>
        <v/>
      </c>
      <c r="K1998" s="4">
        <f>DATE(YEAR(B1998),MONTH(B1998),1)</f>
        <v/>
      </c>
    </row>
    <row r="1999">
      <c r="A1999" t="inlineStr">
        <is>
          <t>EM001998</t>
        </is>
      </c>
      <c r="B1999" s="7" t="n">
        <v>46174</v>
      </c>
      <c r="C1999" t="inlineStr">
        <is>
          <t>CR-101</t>
        </is>
      </c>
      <c r="D1999" t="inlineStr">
        <is>
          <t>ISO 7</t>
        </is>
      </c>
      <c r="E1999" t="inlineStr">
        <is>
          <t>Compressed air</t>
        </is>
      </c>
      <c r="F1999" t="n">
        <v>0</v>
      </c>
      <c r="G1999" t="inlineStr">
        <is>
          <t>Tech C</t>
        </is>
      </c>
      <c r="H1999">
        <f>INDEX(Limits!$B$2:$B$5,MATCH(E1999,Limits!$A$2:$A$5,0))</f>
        <v/>
      </c>
      <c r="I1999">
        <f>INDEX(Limits!$C$2:$C$5,MATCH(E1999,Limits!$A$2:$A$5,0))</f>
        <v/>
      </c>
      <c r="J1999">
        <f>IF(F1999&gt;=I1999,"Action",IF(F1999&gt;=H1999,"Alert","Pass"))</f>
        <v/>
      </c>
      <c r="K1999" s="4">
        <f>DATE(YEAR(B1999),MONTH(B1999),1)</f>
        <v/>
      </c>
    </row>
    <row r="2000">
      <c r="A2000" t="inlineStr">
        <is>
          <t>EM001999</t>
        </is>
      </c>
      <c r="B2000" s="7" t="n">
        <v>46174</v>
      </c>
      <c r="C2000" t="inlineStr">
        <is>
          <t>CR-101</t>
        </is>
      </c>
      <c r="D2000" t="inlineStr">
        <is>
          <t>ISO 7</t>
        </is>
      </c>
      <c r="E2000" t="inlineStr">
        <is>
          <t>Personnel glove</t>
        </is>
      </c>
      <c r="F2000" t="n">
        <v>0</v>
      </c>
      <c r="G2000" t="inlineStr">
        <is>
          <t>Tech C</t>
        </is>
      </c>
      <c r="H2000">
        <f>INDEX(Limits!$B$2:$B$5,MATCH(E2000,Limits!$A$2:$A$5,0))</f>
        <v/>
      </c>
      <c r="I2000">
        <f>INDEX(Limits!$C$2:$C$5,MATCH(E2000,Limits!$A$2:$A$5,0))</f>
        <v/>
      </c>
      <c r="J2000">
        <f>IF(F2000&gt;=I2000,"Action",IF(F2000&gt;=H2000,"Alert","Pass"))</f>
        <v/>
      </c>
      <c r="K2000" s="4">
        <f>DATE(YEAR(B2000),MONTH(B2000),1)</f>
        <v/>
      </c>
    </row>
    <row r="2001">
      <c r="A2001" t="inlineStr">
        <is>
          <t>EM002000</t>
        </is>
      </c>
      <c r="B2001" s="7" t="n">
        <v>46174</v>
      </c>
      <c r="C2001" t="inlineStr">
        <is>
          <t>CR-102</t>
        </is>
      </c>
      <c r="D2001" t="inlineStr">
        <is>
          <t>ISO 7</t>
        </is>
      </c>
      <c r="E2001" t="inlineStr">
        <is>
          <t>Active air</t>
        </is>
      </c>
      <c r="F2001" t="n">
        <v>0</v>
      </c>
      <c r="G2001" t="inlineStr">
        <is>
          <t>Tech B</t>
        </is>
      </c>
      <c r="H2001">
        <f>INDEX(Limits!$B$2:$B$5,MATCH(E2001,Limits!$A$2:$A$5,0))</f>
        <v/>
      </c>
      <c r="I2001">
        <f>INDEX(Limits!$C$2:$C$5,MATCH(E2001,Limits!$A$2:$A$5,0))</f>
        <v/>
      </c>
      <c r="J2001">
        <f>IF(F2001&gt;=I2001,"Action",IF(F2001&gt;=H2001,"Alert","Pass"))</f>
        <v/>
      </c>
      <c r="K2001" s="4">
        <f>DATE(YEAR(B2001),MONTH(B2001),1)</f>
        <v/>
      </c>
    </row>
    <row r="2002">
      <c r="A2002" t="inlineStr">
        <is>
          <t>EM002001</t>
        </is>
      </c>
      <c r="B2002" s="7" t="n">
        <v>46174</v>
      </c>
      <c r="C2002" t="inlineStr">
        <is>
          <t>CR-102</t>
        </is>
      </c>
      <c r="D2002" t="inlineStr">
        <is>
          <t>ISO 7</t>
        </is>
      </c>
      <c r="E2002" t="inlineStr">
        <is>
          <t>Surface contact</t>
        </is>
      </c>
      <c r="F2002" t="n">
        <v>1</v>
      </c>
      <c r="G2002" t="inlineStr">
        <is>
          <t>Tech C</t>
        </is>
      </c>
      <c r="H2002">
        <f>INDEX(Limits!$B$2:$B$5,MATCH(E2002,Limits!$A$2:$A$5,0))</f>
        <v/>
      </c>
      <c r="I2002">
        <f>INDEX(Limits!$C$2:$C$5,MATCH(E2002,Limits!$A$2:$A$5,0))</f>
        <v/>
      </c>
      <c r="J2002">
        <f>IF(F2002&gt;=I2002,"Action",IF(F2002&gt;=H2002,"Alert","Pass"))</f>
        <v/>
      </c>
      <c r="K2002" s="4">
        <f>DATE(YEAR(B2002),MONTH(B2002),1)</f>
        <v/>
      </c>
    </row>
    <row r="2003">
      <c r="A2003" t="inlineStr">
        <is>
          <t>EM002002</t>
        </is>
      </c>
      <c r="B2003" s="7" t="n">
        <v>46174</v>
      </c>
      <c r="C2003" t="inlineStr">
        <is>
          <t>CR-102</t>
        </is>
      </c>
      <c r="D2003" t="inlineStr">
        <is>
          <t>ISO 7</t>
        </is>
      </c>
      <c r="E2003" t="inlineStr">
        <is>
          <t>Compressed air</t>
        </is>
      </c>
      <c r="F2003" t="n">
        <v>0</v>
      </c>
      <c r="G2003" t="inlineStr">
        <is>
          <t>Tech A</t>
        </is>
      </c>
      <c r="H2003">
        <f>INDEX(Limits!$B$2:$B$5,MATCH(E2003,Limits!$A$2:$A$5,0))</f>
        <v/>
      </c>
      <c r="I2003">
        <f>INDEX(Limits!$C$2:$C$5,MATCH(E2003,Limits!$A$2:$A$5,0))</f>
        <v/>
      </c>
      <c r="J2003">
        <f>IF(F2003&gt;=I2003,"Action",IF(F2003&gt;=H2003,"Alert","Pass"))</f>
        <v/>
      </c>
      <c r="K2003" s="4">
        <f>DATE(YEAR(B2003),MONTH(B2003),1)</f>
        <v/>
      </c>
    </row>
    <row r="2004">
      <c r="A2004" t="inlineStr">
        <is>
          <t>EM002003</t>
        </is>
      </c>
      <c r="B2004" s="7" t="n">
        <v>46174</v>
      </c>
      <c r="C2004" t="inlineStr">
        <is>
          <t>CR-102</t>
        </is>
      </c>
      <c r="D2004" t="inlineStr">
        <is>
          <t>ISO 7</t>
        </is>
      </c>
      <c r="E2004" t="inlineStr">
        <is>
          <t>Personnel glove</t>
        </is>
      </c>
      <c r="F2004" t="n">
        <v>0</v>
      </c>
      <c r="G2004" t="inlineStr">
        <is>
          <t>Tech D</t>
        </is>
      </c>
      <c r="H2004">
        <f>INDEX(Limits!$B$2:$B$5,MATCH(E2004,Limits!$A$2:$A$5,0))</f>
        <v/>
      </c>
      <c r="I2004">
        <f>INDEX(Limits!$C$2:$C$5,MATCH(E2004,Limits!$A$2:$A$5,0))</f>
        <v/>
      </c>
      <c r="J2004">
        <f>IF(F2004&gt;=I2004,"Action",IF(F2004&gt;=H2004,"Alert","Pass"))</f>
        <v/>
      </c>
      <c r="K2004" s="4">
        <f>DATE(YEAR(B2004),MONTH(B2004),1)</f>
        <v/>
      </c>
    </row>
    <row r="2005">
      <c r="A2005" t="inlineStr">
        <is>
          <t>EM002004</t>
        </is>
      </c>
      <c r="B2005" s="7" t="n">
        <v>46174</v>
      </c>
      <c r="C2005" t="inlineStr">
        <is>
          <t>CR-201</t>
        </is>
      </c>
      <c r="D2005" t="inlineStr">
        <is>
          <t>ISO 8</t>
        </is>
      </c>
      <c r="E2005" t="inlineStr">
        <is>
          <t>Active air</t>
        </is>
      </c>
      <c r="F2005" t="n">
        <v>1</v>
      </c>
      <c r="G2005" t="inlineStr">
        <is>
          <t>Tech A</t>
        </is>
      </c>
      <c r="H2005">
        <f>INDEX(Limits!$B$2:$B$5,MATCH(E2005,Limits!$A$2:$A$5,0))</f>
        <v/>
      </c>
      <c r="I2005">
        <f>INDEX(Limits!$C$2:$C$5,MATCH(E2005,Limits!$A$2:$A$5,0))</f>
        <v/>
      </c>
      <c r="J2005">
        <f>IF(F2005&gt;=I2005,"Action",IF(F2005&gt;=H2005,"Alert","Pass"))</f>
        <v/>
      </c>
      <c r="K2005" s="4">
        <f>DATE(YEAR(B2005),MONTH(B2005),1)</f>
        <v/>
      </c>
    </row>
    <row r="2006">
      <c r="A2006" t="inlineStr">
        <is>
          <t>EM002005</t>
        </is>
      </c>
      <c r="B2006" s="7" t="n">
        <v>46174</v>
      </c>
      <c r="C2006" t="inlineStr">
        <is>
          <t>CR-201</t>
        </is>
      </c>
      <c r="D2006" t="inlineStr">
        <is>
          <t>ISO 8</t>
        </is>
      </c>
      <c r="E2006" t="inlineStr">
        <is>
          <t>Surface contact</t>
        </is>
      </c>
      <c r="F2006" t="n">
        <v>0</v>
      </c>
      <c r="G2006" t="inlineStr">
        <is>
          <t>Tech C</t>
        </is>
      </c>
      <c r="H2006">
        <f>INDEX(Limits!$B$2:$B$5,MATCH(E2006,Limits!$A$2:$A$5,0))</f>
        <v/>
      </c>
      <c r="I2006">
        <f>INDEX(Limits!$C$2:$C$5,MATCH(E2006,Limits!$A$2:$A$5,0))</f>
        <v/>
      </c>
      <c r="J2006">
        <f>IF(F2006&gt;=I2006,"Action",IF(F2006&gt;=H2006,"Alert","Pass"))</f>
        <v/>
      </c>
      <c r="K2006" s="4">
        <f>DATE(YEAR(B2006),MONTH(B2006),1)</f>
        <v/>
      </c>
    </row>
    <row r="2007">
      <c r="A2007" t="inlineStr">
        <is>
          <t>EM002006</t>
        </is>
      </c>
      <c r="B2007" s="7" t="n">
        <v>46174</v>
      </c>
      <c r="C2007" t="inlineStr">
        <is>
          <t>CR-201</t>
        </is>
      </c>
      <c r="D2007" t="inlineStr">
        <is>
          <t>ISO 8</t>
        </is>
      </c>
      <c r="E2007" t="inlineStr">
        <is>
          <t>Compressed air</t>
        </is>
      </c>
      <c r="F2007" t="n">
        <v>0</v>
      </c>
      <c r="G2007" t="inlineStr">
        <is>
          <t>Tech D</t>
        </is>
      </c>
      <c r="H2007">
        <f>INDEX(Limits!$B$2:$B$5,MATCH(E2007,Limits!$A$2:$A$5,0))</f>
        <v/>
      </c>
      <c r="I2007">
        <f>INDEX(Limits!$C$2:$C$5,MATCH(E2007,Limits!$A$2:$A$5,0))</f>
        <v/>
      </c>
      <c r="J2007">
        <f>IF(F2007&gt;=I2007,"Action",IF(F2007&gt;=H2007,"Alert","Pass"))</f>
        <v/>
      </c>
      <c r="K2007" s="4">
        <f>DATE(YEAR(B2007),MONTH(B2007),1)</f>
        <v/>
      </c>
    </row>
    <row r="2008">
      <c r="A2008" t="inlineStr">
        <is>
          <t>EM002007</t>
        </is>
      </c>
      <c r="B2008" s="7" t="n">
        <v>46174</v>
      </c>
      <c r="C2008" t="inlineStr">
        <is>
          <t>CR-201</t>
        </is>
      </c>
      <c r="D2008" t="inlineStr">
        <is>
          <t>ISO 8</t>
        </is>
      </c>
      <c r="E2008" t="inlineStr">
        <is>
          <t>Personnel glove</t>
        </is>
      </c>
      <c r="F2008" t="n">
        <v>0</v>
      </c>
      <c r="G2008" t="inlineStr">
        <is>
          <t>Tech A</t>
        </is>
      </c>
      <c r="H2008">
        <f>INDEX(Limits!$B$2:$B$5,MATCH(E2008,Limits!$A$2:$A$5,0))</f>
        <v/>
      </c>
      <c r="I2008">
        <f>INDEX(Limits!$C$2:$C$5,MATCH(E2008,Limits!$A$2:$A$5,0))</f>
        <v/>
      </c>
      <c r="J2008">
        <f>IF(F2008&gt;=I2008,"Action",IF(F2008&gt;=H2008,"Alert","Pass"))</f>
        <v/>
      </c>
      <c r="K2008" s="4">
        <f>DATE(YEAR(B2008),MONTH(B2008),1)</f>
        <v/>
      </c>
    </row>
    <row r="2009">
      <c r="A2009" t="inlineStr">
        <is>
          <t>EM002008</t>
        </is>
      </c>
      <c r="B2009" s="7" t="n">
        <v>46174</v>
      </c>
      <c r="C2009" t="inlineStr">
        <is>
          <t>CR-202</t>
        </is>
      </c>
      <c r="D2009" t="inlineStr">
        <is>
          <t>ISO 8</t>
        </is>
      </c>
      <c r="E2009" t="inlineStr">
        <is>
          <t>Active air</t>
        </is>
      </c>
      <c r="F2009" t="n">
        <v>0</v>
      </c>
      <c r="G2009" t="inlineStr">
        <is>
          <t>Tech D</t>
        </is>
      </c>
      <c r="H2009">
        <f>INDEX(Limits!$B$2:$B$5,MATCH(E2009,Limits!$A$2:$A$5,0))</f>
        <v/>
      </c>
      <c r="I2009">
        <f>INDEX(Limits!$C$2:$C$5,MATCH(E2009,Limits!$A$2:$A$5,0))</f>
        <v/>
      </c>
      <c r="J2009">
        <f>IF(F2009&gt;=I2009,"Action",IF(F2009&gt;=H2009,"Alert","Pass"))</f>
        <v/>
      </c>
      <c r="K2009" s="4">
        <f>DATE(YEAR(B2009),MONTH(B2009),1)</f>
        <v/>
      </c>
    </row>
    <row r="2010">
      <c r="A2010" t="inlineStr">
        <is>
          <t>EM002009</t>
        </is>
      </c>
      <c r="B2010" s="7" t="n">
        <v>46174</v>
      </c>
      <c r="C2010" t="inlineStr">
        <is>
          <t>CR-202</t>
        </is>
      </c>
      <c r="D2010" t="inlineStr">
        <is>
          <t>ISO 8</t>
        </is>
      </c>
      <c r="E2010" t="inlineStr">
        <is>
          <t>Surface contact</t>
        </is>
      </c>
      <c r="F2010" t="n">
        <v>0</v>
      </c>
      <c r="G2010" t="inlineStr">
        <is>
          <t>Tech A</t>
        </is>
      </c>
      <c r="H2010">
        <f>INDEX(Limits!$B$2:$B$5,MATCH(E2010,Limits!$A$2:$A$5,0))</f>
        <v/>
      </c>
      <c r="I2010">
        <f>INDEX(Limits!$C$2:$C$5,MATCH(E2010,Limits!$A$2:$A$5,0))</f>
        <v/>
      </c>
      <c r="J2010">
        <f>IF(F2010&gt;=I2010,"Action",IF(F2010&gt;=H2010,"Alert","Pass"))</f>
        <v/>
      </c>
      <c r="K2010" s="4">
        <f>DATE(YEAR(B2010),MONTH(B2010),1)</f>
        <v/>
      </c>
    </row>
    <row r="2011">
      <c r="A2011" t="inlineStr">
        <is>
          <t>EM002010</t>
        </is>
      </c>
      <c r="B2011" s="7" t="n">
        <v>46174</v>
      </c>
      <c r="C2011" t="inlineStr">
        <is>
          <t>CR-202</t>
        </is>
      </c>
      <c r="D2011" t="inlineStr">
        <is>
          <t>ISO 8</t>
        </is>
      </c>
      <c r="E2011" t="inlineStr">
        <is>
          <t>Compressed air</t>
        </is>
      </c>
      <c r="F2011" t="n">
        <v>0</v>
      </c>
      <c r="G2011" t="inlineStr">
        <is>
          <t>Tech D</t>
        </is>
      </c>
      <c r="H2011">
        <f>INDEX(Limits!$B$2:$B$5,MATCH(E2011,Limits!$A$2:$A$5,0))</f>
        <v/>
      </c>
      <c r="I2011">
        <f>INDEX(Limits!$C$2:$C$5,MATCH(E2011,Limits!$A$2:$A$5,0))</f>
        <v/>
      </c>
      <c r="J2011">
        <f>IF(F2011&gt;=I2011,"Action",IF(F2011&gt;=H2011,"Alert","Pass"))</f>
        <v/>
      </c>
      <c r="K2011" s="4">
        <f>DATE(YEAR(B2011),MONTH(B2011),1)</f>
        <v/>
      </c>
    </row>
    <row r="2012">
      <c r="A2012" t="inlineStr">
        <is>
          <t>EM002011</t>
        </is>
      </c>
      <c r="B2012" s="7" t="n">
        <v>46174</v>
      </c>
      <c r="C2012" t="inlineStr">
        <is>
          <t>CR-202</t>
        </is>
      </c>
      <c r="D2012" t="inlineStr">
        <is>
          <t>ISO 8</t>
        </is>
      </c>
      <c r="E2012" t="inlineStr">
        <is>
          <t>Personnel glove</t>
        </is>
      </c>
      <c r="F2012" t="n">
        <v>0</v>
      </c>
      <c r="G2012" t="inlineStr">
        <is>
          <t>Tech D</t>
        </is>
      </c>
      <c r="H2012">
        <f>INDEX(Limits!$B$2:$B$5,MATCH(E2012,Limits!$A$2:$A$5,0))</f>
        <v/>
      </c>
      <c r="I2012">
        <f>INDEX(Limits!$C$2:$C$5,MATCH(E2012,Limits!$A$2:$A$5,0))</f>
        <v/>
      </c>
      <c r="J2012">
        <f>IF(F2012&gt;=I2012,"Action",IF(F2012&gt;=H2012,"Alert","Pass"))</f>
        <v/>
      </c>
      <c r="K2012" s="4">
        <f>DATE(YEAR(B2012),MONTH(B2012),1)</f>
        <v/>
      </c>
    </row>
    <row r="2013">
      <c r="A2013" t="inlineStr">
        <is>
          <t>EM002012</t>
        </is>
      </c>
      <c r="B2013" s="7" t="n">
        <v>46174</v>
      </c>
      <c r="C2013" t="inlineStr">
        <is>
          <t>Gowning</t>
        </is>
      </c>
      <c r="D2013" t="inlineStr">
        <is>
          <t>ISO 8</t>
        </is>
      </c>
      <c r="E2013" t="inlineStr">
        <is>
          <t>Active air</t>
        </is>
      </c>
      <c r="F2013" t="n">
        <v>1</v>
      </c>
      <c r="G2013" t="inlineStr">
        <is>
          <t>Tech C</t>
        </is>
      </c>
      <c r="H2013">
        <f>INDEX(Limits!$B$2:$B$5,MATCH(E2013,Limits!$A$2:$A$5,0))</f>
        <v/>
      </c>
      <c r="I2013">
        <f>INDEX(Limits!$C$2:$C$5,MATCH(E2013,Limits!$A$2:$A$5,0))</f>
        <v/>
      </c>
      <c r="J2013">
        <f>IF(F2013&gt;=I2013,"Action",IF(F2013&gt;=H2013,"Alert","Pass"))</f>
        <v/>
      </c>
      <c r="K2013" s="4">
        <f>DATE(YEAR(B2013),MONTH(B2013),1)</f>
        <v/>
      </c>
    </row>
    <row r="2014">
      <c r="A2014" t="inlineStr">
        <is>
          <t>EM002013</t>
        </is>
      </c>
      <c r="B2014" s="7" t="n">
        <v>46174</v>
      </c>
      <c r="C2014" t="inlineStr">
        <is>
          <t>Gowning</t>
        </is>
      </c>
      <c r="D2014" t="inlineStr">
        <is>
          <t>ISO 8</t>
        </is>
      </c>
      <c r="E2014" t="inlineStr">
        <is>
          <t>Surface contact</t>
        </is>
      </c>
      <c r="F2014" t="n">
        <v>1</v>
      </c>
      <c r="G2014" t="inlineStr">
        <is>
          <t>Tech A</t>
        </is>
      </c>
      <c r="H2014">
        <f>INDEX(Limits!$B$2:$B$5,MATCH(E2014,Limits!$A$2:$A$5,0))</f>
        <v/>
      </c>
      <c r="I2014">
        <f>INDEX(Limits!$C$2:$C$5,MATCH(E2014,Limits!$A$2:$A$5,0))</f>
        <v/>
      </c>
      <c r="J2014">
        <f>IF(F2014&gt;=I2014,"Action",IF(F2014&gt;=H2014,"Alert","Pass"))</f>
        <v/>
      </c>
      <c r="K2014" s="4">
        <f>DATE(YEAR(B2014),MONTH(B2014),1)</f>
        <v/>
      </c>
    </row>
    <row r="2015">
      <c r="A2015" t="inlineStr">
        <is>
          <t>EM002014</t>
        </is>
      </c>
      <c r="B2015" s="7" t="n">
        <v>46174</v>
      </c>
      <c r="C2015" t="inlineStr">
        <is>
          <t>Gowning</t>
        </is>
      </c>
      <c r="D2015" t="inlineStr">
        <is>
          <t>ISO 8</t>
        </is>
      </c>
      <c r="E2015" t="inlineStr">
        <is>
          <t>Personnel glove</t>
        </is>
      </c>
      <c r="F2015" t="n">
        <v>1</v>
      </c>
      <c r="G2015" t="inlineStr">
        <is>
          <t>Tech C</t>
        </is>
      </c>
      <c r="H2015">
        <f>INDEX(Limits!$B$2:$B$5,MATCH(E2015,Limits!$A$2:$A$5,0))</f>
        <v/>
      </c>
      <c r="I2015">
        <f>INDEX(Limits!$C$2:$C$5,MATCH(E2015,Limits!$A$2:$A$5,0))</f>
        <v/>
      </c>
      <c r="J2015">
        <f>IF(F2015&gt;=I2015,"Action",IF(F2015&gt;=H2015,"Alert","Pass"))</f>
        <v/>
      </c>
      <c r="K2015" s="4">
        <f>DATE(YEAR(B2015),MONTH(B2015),1)</f>
        <v/>
      </c>
    </row>
    <row r="2016">
      <c r="A2016" t="inlineStr">
        <is>
          <t>EM002015</t>
        </is>
      </c>
      <c r="B2016" s="7" t="n">
        <v>46175</v>
      </c>
      <c r="C2016" t="inlineStr">
        <is>
          <t>CR-101</t>
        </is>
      </c>
      <c r="D2016" t="inlineStr">
        <is>
          <t>ISO 7</t>
        </is>
      </c>
      <c r="E2016" t="inlineStr">
        <is>
          <t>Active air</t>
        </is>
      </c>
      <c r="F2016" t="n">
        <v>0</v>
      </c>
      <c r="G2016" t="inlineStr">
        <is>
          <t>Tech B</t>
        </is>
      </c>
      <c r="H2016">
        <f>INDEX(Limits!$B$2:$B$5,MATCH(E2016,Limits!$A$2:$A$5,0))</f>
        <v/>
      </c>
      <c r="I2016">
        <f>INDEX(Limits!$C$2:$C$5,MATCH(E2016,Limits!$A$2:$A$5,0))</f>
        <v/>
      </c>
      <c r="J2016">
        <f>IF(F2016&gt;=I2016,"Action",IF(F2016&gt;=H2016,"Alert","Pass"))</f>
        <v/>
      </c>
      <c r="K2016" s="4">
        <f>DATE(YEAR(B2016),MONTH(B2016),1)</f>
        <v/>
      </c>
    </row>
    <row r="2017">
      <c r="A2017" t="inlineStr">
        <is>
          <t>EM002016</t>
        </is>
      </c>
      <c r="B2017" s="7" t="n">
        <v>46175</v>
      </c>
      <c r="C2017" t="inlineStr">
        <is>
          <t>CR-101</t>
        </is>
      </c>
      <c r="D2017" t="inlineStr">
        <is>
          <t>ISO 7</t>
        </is>
      </c>
      <c r="E2017" t="inlineStr">
        <is>
          <t>Surface contact</t>
        </is>
      </c>
      <c r="F2017" t="n">
        <v>1</v>
      </c>
      <c r="G2017" t="inlineStr">
        <is>
          <t>Tech A</t>
        </is>
      </c>
      <c r="H2017">
        <f>INDEX(Limits!$B$2:$B$5,MATCH(E2017,Limits!$A$2:$A$5,0))</f>
        <v/>
      </c>
      <c r="I2017">
        <f>INDEX(Limits!$C$2:$C$5,MATCH(E2017,Limits!$A$2:$A$5,0))</f>
        <v/>
      </c>
      <c r="J2017">
        <f>IF(F2017&gt;=I2017,"Action",IF(F2017&gt;=H2017,"Alert","Pass"))</f>
        <v/>
      </c>
      <c r="K2017" s="4">
        <f>DATE(YEAR(B2017),MONTH(B2017),1)</f>
        <v/>
      </c>
    </row>
    <row r="2018">
      <c r="A2018" t="inlineStr">
        <is>
          <t>EM002017</t>
        </is>
      </c>
      <c r="B2018" s="7" t="n">
        <v>46175</v>
      </c>
      <c r="C2018" t="inlineStr">
        <is>
          <t>CR-101</t>
        </is>
      </c>
      <c r="D2018" t="inlineStr">
        <is>
          <t>ISO 7</t>
        </is>
      </c>
      <c r="E2018" t="inlineStr">
        <is>
          <t>Compressed air</t>
        </is>
      </c>
      <c r="F2018" t="n">
        <v>0</v>
      </c>
      <c r="G2018" t="inlineStr">
        <is>
          <t>Tech A</t>
        </is>
      </c>
      <c r="H2018">
        <f>INDEX(Limits!$B$2:$B$5,MATCH(E2018,Limits!$A$2:$A$5,0))</f>
        <v/>
      </c>
      <c r="I2018">
        <f>INDEX(Limits!$C$2:$C$5,MATCH(E2018,Limits!$A$2:$A$5,0))</f>
        <v/>
      </c>
      <c r="J2018">
        <f>IF(F2018&gt;=I2018,"Action",IF(F2018&gt;=H2018,"Alert","Pass"))</f>
        <v/>
      </c>
      <c r="K2018" s="4">
        <f>DATE(YEAR(B2018),MONTH(B2018),1)</f>
        <v/>
      </c>
    </row>
    <row r="2019">
      <c r="A2019" t="inlineStr">
        <is>
          <t>EM002018</t>
        </is>
      </c>
      <c r="B2019" s="7" t="n">
        <v>46175</v>
      </c>
      <c r="C2019" t="inlineStr">
        <is>
          <t>CR-101</t>
        </is>
      </c>
      <c r="D2019" t="inlineStr">
        <is>
          <t>ISO 7</t>
        </is>
      </c>
      <c r="E2019" t="inlineStr">
        <is>
          <t>Personnel glove</t>
        </is>
      </c>
      <c r="F2019" t="n">
        <v>0</v>
      </c>
      <c r="G2019" t="inlineStr">
        <is>
          <t>Tech A</t>
        </is>
      </c>
      <c r="H2019">
        <f>INDEX(Limits!$B$2:$B$5,MATCH(E2019,Limits!$A$2:$A$5,0))</f>
        <v/>
      </c>
      <c r="I2019">
        <f>INDEX(Limits!$C$2:$C$5,MATCH(E2019,Limits!$A$2:$A$5,0))</f>
        <v/>
      </c>
      <c r="J2019">
        <f>IF(F2019&gt;=I2019,"Action",IF(F2019&gt;=H2019,"Alert","Pass"))</f>
        <v/>
      </c>
      <c r="K2019" s="4">
        <f>DATE(YEAR(B2019),MONTH(B2019),1)</f>
        <v/>
      </c>
    </row>
    <row r="2020">
      <c r="A2020" t="inlineStr">
        <is>
          <t>EM002019</t>
        </is>
      </c>
      <c r="B2020" s="7" t="n">
        <v>46175</v>
      </c>
      <c r="C2020" t="inlineStr">
        <is>
          <t>CR-102</t>
        </is>
      </c>
      <c r="D2020" t="inlineStr">
        <is>
          <t>ISO 7</t>
        </is>
      </c>
      <c r="E2020" t="inlineStr">
        <is>
          <t>Active air</t>
        </is>
      </c>
      <c r="F2020" t="n">
        <v>1</v>
      </c>
      <c r="G2020" t="inlineStr">
        <is>
          <t>Tech D</t>
        </is>
      </c>
      <c r="H2020">
        <f>INDEX(Limits!$B$2:$B$5,MATCH(E2020,Limits!$A$2:$A$5,0))</f>
        <v/>
      </c>
      <c r="I2020">
        <f>INDEX(Limits!$C$2:$C$5,MATCH(E2020,Limits!$A$2:$A$5,0))</f>
        <v/>
      </c>
      <c r="J2020">
        <f>IF(F2020&gt;=I2020,"Action",IF(F2020&gt;=H2020,"Alert","Pass"))</f>
        <v/>
      </c>
      <c r="K2020" s="4">
        <f>DATE(YEAR(B2020),MONTH(B2020),1)</f>
        <v/>
      </c>
    </row>
    <row r="2021">
      <c r="A2021" t="inlineStr">
        <is>
          <t>EM002020</t>
        </is>
      </c>
      <c r="B2021" s="7" t="n">
        <v>46175</v>
      </c>
      <c r="C2021" t="inlineStr">
        <is>
          <t>CR-102</t>
        </is>
      </c>
      <c r="D2021" t="inlineStr">
        <is>
          <t>ISO 7</t>
        </is>
      </c>
      <c r="E2021" t="inlineStr">
        <is>
          <t>Surface contact</t>
        </is>
      </c>
      <c r="F2021" t="n">
        <v>1</v>
      </c>
      <c r="G2021" t="inlineStr">
        <is>
          <t>Tech B</t>
        </is>
      </c>
      <c r="H2021">
        <f>INDEX(Limits!$B$2:$B$5,MATCH(E2021,Limits!$A$2:$A$5,0))</f>
        <v/>
      </c>
      <c r="I2021">
        <f>INDEX(Limits!$C$2:$C$5,MATCH(E2021,Limits!$A$2:$A$5,0))</f>
        <v/>
      </c>
      <c r="J2021">
        <f>IF(F2021&gt;=I2021,"Action",IF(F2021&gt;=H2021,"Alert","Pass"))</f>
        <v/>
      </c>
      <c r="K2021" s="4">
        <f>DATE(YEAR(B2021),MONTH(B2021),1)</f>
        <v/>
      </c>
    </row>
    <row r="2022">
      <c r="A2022" t="inlineStr">
        <is>
          <t>EM002021</t>
        </is>
      </c>
      <c r="B2022" s="7" t="n">
        <v>46175</v>
      </c>
      <c r="C2022" t="inlineStr">
        <is>
          <t>CR-102</t>
        </is>
      </c>
      <c r="D2022" t="inlineStr">
        <is>
          <t>ISO 7</t>
        </is>
      </c>
      <c r="E2022" t="inlineStr">
        <is>
          <t>Compressed air</t>
        </is>
      </c>
      <c r="F2022" t="n">
        <v>0</v>
      </c>
      <c r="G2022" t="inlineStr">
        <is>
          <t>Tech B</t>
        </is>
      </c>
      <c r="H2022">
        <f>INDEX(Limits!$B$2:$B$5,MATCH(E2022,Limits!$A$2:$A$5,0))</f>
        <v/>
      </c>
      <c r="I2022">
        <f>INDEX(Limits!$C$2:$C$5,MATCH(E2022,Limits!$A$2:$A$5,0))</f>
        <v/>
      </c>
      <c r="J2022">
        <f>IF(F2022&gt;=I2022,"Action",IF(F2022&gt;=H2022,"Alert","Pass"))</f>
        <v/>
      </c>
      <c r="K2022" s="4">
        <f>DATE(YEAR(B2022),MONTH(B2022),1)</f>
        <v/>
      </c>
    </row>
    <row r="2023">
      <c r="A2023" t="inlineStr">
        <is>
          <t>EM002022</t>
        </is>
      </c>
      <c r="B2023" s="7" t="n">
        <v>46175</v>
      </c>
      <c r="C2023" t="inlineStr">
        <is>
          <t>CR-102</t>
        </is>
      </c>
      <c r="D2023" t="inlineStr">
        <is>
          <t>ISO 7</t>
        </is>
      </c>
      <c r="E2023" t="inlineStr">
        <is>
          <t>Personnel glove</t>
        </is>
      </c>
      <c r="F2023" t="n">
        <v>0</v>
      </c>
      <c r="G2023" t="inlineStr">
        <is>
          <t>Tech D</t>
        </is>
      </c>
      <c r="H2023">
        <f>INDEX(Limits!$B$2:$B$5,MATCH(E2023,Limits!$A$2:$A$5,0))</f>
        <v/>
      </c>
      <c r="I2023">
        <f>INDEX(Limits!$C$2:$C$5,MATCH(E2023,Limits!$A$2:$A$5,0))</f>
        <v/>
      </c>
      <c r="J2023">
        <f>IF(F2023&gt;=I2023,"Action",IF(F2023&gt;=H2023,"Alert","Pass"))</f>
        <v/>
      </c>
      <c r="K2023" s="4">
        <f>DATE(YEAR(B2023),MONTH(B2023),1)</f>
        <v/>
      </c>
    </row>
    <row r="2024">
      <c r="A2024" t="inlineStr">
        <is>
          <t>EM002023</t>
        </is>
      </c>
      <c r="B2024" s="7" t="n">
        <v>46175</v>
      </c>
      <c r="C2024" t="inlineStr">
        <is>
          <t>CR-201</t>
        </is>
      </c>
      <c r="D2024" t="inlineStr">
        <is>
          <t>ISO 8</t>
        </is>
      </c>
      <c r="E2024" t="inlineStr">
        <is>
          <t>Active air</t>
        </is>
      </c>
      <c r="F2024" t="n">
        <v>2</v>
      </c>
      <c r="G2024" t="inlineStr">
        <is>
          <t>Tech A</t>
        </is>
      </c>
      <c r="H2024">
        <f>INDEX(Limits!$B$2:$B$5,MATCH(E2024,Limits!$A$2:$A$5,0))</f>
        <v/>
      </c>
      <c r="I2024">
        <f>INDEX(Limits!$C$2:$C$5,MATCH(E2024,Limits!$A$2:$A$5,0))</f>
        <v/>
      </c>
      <c r="J2024">
        <f>IF(F2024&gt;=I2024,"Action",IF(F2024&gt;=H2024,"Alert","Pass"))</f>
        <v/>
      </c>
      <c r="K2024" s="4">
        <f>DATE(YEAR(B2024),MONTH(B2024),1)</f>
        <v/>
      </c>
    </row>
    <row r="2025">
      <c r="A2025" t="inlineStr">
        <is>
          <t>EM002024</t>
        </is>
      </c>
      <c r="B2025" s="7" t="n">
        <v>46175</v>
      </c>
      <c r="C2025" t="inlineStr">
        <is>
          <t>CR-201</t>
        </is>
      </c>
      <c r="D2025" t="inlineStr">
        <is>
          <t>ISO 8</t>
        </is>
      </c>
      <c r="E2025" t="inlineStr">
        <is>
          <t>Surface contact</t>
        </is>
      </c>
      <c r="F2025" t="n">
        <v>0</v>
      </c>
      <c r="G2025" t="inlineStr">
        <is>
          <t>Tech C</t>
        </is>
      </c>
      <c r="H2025">
        <f>INDEX(Limits!$B$2:$B$5,MATCH(E2025,Limits!$A$2:$A$5,0))</f>
        <v/>
      </c>
      <c r="I2025">
        <f>INDEX(Limits!$C$2:$C$5,MATCH(E2025,Limits!$A$2:$A$5,0))</f>
        <v/>
      </c>
      <c r="J2025">
        <f>IF(F2025&gt;=I2025,"Action",IF(F2025&gt;=H2025,"Alert","Pass"))</f>
        <v/>
      </c>
      <c r="K2025" s="4">
        <f>DATE(YEAR(B2025),MONTH(B2025),1)</f>
        <v/>
      </c>
    </row>
    <row r="2026">
      <c r="A2026" t="inlineStr">
        <is>
          <t>EM002025</t>
        </is>
      </c>
      <c r="B2026" s="7" t="n">
        <v>46175</v>
      </c>
      <c r="C2026" t="inlineStr">
        <is>
          <t>CR-201</t>
        </is>
      </c>
      <c r="D2026" t="inlineStr">
        <is>
          <t>ISO 8</t>
        </is>
      </c>
      <c r="E2026" t="inlineStr">
        <is>
          <t>Compressed air</t>
        </is>
      </c>
      <c r="F2026" t="n">
        <v>0</v>
      </c>
      <c r="G2026" t="inlineStr">
        <is>
          <t>Tech C</t>
        </is>
      </c>
      <c r="H2026">
        <f>INDEX(Limits!$B$2:$B$5,MATCH(E2026,Limits!$A$2:$A$5,0))</f>
        <v/>
      </c>
      <c r="I2026">
        <f>INDEX(Limits!$C$2:$C$5,MATCH(E2026,Limits!$A$2:$A$5,0))</f>
        <v/>
      </c>
      <c r="J2026">
        <f>IF(F2026&gt;=I2026,"Action",IF(F2026&gt;=H2026,"Alert","Pass"))</f>
        <v/>
      </c>
      <c r="K2026" s="4">
        <f>DATE(YEAR(B2026),MONTH(B2026),1)</f>
        <v/>
      </c>
    </row>
    <row r="2027">
      <c r="A2027" t="inlineStr">
        <is>
          <t>EM002026</t>
        </is>
      </c>
      <c r="B2027" s="7" t="n">
        <v>46175</v>
      </c>
      <c r="C2027" t="inlineStr">
        <is>
          <t>CR-201</t>
        </is>
      </c>
      <c r="D2027" t="inlineStr">
        <is>
          <t>ISO 8</t>
        </is>
      </c>
      <c r="E2027" t="inlineStr">
        <is>
          <t>Personnel glove</t>
        </is>
      </c>
      <c r="F2027" t="n">
        <v>0</v>
      </c>
      <c r="G2027" t="inlineStr">
        <is>
          <t>Tech C</t>
        </is>
      </c>
      <c r="H2027">
        <f>INDEX(Limits!$B$2:$B$5,MATCH(E2027,Limits!$A$2:$A$5,0))</f>
        <v/>
      </c>
      <c r="I2027">
        <f>INDEX(Limits!$C$2:$C$5,MATCH(E2027,Limits!$A$2:$A$5,0))</f>
        <v/>
      </c>
      <c r="J2027">
        <f>IF(F2027&gt;=I2027,"Action",IF(F2027&gt;=H2027,"Alert","Pass"))</f>
        <v/>
      </c>
      <c r="K2027" s="4">
        <f>DATE(YEAR(B2027),MONTH(B2027),1)</f>
        <v/>
      </c>
    </row>
    <row r="2028">
      <c r="A2028" t="inlineStr">
        <is>
          <t>EM002027</t>
        </is>
      </c>
      <c r="B2028" s="7" t="n">
        <v>46175</v>
      </c>
      <c r="C2028" t="inlineStr">
        <is>
          <t>CR-202</t>
        </is>
      </c>
      <c r="D2028" t="inlineStr">
        <is>
          <t>ISO 8</t>
        </is>
      </c>
      <c r="E2028" t="inlineStr">
        <is>
          <t>Active air</t>
        </is>
      </c>
      <c r="F2028" t="n">
        <v>1</v>
      </c>
      <c r="G2028" t="inlineStr">
        <is>
          <t>Tech D</t>
        </is>
      </c>
      <c r="H2028">
        <f>INDEX(Limits!$B$2:$B$5,MATCH(E2028,Limits!$A$2:$A$5,0))</f>
        <v/>
      </c>
      <c r="I2028">
        <f>INDEX(Limits!$C$2:$C$5,MATCH(E2028,Limits!$A$2:$A$5,0))</f>
        <v/>
      </c>
      <c r="J2028">
        <f>IF(F2028&gt;=I2028,"Action",IF(F2028&gt;=H2028,"Alert","Pass"))</f>
        <v/>
      </c>
      <c r="K2028" s="4">
        <f>DATE(YEAR(B2028),MONTH(B2028),1)</f>
        <v/>
      </c>
    </row>
    <row r="2029">
      <c r="A2029" t="inlineStr">
        <is>
          <t>EM002028</t>
        </is>
      </c>
      <c r="B2029" s="7" t="n">
        <v>46175</v>
      </c>
      <c r="C2029" t="inlineStr">
        <is>
          <t>CR-202</t>
        </is>
      </c>
      <c r="D2029" t="inlineStr">
        <is>
          <t>ISO 8</t>
        </is>
      </c>
      <c r="E2029" t="inlineStr">
        <is>
          <t>Surface contact</t>
        </is>
      </c>
      <c r="F2029" t="n">
        <v>0</v>
      </c>
      <c r="G2029" t="inlineStr">
        <is>
          <t>Tech B</t>
        </is>
      </c>
      <c r="H2029">
        <f>INDEX(Limits!$B$2:$B$5,MATCH(E2029,Limits!$A$2:$A$5,0))</f>
        <v/>
      </c>
      <c r="I2029">
        <f>INDEX(Limits!$C$2:$C$5,MATCH(E2029,Limits!$A$2:$A$5,0))</f>
        <v/>
      </c>
      <c r="J2029">
        <f>IF(F2029&gt;=I2029,"Action",IF(F2029&gt;=H2029,"Alert","Pass"))</f>
        <v/>
      </c>
      <c r="K2029" s="4">
        <f>DATE(YEAR(B2029),MONTH(B2029),1)</f>
        <v/>
      </c>
    </row>
    <row r="2030">
      <c r="A2030" t="inlineStr">
        <is>
          <t>EM002029</t>
        </is>
      </c>
      <c r="B2030" s="7" t="n">
        <v>46175</v>
      </c>
      <c r="C2030" t="inlineStr">
        <is>
          <t>CR-202</t>
        </is>
      </c>
      <c r="D2030" t="inlineStr">
        <is>
          <t>ISO 8</t>
        </is>
      </c>
      <c r="E2030" t="inlineStr">
        <is>
          <t>Compressed air</t>
        </is>
      </c>
      <c r="F2030" t="n">
        <v>0</v>
      </c>
      <c r="G2030" t="inlineStr">
        <is>
          <t>Tech C</t>
        </is>
      </c>
      <c r="H2030">
        <f>INDEX(Limits!$B$2:$B$5,MATCH(E2030,Limits!$A$2:$A$5,0))</f>
        <v/>
      </c>
      <c r="I2030">
        <f>INDEX(Limits!$C$2:$C$5,MATCH(E2030,Limits!$A$2:$A$5,0))</f>
        <v/>
      </c>
      <c r="J2030">
        <f>IF(F2030&gt;=I2030,"Action",IF(F2030&gt;=H2030,"Alert","Pass"))</f>
        <v/>
      </c>
      <c r="K2030" s="4">
        <f>DATE(YEAR(B2030),MONTH(B2030),1)</f>
        <v/>
      </c>
    </row>
    <row r="2031">
      <c r="A2031" t="inlineStr">
        <is>
          <t>EM002030</t>
        </is>
      </c>
      <c r="B2031" s="7" t="n">
        <v>46175</v>
      </c>
      <c r="C2031" t="inlineStr">
        <is>
          <t>CR-202</t>
        </is>
      </c>
      <c r="D2031" t="inlineStr">
        <is>
          <t>ISO 8</t>
        </is>
      </c>
      <c r="E2031" t="inlineStr">
        <is>
          <t>Personnel glove</t>
        </is>
      </c>
      <c r="F2031" t="n">
        <v>0</v>
      </c>
      <c r="G2031" t="inlineStr">
        <is>
          <t>Tech D</t>
        </is>
      </c>
      <c r="H2031">
        <f>INDEX(Limits!$B$2:$B$5,MATCH(E2031,Limits!$A$2:$A$5,0))</f>
        <v/>
      </c>
      <c r="I2031">
        <f>INDEX(Limits!$C$2:$C$5,MATCH(E2031,Limits!$A$2:$A$5,0))</f>
        <v/>
      </c>
      <c r="J2031">
        <f>IF(F2031&gt;=I2031,"Action",IF(F2031&gt;=H2031,"Alert","Pass"))</f>
        <v/>
      </c>
      <c r="K2031" s="4">
        <f>DATE(YEAR(B2031),MONTH(B2031),1)</f>
        <v/>
      </c>
    </row>
    <row r="2032">
      <c r="A2032" t="inlineStr">
        <is>
          <t>EM002031</t>
        </is>
      </c>
      <c r="B2032" s="7" t="n">
        <v>46175</v>
      </c>
      <c r="C2032" t="inlineStr">
        <is>
          <t>Gowning</t>
        </is>
      </c>
      <c r="D2032" t="inlineStr">
        <is>
          <t>ISO 8</t>
        </is>
      </c>
      <c r="E2032" t="inlineStr">
        <is>
          <t>Active air</t>
        </is>
      </c>
      <c r="F2032" t="n">
        <v>1</v>
      </c>
      <c r="G2032" t="inlineStr">
        <is>
          <t>Tech A</t>
        </is>
      </c>
      <c r="H2032">
        <f>INDEX(Limits!$B$2:$B$5,MATCH(E2032,Limits!$A$2:$A$5,0))</f>
        <v/>
      </c>
      <c r="I2032">
        <f>INDEX(Limits!$C$2:$C$5,MATCH(E2032,Limits!$A$2:$A$5,0))</f>
        <v/>
      </c>
      <c r="J2032">
        <f>IF(F2032&gt;=I2032,"Action",IF(F2032&gt;=H2032,"Alert","Pass"))</f>
        <v/>
      </c>
      <c r="K2032" s="4">
        <f>DATE(YEAR(B2032),MONTH(B2032),1)</f>
        <v/>
      </c>
    </row>
    <row r="2033">
      <c r="A2033" t="inlineStr">
        <is>
          <t>EM002032</t>
        </is>
      </c>
      <c r="B2033" s="7" t="n">
        <v>46175</v>
      </c>
      <c r="C2033" t="inlineStr">
        <is>
          <t>Gowning</t>
        </is>
      </c>
      <c r="D2033" t="inlineStr">
        <is>
          <t>ISO 8</t>
        </is>
      </c>
      <c r="E2033" t="inlineStr">
        <is>
          <t>Surface contact</t>
        </is>
      </c>
      <c r="F2033" t="n">
        <v>1</v>
      </c>
      <c r="G2033" t="inlineStr">
        <is>
          <t>Tech D</t>
        </is>
      </c>
      <c r="H2033">
        <f>INDEX(Limits!$B$2:$B$5,MATCH(E2033,Limits!$A$2:$A$5,0))</f>
        <v/>
      </c>
      <c r="I2033">
        <f>INDEX(Limits!$C$2:$C$5,MATCH(E2033,Limits!$A$2:$A$5,0))</f>
        <v/>
      </c>
      <c r="J2033">
        <f>IF(F2033&gt;=I2033,"Action",IF(F2033&gt;=H2033,"Alert","Pass"))</f>
        <v/>
      </c>
      <c r="K2033" s="4">
        <f>DATE(YEAR(B2033),MONTH(B2033),1)</f>
        <v/>
      </c>
    </row>
    <row r="2034">
      <c r="A2034" t="inlineStr">
        <is>
          <t>EM002033</t>
        </is>
      </c>
      <c r="B2034" s="7" t="n">
        <v>46175</v>
      </c>
      <c r="C2034" t="inlineStr">
        <is>
          <t>Gowning</t>
        </is>
      </c>
      <c r="D2034" t="inlineStr">
        <is>
          <t>ISO 8</t>
        </is>
      </c>
      <c r="E2034" t="inlineStr">
        <is>
          <t>Personnel glove</t>
        </is>
      </c>
      <c r="F2034" t="n">
        <v>0</v>
      </c>
      <c r="G2034" t="inlineStr">
        <is>
          <t>Tech D</t>
        </is>
      </c>
      <c r="H2034">
        <f>INDEX(Limits!$B$2:$B$5,MATCH(E2034,Limits!$A$2:$A$5,0))</f>
        <v/>
      </c>
      <c r="I2034">
        <f>INDEX(Limits!$C$2:$C$5,MATCH(E2034,Limits!$A$2:$A$5,0))</f>
        <v/>
      </c>
      <c r="J2034">
        <f>IF(F2034&gt;=I2034,"Action",IF(F2034&gt;=H2034,"Alert","Pass"))</f>
        <v/>
      </c>
      <c r="K2034" s="4">
        <f>DATE(YEAR(B2034),MONTH(B2034),1)</f>
        <v/>
      </c>
    </row>
    <row r="2035">
      <c r="A2035" t="inlineStr">
        <is>
          <t>EM002034</t>
        </is>
      </c>
      <c r="B2035" s="7" t="n">
        <v>46176</v>
      </c>
      <c r="C2035" t="inlineStr">
        <is>
          <t>CR-101</t>
        </is>
      </c>
      <c r="D2035" t="inlineStr">
        <is>
          <t>ISO 7</t>
        </is>
      </c>
      <c r="E2035" t="inlineStr">
        <is>
          <t>Active air</t>
        </is>
      </c>
      <c r="F2035" t="n">
        <v>1</v>
      </c>
      <c r="G2035" t="inlineStr">
        <is>
          <t>Tech A</t>
        </is>
      </c>
      <c r="H2035">
        <f>INDEX(Limits!$B$2:$B$5,MATCH(E2035,Limits!$A$2:$A$5,0))</f>
        <v/>
      </c>
      <c r="I2035">
        <f>INDEX(Limits!$C$2:$C$5,MATCH(E2035,Limits!$A$2:$A$5,0))</f>
        <v/>
      </c>
      <c r="J2035">
        <f>IF(F2035&gt;=I2035,"Action",IF(F2035&gt;=H2035,"Alert","Pass"))</f>
        <v/>
      </c>
      <c r="K2035" s="4">
        <f>DATE(YEAR(B2035),MONTH(B2035),1)</f>
        <v/>
      </c>
    </row>
    <row r="2036">
      <c r="A2036" t="inlineStr">
        <is>
          <t>EM002035</t>
        </is>
      </c>
      <c r="B2036" s="7" t="n">
        <v>46176</v>
      </c>
      <c r="C2036" t="inlineStr">
        <is>
          <t>CR-101</t>
        </is>
      </c>
      <c r="D2036" t="inlineStr">
        <is>
          <t>ISO 7</t>
        </is>
      </c>
      <c r="E2036" t="inlineStr">
        <is>
          <t>Surface contact</t>
        </is>
      </c>
      <c r="F2036" t="n">
        <v>0</v>
      </c>
      <c r="G2036" t="inlineStr">
        <is>
          <t>Tech B</t>
        </is>
      </c>
      <c r="H2036">
        <f>INDEX(Limits!$B$2:$B$5,MATCH(E2036,Limits!$A$2:$A$5,0))</f>
        <v/>
      </c>
      <c r="I2036">
        <f>INDEX(Limits!$C$2:$C$5,MATCH(E2036,Limits!$A$2:$A$5,0))</f>
        <v/>
      </c>
      <c r="J2036">
        <f>IF(F2036&gt;=I2036,"Action",IF(F2036&gt;=H2036,"Alert","Pass"))</f>
        <v/>
      </c>
      <c r="K2036" s="4">
        <f>DATE(YEAR(B2036),MONTH(B2036),1)</f>
        <v/>
      </c>
    </row>
    <row r="2037">
      <c r="A2037" t="inlineStr">
        <is>
          <t>EM002036</t>
        </is>
      </c>
      <c r="B2037" s="7" t="n">
        <v>46176</v>
      </c>
      <c r="C2037" t="inlineStr">
        <is>
          <t>CR-101</t>
        </is>
      </c>
      <c r="D2037" t="inlineStr">
        <is>
          <t>ISO 7</t>
        </is>
      </c>
      <c r="E2037" t="inlineStr">
        <is>
          <t>Compressed air</t>
        </is>
      </c>
      <c r="F2037" t="n">
        <v>0</v>
      </c>
      <c r="G2037" t="inlineStr">
        <is>
          <t>Tech D</t>
        </is>
      </c>
      <c r="H2037">
        <f>INDEX(Limits!$B$2:$B$5,MATCH(E2037,Limits!$A$2:$A$5,0))</f>
        <v/>
      </c>
      <c r="I2037">
        <f>INDEX(Limits!$C$2:$C$5,MATCH(E2037,Limits!$A$2:$A$5,0))</f>
        <v/>
      </c>
      <c r="J2037">
        <f>IF(F2037&gt;=I2037,"Action",IF(F2037&gt;=H2037,"Alert","Pass"))</f>
        <v/>
      </c>
      <c r="K2037" s="4">
        <f>DATE(YEAR(B2037),MONTH(B2037),1)</f>
        <v/>
      </c>
    </row>
    <row r="2038">
      <c r="A2038" t="inlineStr">
        <is>
          <t>EM002037</t>
        </is>
      </c>
      <c r="B2038" s="7" t="n">
        <v>46176</v>
      </c>
      <c r="C2038" t="inlineStr">
        <is>
          <t>CR-101</t>
        </is>
      </c>
      <c r="D2038" t="inlineStr">
        <is>
          <t>ISO 7</t>
        </is>
      </c>
      <c r="E2038" t="inlineStr">
        <is>
          <t>Personnel glove</t>
        </is>
      </c>
      <c r="F2038" t="n">
        <v>0</v>
      </c>
      <c r="G2038" t="inlineStr">
        <is>
          <t>Tech B</t>
        </is>
      </c>
      <c r="H2038">
        <f>INDEX(Limits!$B$2:$B$5,MATCH(E2038,Limits!$A$2:$A$5,0))</f>
        <v/>
      </c>
      <c r="I2038">
        <f>INDEX(Limits!$C$2:$C$5,MATCH(E2038,Limits!$A$2:$A$5,0))</f>
        <v/>
      </c>
      <c r="J2038">
        <f>IF(F2038&gt;=I2038,"Action",IF(F2038&gt;=H2038,"Alert","Pass"))</f>
        <v/>
      </c>
      <c r="K2038" s="4">
        <f>DATE(YEAR(B2038),MONTH(B2038),1)</f>
        <v/>
      </c>
    </row>
    <row r="2039">
      <c r="A2039" t="inlineStr">
        <is>
          <t>EM002038</t>
        </is>
      </c>
      <c r="B2039" s="7" t="n">
        <v>46176</v>
      </c>
      <c r="C2039" t="inlineStr">
        <is>
          <t>CR-102</t>
        </is>
      </c>
      <c r="D2039" t="inlineStr">
        <is>
          <t>ISO 7</t>
        </is>
      </c>
      <c r="E2039" t="inlineStr">
        <is>
          <t>Active air</t>
        </is>
      </c>
      <c r="F2039" t="n">
        <v>3</v>
      </c>
      <c r="G2039" t="inlineStr">
        <is>
          <t>Tech A</t>
        </is>
      </c>
      <c r="H2039">
        <f>INDEX(Limits!$B$2:$B$5,MATCH(E2039,Limits!$A$2:$A$5,0))</f>
        <v/>
      </c>
      <c r="I2039">
        <f>INDEX(Limits!$C$2:$C$5,MATCH(E2039,Limits!$A$2:$A$5,0))</f>
        <v/>
      </c>
      <c r="J2039">
        <f>IF(F2039&gt;=I2039,"Action",IF(F2039&gt;=H2039,"Alert","Pass"))</f>
        <v/>
      </c>
      <c r="K2039" s="4">
        <f>DATE(YEAR(B2039),MONTH(B2039),1)</f>
        <v/>
      </c>
    </row>
    <row r="2040">
      <c r="A2040" t="inlineStr">
        <is>
          <t>EM002039</t>
        </is>
      </c>
      <c r="B2040" s="7" t="n">
        <v>46176</v>
      </c>
      <c r="C2040" t="inlineStr">
        <is>
          <t>CR-102</t>
        </is>
      </c>
      <c r="D2040" t="inlineStr">
        <is>
          <t>ISO 7</t>
        </is>
      </c>
      <c r="E2040" t="inlineStr">
        <is>
          <t>Surface contact</t>
        </is>
      </c>
      <c r="F2040" t="n">
        <v>0</v>
      </c>
      <c r="G2040" t="inlineStr">
        <is>
          <t>Tech A</t>
        </is>
      </c>
      <c r="H2040">
        <f>INDEX(Limits!$B$2:$B$5,MATCH(E2040,Limits!$A$2:$A$5,0))</f>
        <v/>
      </c>
      <c r="I2040">
        <f>INDEX(Limits!$C$2:$C$5,MATCH(E2040,Limits!$A$2:$A$5,0))</f>
        <v/>
      </c>
      <c r="J2040">
        <f>IF(F2040&gt;=I2040,"Action",IF(F2040&gt;=H2040,"Alert","Pass"))</f>
        <v/>
      </c>
      <c r="K2040" s="4">
        <f>DATE(YEAR(B2040),MONTH(B2040),1)</f>
        <v/>
      </c>
    </row>
    <row r="2041">
      <c r="A2041" t="inlineStr">
        <is>
          <t>EM002040</t>
        </is>
      </c>
      <c r="B2041" s="7" t="n">
        <v>46176</v>
      </c>
      <c r="C2041" t="inlineStr">
        <is>
          <t>CR-102</t>
        </is>
      </c>
      <c r="D2041" t="inlineStr">
        <is>
          <t>ISO 7</t>
        </is>
      </c>
      <c r="E2041" t="inlineStr">
        <is>
          <t>Compressed air</t>
        </is>
      </c>
      <c r="F2041" t="n">
        <v>0</v>
      </c>
      <c r="G2041" t="inlineStr">
        <is>
          <t>Tech B</t>
        </is>
      </c>
      <c r="H2041">
        <f>INDEX(Limits!$B$2:$B$5,MATCH(E2041,Limits!$A$2:$A$5,0))</f>
        <v/>
      </c>
      <c r="I2041">
        <f>INDEX(Limits!$C$2:$C$5,MATCH(E2041,Limits!$A$2:$A$5,0))</f>
        <v/>
      </c>
      <c r="J2041">
        <f>IF(F2041&gt;=I2041,"Action",IF(F2041&gt;=H2041,"Alert","Pass"))</f>
        <v/>
      </c>
      <c r="K2041" s="4">
        <f>DATE(YEAR(B2041),MONTH(B2041),1)</f>
        <v/>
      </c>
    </row>
    <row r="2042">
      <c r="A2042" t="inlineStr">
        <is>
          <t>EM002041</t>
        </is>
      </c>
      <c r="B2042" s="7" t="n">
        <v>46176</v>
      </c>
      <c r="C2042" t="inlineStr">
        <is>
          <t>CR-102</t>
        </is>
      </c>
      <c r="D2042" t="inlineStr">
        <is>
          <t>ISO 7</t>
        </is>
      </c>
      <c r="E2042" t="inlineStr">
        <is>
          <t>Personnel glove</t>
        </is>
      </c>
      <c r="F2042" t="n">
        <v>0</v>
      </c>
      <c r="G2042" t="inlineStr">
        <is>
          <t>Tech B</t>
        </is>
      </c>
      <c r="H2042">
        <f>INDEX(Limits!$B$2:$B$5,MATCH(E2042,Limits!$A$2:$A$5,0))</f>
        <v/>
      </c>
      <c r="I2042">
        <f>INDEX(Limits!$C$2:$C$5,MATCH(E2042,Limits!$A$2:$A$5,0))</f>
        <v/>
      </c>
      <c r="J2042">
        <f>IF(F2042&gt;=I2042,"Action",IF(F2042&gt;=H2042,"Alert","Pass"))</f>
        <v/>
      </c>
      <c r="K2042" s="4">
        <f>DATE(YEAR(B2042),MONTH(B2042),1)</f>
        <v/>
      </c>
    </row>
    <row r="2043">
      <c r="A2043" t="inlineStr">
        <is>
          <t>EM002042</t>
        </is>
      </c>
      <c r="B2043" s="7" t="n">
        <v>46176</v>
      </c>
      <c r="C2043" t="inlineStr">
        <is>
          <t>CR-201</t>
        </is>
      </c>
      <c r="D2043" t="inlineStr">
        <is>
          <t>ISO 8</t>
        </is>
      </c>
      <c r="E2043" t="inlineStr">
        <is>
          <t>Active air</t>
        </is>
      </c>
      <c r="F2043" t="n">
        <v>3</v>
      </c>
      <c r="G2043" t="inlineStr">
        <is>
          <t>Tech A</t>
        </is>
      </c>
      <c r="H2043">
        <f>INDEX(Limits!$B$2:$B$5,MATCH(E2043,Limits!$A$2:$A$5,0))</f>
        <v/>
      </c>
      <c r="I2043">
        <f>INDEX(Limits!$C$2:$C$5,MATCH(E2043,Limits!$A$2:$A$5,0))</f>
        <v/>
      </c>
      <c r="J2043">
        <f>IF(F2043&gt;=I2043,"Action",IF(F2043&gt;=H2043,"Alert","Pass"))</f>
        <v/>
      </c>
      <c r="K2043" s="4">
        <f>DATE(YEAR(B2043),MONTH(B2043),1)</f>
        <v/>
      </c>
    </row>
    <row r="2044">
      <c r="A2044" t="inlineStr">
        <is>
          <t>EM002043</t>
        </is>
      </c>
      <c r="B2044" s="7" t="n">
        <v>46176</v>
      </c>
      <c r="C2044" t="inlineStr">
        <is>
          <t>CR-201</t>
        </is>
      </c>
      <c r="D2044" t="inlineStr">
        <is>
          <t>ISO 8</t>
        </is>
      </c>
      <c r="E2044" t="inlineStr">
        <is>
          <t>Surface contact</t>
        </is>
      </c>
      <c r="F2044" t="n">
        <v>1</v>
      </c>
      <c r="G2044" t="inlineStr">
        <is>
          <t>Tech B</t>
        </is>
      </c>
      <c r="H2044">
        <f>INDEX(Limits!$B$2:$B$5,MATCH(E2044,Limits!$A$2:$A$5,0))</f>
        <v/>
      </c>
      <c r="I2044">
        <f>INDEX(Limits!$C$2:$C$5,MATCH(E2044,Limits!$A$2:$A$5,0))</f>
        <v/>
      </c>
      <c r="J2044">
        <f>IF(F2044&gt;=I2044,"Action",IF(F2044&gt;=H2044,"Alert","Pass"))</f>
        <v/>
      </c>
      <c r="K2044" s="4">
        <f>DATE(YEAR(B2044),MONTH(B2044),1)</f>
        <v/>
      </c>
    </row>
    <row r="2045">
      <c r="A2045" t="inlineStr">
        <is>
          <t>EM002044</t>
        </is>
      </c>
      <c r="B2045" s="7" t="n">
        <v>46176</v>
      </c>
      <c r="C2045" t="inlineStr">
        <is>
          <t>CR-201</t>
        </is>
      </c>
      <c r="D2045" t="inlineStr">
        <is>
          <t>ISO 8</t>
        </is>
      </c>
      <c r="E2045" t="inlineStr">
        <is>
          <t>Compressed air</t>
        </is>
      </c>
      <c r="F2045" t="n">
        <v>1</v>
      </c>
      <c r="G2045" t="inlineStr">
        <is>
          <t>Tech C</t>
        </is>
      </c>
      <c r="H2045">
        <f>INDEX(Limits!$B$2:$B$5,MATCH(E2045,Limits!$A$2:$A$5,0))</f>
        <v/>
      </c>
      <c r="I2045">
        <f>INDEX(Limits!$C$2:$C$5,MATCH(E2045,Limits!$A$2:$A$5,0))</f>
        <v/>
      </c>
      <c r="J2045">
        <f>IF(F2045&gt;=I2045,"Action",IF(F2045&gt;=H2045,"Alert","Pass"))</f>
        <v/>
      </c>
      <c r="K2045" s="4">
        <f>DATE(YEAR(B2045),MONTH(B2045),1)</f>
        <v/>
      </c>
    </row>
    <row r="2046">
      <c r="A2046" t="inlineStr">
        <is>
          <t>EM002045</t>
        </is>
      </c>
      <c r="B2046" s="7" t="n">
        <v>46176</v>
      </c>
      <c r="C2046" t="inlineStr">
        <is>
          <t>CR-201</t>
        </is>
      </c>
      <c r="D2046" t="inlineStr">
        <is>
          <t>ISO 8</t>
        </is>
      </c>
      <c r="E2046" t="inlineStr">
        <is>
          <t>Personnel glove</t>
        </is>
      </c>
      <c r="F2046" t="n">
        <v>1</v>
      </c>
      <c r="G2046" t="inlineStr">
        <is>
          <t>Tech D</t>
        </is>
      </c>
      <c r="H2046">
        <f>INDEX(Limits!$B$2:$B$5,MATCH(E2046,Limits!$A$2:$A$5,0))</f>
        <v/>
      </c>
      <c r="I2046">
        <f>INDEX(Limits!$C$2:$C$5,MATCH(E2046,Limits!$A$2:$A$5,0))</f>
        <v/>
      </c>
      <c r="J2046">
        <f>IF(F2046&gt;=I2046,"Action",IF(F2046&gt;=H2046,"Alert","Pass"))</f>
        <v/>
      </c>
      <c r="K2046" s="4">
        <f>DATE(YEAR(B2046),MONTH(B2046),1)</f>
        <v/>
      </c>
    </row>
    <row r="2047">
      <c r="A2047" t="inlineStr">
        <is>
          <t>EM002046</t>
        </is>
      </c>
      <c r="B2047" s="7" t="n">
        <v>46176</v>
      </c>
      <c r="C2047" t="inlineStr">
        <is>
          <t>CR-202</t>
        </is>
      </c>
      <c r="D2047" t="inlineStr">
        <is>
          <t>ISO 8</t>
        </is>
      </c>
      <c r="E2047" t="inlineStr">
        <is>
          <t>Active air</t>
        </is>
      </c>
      <c r="F2047" t="n">
        <v>1</v>
      </c>
      <c r="G2047" t="inlineStr">
        <is>
          <t>Tech D</t>
        </is>
      </c>
      <c r="H2047">
        <f>INDEX(Limits!$B$2:$B$5,MATCH(E2047,Limits!$A$2:$A$5,0))</f>
        <v/>
      </c>
      <c r="I2047">
        <f>INDEX(Limits!$C$2:$C$5,MATCH(E2047,Limits!$A$2:$A$5,0))</f>
        <v/>
      </c>
      <c r="J2047">
        <f>IF(F2047&gt;=I2047,"Action",IF(F2047&gt;=H2047,"Alert","Pass"))</f>
        <v/>
      </c>
      <c r="K2047" s="4">
        <f>DATE(YEAR(B2047),MONTH(B2047),1)</f>
        <v/>
      </c>
    </row>
    <row r="2048">
      <c r="A2048" t="inlineStr">
        <is>
          <t>EM002047</t>
        </is>
      </c>
      <c r="B2048" s="7" t="n">
        <v>46176</v>
      </c>
      <c r="C2048" t="inlineStr">
        <is>
          <t>CR-202</t>
        </is>
      </c>
      <c r="D2048" t="inlineStr">
        <is>
          <t>ISO 8</t>
        </is>
      </c>
      <c r="E2048" t="inlineStr">
        <is>
          <t>Surface contact</t>
        </is>
      </c>
      <c r="F2048" t="n">
        <v>0</v>
      </c>
      <c r="G2048" t="inlineStr">
        <is>
          <t>Tech D</t>
        </is>
      </c>
      <c r="H2048">
        <f>INDEX(Limits!$B$2:$B$5,MATCH(E2048,Limits!$A$2:$A$5,0))</f>
        <v/>
      </c>
      <c r="I2048">
        <f>INDEX(Limits!$C$2:$C$5,MATCH(E2048,Limits!$A$2:$A$5,0))</f>
        <v/>
      </c>
      <c r="J2048">
        <f>IF(F2048&gt;=I2048,"Action",IF(F2048&gt;=H2048,"Alert","Pass"))</f>
        <v/>
      </c>
      <c r="K2048" s="4">
        <f>DATE(YEAR(B2048),MONTH(B2048),1)</f>
        <v/>
      </c>
    </row>
    <row r="2049">
      <c r="A2049" t="inlineStr">
        <is>
          <t>EM002048</t>
        </is>
      </c>
      <c r="B2049" s="7" t="n">
        <v>46176</v>
      </c>
      <c r="C2049" t="inlineStr">
        <is>
          <t>CR-202</t>
        </is>
      </c>
      <c r="D2049" t="inlineStr">
        <is>
          <t>ISO 8</t>
        </is>
      </c>
      <c r="E2049" t="inlineStr">
        <is>
          <t>Compressed air</t>
        </is>
      </c>
      <c r="F2049" t="n">
        <v>0</v>
      </c>
      <c r="G2049" t="inlineStr">
        <is>
          <t>Tech A</t>
        </is>
      </c>
      <c r="H2049">
        <f>INDEX(Limits!$B$2:$B$5,MATCH(E2049,Limits!$A$2:$A$5,0))</f>
        <v/>
      </c>
      <c r="I2049">
        <f>INDEX(Limits!$C$2:$C$5,MATCH(E2049,Limits!$A$2:$A$5,0))</f>
        <v/>
      </c>
      <c r="J2049">
        <f>IF(F2049&gt;=I2049,"Action",IF(F2049&gt;=H2049,"Alert","Pass"))</f>
        <v/>
      </c>
      <c r="K2049" s="4">
        <f>DATE(YEAR(B2049),MONTH(B2049),1)</f>
        <v/>
      </c>
    </row>
    <row r="2050">
      <c r="A2050" t="inlineStr">
        <is>
          <t>EM002049</t>
        </is>
      </c>
      <c r="B2050" s="7" t="n">
        <v>46176</v>
      </c>
      <c r="C2050" t="inlineStr">
        <is>
          <t>CR-202</t>
        </is>
      </c>
      <c r="D2050" t="inlineStr">
        <is>
          <t>ISO 8</t>
        </is>
      </c>
      <c r="E2050" t="inlineStr">
        <is>
          <t>Personnel glove</t>
        </is>
      </c>
      <c r="F2050" t="n">
        <v>0</v>
      </c>
      <c r="G2050" t="inlineStr">
        <is>
          <t>Tech A</t>
        </is>
      </c>
      <c r="H2050">
        <f>INDEX(Limits!$B$2:$B$5,MATCH(E2050,Limits!$A$2:$A$5,0))</f>
        <v/>
      </c>
      <c r="I2050">
        <f>INDEX(Limits!$C$2:$C$5,MATCH(E2050,Limits!$A$2:$A$5,0))</f>
        <v/>
      </c>
      <c r="J2050">
        <f>IF(F2050&gt;=I2050,"Action",IF(F2050&gt;=H2050,"Alert","Pass"))</f>
        <v/>
      </c>
      <c r="K2050" s="4">
        <f>DATE(YEAR(B2050),MONTH(B2050),1)</f>
        <v/>
      </c>
    </row>
    <row r="2051">
      <c r="A2051" t="inlineStr">
        <is>
          <t>EM002050</t>
        </is>
      </c>
      <c r="B2051" s="7" t="n">
        <v>46176</v>
      </c>
      <c r="C2051" t="inlineStr">
        <is>
          <t>Gowning</t>
        </is>
      </c>
      <c r="D2051" t="inlineStr">
        <is>
          <t>ISO 8</t>
        </is>
      </c>
      <c r="E2051" t="inlineStr">
        <is>
          <t>Active air</t>
        </is>
      </c>
      <c r="F2051" t="n">
        <v>1</v>
      </c>
      <c r="G2051" t="inlineStr">
        <is>
          <t>Tech A</t>
        </is>
      </c>
      <c r="H2051">
        <f>INDEX(Limits!$B$2:$B$5,MATCH(E2051,Limits!$A$2:$A$5,0))</f>
        <v/>
      </c>
      <c r="I2051">
        <f>INDEX(Limits!$C$2:$C$5,MATCH(E2051,Limits!$A$2:$A$5,0))</f>
        <v/>
      </c>
      <c r="J2051">
        <f>IF(F2051&gt;=I2051,"Action",IF(F2051&gt;=H2051,"Alert","Pass"))</f>
        <v/>
      </c>
      <c r="K2051" s="4">
        <f>DATE(YEAR(B2051),MONTH(B2051),1)</f>
        <v/>
      </c>
    </row>
    <row r="2052">
      <c r="A2052" t="inlineStr">
        <is>
          <t>EM002051</t>
        </is>
      </c>
      <c r="B2052" s="7" t="n">
        <v>46176</v>
      </c>
      <c r="C2052" t="inlineStr">
        <is>
          <t>Gowning</t>
        </is>
      </c>
      <c r="D2052" t="inlineStr">
        <is>
          <t>ISO 8</t>
        </is>
      </c>
      <c r="E2052" t="inlineStr">
        <is>
          <t>Surface contact</t>
        </is>
      </c>
      <c r="F2052" t="n">
        <v>3</v>
      </c>
      <c r="G2052" t="inlineStr">
        <is>
          <t>Tech D</t>
        </is>
      </c>
      <c r="H2052">
        <f>INDEX(Limits!$B$2:$B$5,MATCH(E2052,Limits!$A$2:$A$5,0))</f>
        <v/>
      </c>
      <c r="I2052">
        <f>INDEX(Limits!$C$2:$C$5,MATCH(E2052,Limits!$A$2:$A$5,0))</f>
        <v/>
      </c>
      <c r="J2052">
        <f>IF(F2052&gt;=I2052,"Action",IF(F2052&gt;=H2052,"Alert","Pass"))</f>
        <v/>
      </c>
      <c r="K2052" s="4">
        <f>DATE(YEAR(B2052),MONTH(B2052),1)</f>
        <v/>
      </c>
    </row>
    <row r="2053">
      <c r="A2053" t="inlineStr">
        <is>
          <t>EM002052</t>
        </is>
      </c>
      <c r="B2053" s="7" t="n">
        <v>46176</v>
      </c>
      <c r="C2053" t="inlineStr">
        <is>
          <t>Gowning</t>
        </is>
      </c>
      <c r="D2053" t="inlineStr">
        <is>
          <t>ISO 8</t>
        </is>
      </c>
      <c r="E2053" t="inlineStr">
        <is>
          <t>Personnel glove</t>
        </is>
      </c>
      <c r="F2053" t="n">
        <v>0</v>
      </c>
      <c r="G2053" t="inlineStr">
        <is>
          <t>Tech B</t>
        </is>
      </c>
      <c r="H2053">
        <f>INDEX(Limits!$B$2:$B$5,MATCH(E2053,Limits!$A$2:$A$5,0))</f>
        <v/>
      </c>
      <c r="I2053">
        <f>INDEX(Limits!$C$2:$C$5,MATCH(E2053,Limits!$A$2:$A$5,0))</f>
        <v/>
      </c>
      <c r="J2053">
        <f>IF(F2053&gt;=I2053,"Action",IF(F2053&gt;=H2053,"Alert","Pass"))</f>
        <v/>
      </c>
      <c r="K2053" s="4">
        <f>DATE(YEAR(B2053),MONTH(B2053),1)</f>
        <v/>
      </c>
    </row>
    <row r="2054">
      <c r="A2054" t="inlineStr">
        <is>
          <t>EM002053</t>
        </is>
      </c>
      <c r="B2054" s="7" t="n">
        <v>46177</v>
      </c>
      <c r="C2054" t="inlineStr">
        <is>
          <t>CR-101</t>
        </is>
      </c>
      <c r="D2054" t="inlineStr">
        <is>
          <t>ISO 7</t>
        </is>
      </c>
      <c r="E2054" t="inlineStr">
        <is>
          <t>Active air</t>
        </is>
      </c>
      <c r="F2054" t="n">
        <v>2</v>
      </c>
      <c r="G2054" t="inlineStr">
        <is>
          <t>Tech C</t>
        </is>
      </c>
      <c r="H2054">
        <f>INDEX(Limits!$B$2:$B$5,MATCH(E2054,Limits!$A$2:$A$5,0))</f>
        <v/>
      </c>
      <c r="I2054">
        <f>INDEX(Limits!$C$2:$C$5,MATCH(E2054,Limits!$A$2:$A$5,0))</f>
        <v/>
      </c>
      <c r="J2054">
        <f>IF(F2054&gt;=I2054,"Action",IF(F2054&gt;=H2054,"Alert","Pass"))</f>
        <v/>
      </c>
      <c r="K2054" s="4">
        <f>DATE(YEAR(B2054),MONTH(B2054),1)</f>
        <v/>
      </c>
    </row>
    <row r="2055">
      <c r="A2055" t="inlineStr">
        <is>
          <t>EM002054</t>
        </is>
      </c>
      <c r="B2055" s="7" t="n">
        <v>46177</v>
      </c>
      <c r="C2055" t="inlineStr">
        <is>
          <t>CR-101</t>
        </is>
      </c>
      <c r="D2055" t="inlineStr">
        <is>
          <t>ISO 7</t>
        </is>
      </c>
      <c r="E2055" t="inlineStr">
        <is>
          <t>Surface contact</t>
        </is>
      </c>
      <c r="F2055" t="n">
        <v>0</v>
      </c>
      <c r="G2055" t="inlineStr">
        <is>
          <t>Tech A</t>
        </is>
      </c>
      <c r="H2055">
        <f>INDEX(Limits!$B$2:$B$5,MATCH(E2055,Limits!$A$2:$A$5,0))</f>
        <v/>
      </c>
      <c r="I2055">
        <f>INDEX(Limits!$C$2:$C$5,MATCH(E2055,Limits!$A$2:$A$5,0))</f>
        <v/>
      </c>
      <c r="J2055">
        <f>IF(F2055&gt;=I2055,"Action",IF(F2055&gt;=H2055,"Alert","Pass"))</f>
        <v/>
      </c>
      <c r="K2055" s="4">
        <f>DATE(YEAR(B2055),MONTH(B2055),1)</f>
        <v/>
      </c>
    </row>
    <row r="2056">
      <c r="A2056" t="inlineStr">
        <is>
          <t>EM002055</t>
        </is>
      </c>
      <c r="B2056" s="7" t="n">
        <v>46177</v>
      </c>
      <c r="C2056" t="inlineStr">
        <is>
          <t>CR-101</t>
        </is>
      </c>
      <c r="D2056" t="inlineStr">
        <is>
          <t>ISO 7</t>
        </is>
      </c>
      <c r="E2056" t="inlineStr">
        <is>
          <t>Compressed air</t>
        </is>
      </c>
      <c r="F2056" t="n">
        <v>0</v>
      </c>
      <c r="G2056" t="inlineStr">
        <is>
          <t>Tech C</t>
        </is>
      </c>
      <c r="H2056">
        <f>INDEX(Limits!$B$2:$B$5,MATCH(E2056,Limits!$A$2:$A$5,0))</f>
        <v/>
      </c>
      <c r="I2056">
        <f>INDEX(Limits!$C$2:$C$5,MATCH(E2056,Limits!$A$2:$A$5,0))</f>
        <v/>
      </c>
      <c r="J2056">
        <f>IF(F2056&gt;=I2056,"Action",IF(F2056&gt;=H2056,"Alert","Pass"))</f>
        <v/>
      </c>
      <c r="K2056" s="4">
        <f>DATE(YEAR(B2056),MONTH(B2056),1)</f>
        <v/>
      </c>
    </row>
    <row r="2057">
      <c r="A2057" t="inlineStr">
        <is>
          <t>EM002056</t>
        </is>
      </c>
      <c r="B2057" s="7" t="n">
        <v>46177</v>
      </c>
      <c r="C2057" t="inlineStr">
        <is>
          <t>CR-101</t>
        </is>
      </c>
      <c r="D2057" t="inlineStr">
        <is>
          <t>ISO 7</t>
        </is>
      </c>
      <c r="E2057" t="inlineStr">
        <is>
          <t>Personnel glove</t>
        </is>
      </c>
      <c r="F2057" t="n">
        <v>0</v>
      </c>
      <c r="G2057" t="inlineStr">
        <is>
          <t>Tech D</t>
        </is>
      </c>
      <c r="H2057">
        <f>INDEX(Limits!$B$2:$B$5,MATCH(E2057,Limits!$A$2:$A$5,0))</f>
        <v/>
      </c>
      <c r="I2057">
        <f>INDEX(Limits!$C$2:$C$5,MATCH(E2057,Limits!$A$2:$A$5,0))</f>
        <v/>
      </c>
      <c r="J2057">
        <f>IF(F2057&gt;=I2057,"Action",IF(F2057&gt;=H2057,"Alert","Pass"))</f>
        <v/>
      </c>
      <c r="K2057" s="4">
        <f>DATE(YEAR(B2057),MONTH(B2057),1)</f>
        <v/>
      </c>
    </row>
    <row r="2058">
      <c r="A2058" t="inlineStr">
        <is>
          <t>EM002057</t>
        </is>
      </c>
      <c r="B2058" s="7" t="n">
        <v>46177</v>
      </c>
      <c r="C2058" t="inlineStr">
        <is>
          <t>CR-102</t>
        </is>
      </c>
      <c r="D2058" t="inlineStr">
        <is>
          <t>ISO 7</t>
        </is>
      </c>
      <c r="E2058" t="inlineStr">
        <is>
          <t>Active air</t>
        </is>
      </c>
      <c r="F2058" t="n">
        <v>3</v>
      </c>
      <c r="G2058" t="inlineStr">
        <is>
          <t>Tech B</t>
        </is>
      </c>
      <c r="H2058">
        <f>INDEX(Limits!$B$2:$B$5,MATCH(E2058,Limits!$A$2:$A$5,0))</f>
        <v/>
      </c>
      <c r="I2058">
        <f>INDEX(Limits!$C$2:$C$5,MATCH(E2058,Limits!$A$2:$A$5,0))</f>
        <v/>
      </c>
      <c r="J2058">
        <f>IF(F2058&gt;=I2058,"Action",IF(F2058&gt;=H2058,"Alert","Pass"))</f>
        <v/>
      </c>
      <c r="K2058" s="4">
        <f>DATE(YEAR(B2058),MONTH(B2058),1)</f>
        <v/>
      </c>
    </row>
    <row r="2059">
      <c r="A2059" t="inlineStr">
        <is>
          <t>EM002058</t>
        </is>
      </c>
      <c r="B2059" s="7" t="n">
        <v>46177</v>
      </c>
      <c r="C2059" t="inlineStr">
        <is>
          <t>CR-102</t>
        </is>
      </c>
      <c r="D2059" t="inlineStr">
        <is>
          <t>ISO 7</t>
        </is>
      </c>
      <c r="E2059" t="inlineStr">
        <is>
          <t>Surface contact</t>
        </is>
      </c>
      <c r="F2059" t="n">
        <v>0</v>
      </c>
      <c r="G2059" t="inlineStr">
        <is>
          <t>Tech A</t>
        </is>
      </c>
      <c r="H2059">
        <f>INDEX(Limits!$B$2:$B$5,MATCH(E2059,Limits!$A$2:$A$5,0))</f>
        <v/>
      </c>
      <c r="I2059">
        <f>INDEX(Limits!$C$2:$C$5,MATCH(E2059,Limits!$A$2:$A$5,0))</f>
        <v/>
      </c>
      <c r="J2059">
        <f>IF(F2059&gt;=I2059,"Action",IF(F2059&gt;=H2059,"Alert","Pass"))</f>
        <v/>
      </c>
      <c r="K2059" s="4">
        <f>DATE(YEAR(B2059),MONTH(B2059),1)</f>
        <v/>
      </c>
    </row>
    <row r="2060">
      <c r="A2060" t="inlineStr">
        <is>
          <t>EM002059</t>
        </is>
      </c>
      <c r="B2060" s="7" t="n">
        <v>46177</v>
      </c>
      <c r="C2060" t="inlineStr">
        <is>
          <t>CR-102</t>
        </is>
      </c>
      <c r="D2060" t="inlineStr">
        <is>
          <t>ISO 7</t>
        </is>
      </c>
      <c r="E2060" t="inlineStr">
        <is>
          <t>Compressed air</t>
        </is>
      </c>
      <c r="F2060" t="n">
        <v>1</v>
      </c>
      <c r="G2060" t="inlineStr">
        <is>
          <t>Tech B</t>
        </is>
      </c>
      <c r="H2060">
        <f>INDEX(Limits!$B$2:$B$5,MATCH(E2060,Limits!$A$2:$A$5,0))</f>
        <v/>
      </c>
      <c r="I2060">
        <f>INDEX(Limits!$C$2:$C$5,MATCH(E2060,Limits!$A$2:$A$5,0))</f>
        <v/>
      </c>
      <c r="J2060">
        <f>IF(F2060&gt;=I2060,"Action",IF(F2060&gt;=H2060,"Alert","Pass"))</f>
        <v/>
      </c>
      <c r="K2060" s="4">
        <f>DATE(YEAR(B2060),MONTH(B2060),1)</f>
        <v/>
      </c>
    </row>
    <row r="2061">
      <c r="A2061" t="inlineStr">
        <is>
          <t>EM002060</t>
        </is>
      </c>
      <c r="B2061" s="7" t="n">
        <v>46177</v>
      </c>
      <c r="C2061" t="inlineStr">
        <is>
          <t>CR-102</t>
        </is>
      </c>
      <c r="D2061" t="inlineStr">
        <is>
          <t>ISO 7</t>
        </is>
      </c>
      <c r="E2061" t="inlineStr">
        <is>
          <t>Personnel glove</t>
        </is>
      </c>
      <c r="F2061" t="n">
        <v>0</v>
      </c>
      <c r="G2061" t="inlineStr">
        <is>
          <t>Tech B</t>
        </is>
      </c>
      <c r="H2061">
        <f>INDEX(Limits!$B$2:$B$5,MATCH(E2061,Limits!$A$2:$A$5,0))</f>
        <v/>
      </c>
      <c r="I2061">
        <f>INDEX(Limits!$C$2:$C$5,MATCH(E2061,Limits!$A$2:$A$5,0))</f>
        <v/>
      </c>
      <c r="J2061">
        <f>IF(F2061&gt;=I2061,"Action",IF(F2061&gt;=H2061,"Alert","Pass"))</f>
        <v/>
      </c>
      <c r="K2061" s="4">
        <f>DATE(YEAR(B2061),MONTH(B2061),1)</f>
        <v/>
      </c>
    </row>
    <row r="2062">
      <c r="A2062" t="inlineStr">
        <is>
          <t>EM002061</t>
        </is>
      </c>
      <c r="B2062" s="7" t="n">
        <v>46177</v>
      </c>
      <c r="C2062" t="inlineStr">
        <is>
          <t>CR-201</t>
        </is>
      </c>
      <c r="D2062" t="inlineStr">
        <is>
          <t>ISO 8</t>
        </is>
      </c>
      <c r="E2062" t="inlineStr">
        <is>
          <t>Active air</t>
        </is>
      </c>
      <c r="F2062" t="n">
        <v>1</v>
      </c>
      <c r="G2062" t="inlineStr">
        <is>
          <t>Tech D</t>
        </is>
      </c>
      <c r="H2062">
        <f>INDEX(Limits!$B$2:$B$5,MATCH(E2062,Limits!$A$2:$A$5,0))</f>
        <v/>
      </c>
      <c r="I2062">
        <f>INDEX(Limits!$C$2:$C$5,MATCH(E2062,Limits!$A$2:$A$5,0))</f>
        <v/>
      </c>
      <c r="J2062">
        <f>IF(F2062&gt;=I2062,"Action",IF(F2062&gt;=H2062,"Alert","Pass"))</f>
        <v/>
      </c>
      <c r="K2062" s="4">
        <f>DATE(YEAR(B2062),MONTH(B2062),1)</f>
        <v/>
      </c>
    </row>
    <row r="2063">
      <c r="A2063" t="inlineStr">
        <is>
          <t>EM002062</t>
        </is>
      </c>
      <c r="B2063" s="7" t="n">
        <v>46177</v>
      </c>
      <c r="C2063" t="inlineStr">
        <is>
          <t>CR-201</t>
        </is>
      </c>
      <c r="D2063" t="inlineStr">
        <is>
          <t>ISO 8</t>
        </is>
      </c>
      <c r="E2063" t="inlineStr">
        <is>
          <t>Surface contact</t>
        </is>
      </c>
      <c r="F2063" t="n">
        <v>2</v>
      </c>
      <c r="G2063" t="inlineStr">
        <is>
          <t>Tech B</t>
        </is>
      </c>
      <c r="H2063">
        <f>INDEX(Limits!$B$2:$B$5,MATCH(E2063,Limits!$A$2:$A$5,0))</f>
        <v/>
      </c>
      <c r="I2063">
        <f>INDEX(Limits!$C$2:$C$5,MATCH(E2063,Limits!$A$2:$A$5,0))</f>
        <v/>
      </c>
      <c r="J2063">
        <f>IF(F2063&gt;=I2063,"Action",IF(F2063&gt;=H2063,"Alert","Pass"))</f>
        <v/>
      </c>
      <c r="K2063" s="4">
        <f>DATE(YEAR(B2063),MONTH(B2063),1)</f>
        <v/>
      </c>
    </row>
    <row r="2064">
      <c r="A2064" t="inlineStr">
        <is>
          <t>EM002063</t>
        </is>
      </c>
      <c r="B2064" s="7" t="n">
        <v>46177</v>
      </c>
      <c r="C2064" t="inlineStr">
        <is>
          <t>CR-201</t>
        </is>
      </c>
      <c r="D2064" t="inlineStr">
        <is>
          <t>ISO 8</t>
        </is>
      </c>
      <c r="E2064" t="inlineStr">
        <is>
          <t>Compressed air</t>
        </is>
      </c>
      <c r="F2064" t="n">
        <v>0</v>
      </c>
      <c r="G2064" t="inlineStr">
        <is>
          <t>Tech C</t>
        </is>
      </c>
      <c r="H2064">
        <f>INDEX(Limits!$B$2:$B$5,MATCH(E2064,Limits!$A$2:$A$5,0))</f>
        <v/>
      </c>
      <c r="I2064">
        <f>INDEX(Limits!$C$2:$C$5,MATCH(E2064,Limits!$A$2:$A$5,0))</f>
        <v/>
      </c>
      <c r="J2064">
        <f>IF(F2064&gt;=I2064,"Action",IF(F2064&gt;=H2064,"Alert","Pass"))</f>
        <v/>
      </c>
      <c r="K2064" s="4">
        <f>DATE(YEAR(B2064),MONTH(B2064),1)</f>
        <v/>
      </c>
    </row>
    <row r="2065">
      <c r="A2065" t="inlineStr">
        <is>
          <t>EM002064</t>
        </is>
      </c>
      <c r="B2065" s="7" t="n">
        <v>46177</v>
      </c>
      <c r="C2065" t="inlineStr">
        <is>
          <t>CR-201</t>
        </is>
      </c>
      <c r="D2065" t="inlineStr">
        <is>
          <t>ISO 8</t>
        </is>
      </c>
      <c r="E2065" t="inlineStr">
        <is>
          <t>Personnel glove</t>
        </is>
      </c>
      <c r="F2065" t="n">
        <v>0</v>
      </c>
      <c r="G2065" t="inlineStr">
        <is>
          <t>Tech D</t>
        </is>
      </c>
      <c r="H2065">
        <f>INDEX(Limits!$B$2:$B$5,MATCH(E2065,Limits!$A$2:$A$5,0))</f>
        <v/>
      </c>
      <c r="I2065">
        <f>INDEX(Limits!$C$2:$C$5,MATCH(E2065,Limits!$A$2:$A$5,0))</f>
        <v/>
      </c>
      <c r="J2065">
        <f>IF(F2065&gt;=I2065,"Action",IF(F2065&gt;=H2065,"Alert","Pass"))</f>
        <v/>
      </c>
      <c r="K2065" s="4">
        <f>DATE(YEAR(B2065),MONTH(B2065),1)</f>
        <v/>
      </c>
    </row>
    <row r="2066">
      <c r="A2066" t="inlineStr">
        <is>
          <t>EM002065</t>
        </is>
      </c>
      <c r="B2066" s="7" t="n">
        <v>46177</v>
      </c>
      <c r="C2066" t="inlineStr">
        <is>
          <t>CR-202</t>
        </is>
      </c>
      <c r="D2066" t="inlineStr">
        <is>
          <t>ISO 8</t>
        </is>
      </c>
      <c r="E2066" t="inlineStr">
        <is>
          <t>Active air</t>
        </is>
      </c>
      <c r="F2066" t="n">
        <v>1</v>
      </c>
      <c r="G2066" t="inlineStr">
        <is>
          <t>Tech A</t>
        </is>
      </c>
      <c r="H2066">
        <f>INDEX(Limits!$B$2:$B$5,MATCH(E2066,Limits!$A$2:$A$5,0))</f>
        <v/>
      </c>
      <c r="I2066">
        <f>INDEX(Limits!$C$2:$C$5,MATCH(E2066,Limits!$A$2:$A$5,0))</f>
        <v/>
      </c>
      <c r="J2066">
        <f>IF(F2066&gt;=I2066,"Action",IF(F2066&gt;=H2066,"Alert","Pass"))</f>
        <v/>
      </c>
      <c r="K2066" s="4">
        <f>DATE(YEAR(B2066),MONTH(B2066),1)</f>
        <v/>
      </c>
    </row>
    <row r="2067">
      <c r="A2067" t="inlineStr">
        <is>
          <t>EM002066</t>
        </is>
      </c>
      <c r="B2067" s="7" t="n">
        <v>46177</v>
      </c>
      <c r="C2067" t="inlineStr">
        <is>
          <t>CR-202</t>
        </is>
      </c>
      <c r="D2067" t="inlineStr">
        <is>
          <t>ISO 8</t>
        </is>
      </c>
      <c r="E2067" t="inlineStr">
        <is>
          <t>Surface contact</t>
        </is>
      </c>
      <c r="F2067" t="n">
        <v>0</v>
      </c>
      <c r="G2067" t="inlineStr">
        <is>
          <t>Tech B</t>
        </is>
      </c>
      <c r="H2067">
        <f>INDEX(Limits!$B$2:$B$5,MATCH(E2067,Limits!$A$2:$A$5,0))</f>
        <v/>
      </c>
      <c r="I2067">
        <f>INDEX(Limits!$C$2:$C$5,MATCH(E2067,Limits!$A$2:$A$5,0))</f>
        <v/>
      </c>
      <c r="J2067">
        <f>IF(F2067&gt;=I2067,"Action",IF(F2067&gt;=H2067,"Alert","Pass"))</f>
        <v/>
      </c>
      <c r="K2067" s="4">
        <f>DATE(YEAR(B2067),MONTH(B2067),1)</f>
        <v/>
      </c>
    </row>
    <row r="2068">
      <c r="A2068" t="inlineStr">
        <is>
          <t>EM002067</t>
        </is>
      </c>
      <c r="B2068" s="7" t="n">
        <v>46177</v>
      </c>
      <c r="C2068" t="inlineStr">
        <is>
          <t>CR-202</t>
        </is>
      </c>
      <c r="D2068" t="inlineStr">
        <is>
          <t>ISO 8</t>
        </is>
      </c>
      <c r="E2068" t="inlineStr">
        <is>
          <t>Compressed air</t>
        </is>
      </c>
      <c r="F2068" t="n">
        <v>0</v>
      </c>
      <c r="G2068" t="inlineStr">
        <is>
          <t>Tech D</t>
        </is>
      </c>
      <c r="H2068">
        <f>INDEX(Limits!$B$2:$B$5,MATCH(E2068,Limits!$A$2:$A$5,0))</f>
        <v/>
      </c>
      <c r="I2068">
        <f>INDEX(Limits!$C$2:$C$5,MATCH(E2068,Limits!$A$2:$A$5,0))</f>
        <v/>
      </c>
      <c r="J2068">
        <f>IF(F2068&gt;=I2068,"Action",IF(F2068&gt;=H2068,"Alert","Pass"))</f>
        <v/>
      </c>
      <c r="K2068" s="4">
        <f>DATE(YEAR(B2068),MONTH(B2068),1)</f>
        <v/>
      </c>
    </row>
    <row r="2069">
      <c r="A2069" t="inlineStr">
        <is>
          <t>EM002068</t>
        </is>
      </c>
      <c r="B2069" s="7" t="n">
        <v>46177</v>
      </c>
      <c r="C2069" t="inlineStr">
        <is>
          <t>CR-202</t>
        </is>
      </c>
      <c r="D2069" t="inlineStr">
        <is>
          <t>ISO 8</t>
        </is>
      </c>
      <c r="E2069" t="inlineStr">
        <is>
          <t>Personnel glove</t>
        </is>
      </c>
      <c r="F2069" t="n">
        <v>0</v>
      </c>
      <c r="G2069" t="inlineStr">
        <is>
          <t>Tech B</t>
        </is>
      </c>
      <c r="H2069">
        <f>INDEX(Limits!$B$2:$B$5,MATCH(E2069,Limits!$A$2:$A$5,0))</f>
        <v/>
      </c>
      <c r="I2069">
        <f>INDEX(Limits!$C$2:$C$5,MATCH(E2069,Limits!$A$2:$A$5,0))</f>
        <v/>
      </c>
      <c r="J2069">
        <f>IF(F2069&gt;=I2069,"Action",IF(F2069&gt;=H2069,"Alert","Pass"))</f>
        <v/>
      </c>
      <c r="K2069" s="4">
        <f>DATE(YEAR(B2069),MONTH(B2069),1)</f>
        <v/>
      </c>
    </row>
    <row r="2070">
      <c r="A2070" t="inlineStr">
        <is>
          <t>EM002069</t>
        </is>
      </c>
      <c r="B2070" s="7" t="n">
        <v>46177</v>
      </c>
      <c r="C2070" t="inlineStr">
        <is>
          <t>Gowning</t>
        </is>
      </c>
      <c r="D2070" t="inlineStr">
        <is>
          <t>ISO 8</t>
        </is>
      </c>
      <c r="E2070" t="inlineStr">
        <is>
          <t>Active air</t>
        </is>
      </c>
      <c r="F2070" t="n">
        <v>2</v>
      </c>
      <c r="G2070" t="inlineStr">
        <is>
          <t>Tech A</t>
        </is>
      </c>
      <c r="H2070">
        <f>INDEX(Limits!$B$2:$B$5,MATCH(E2070,Limits!$A$2:$A$5,0))</f>
        <v/>
      </c>
      <c r="I2070">
        <f>INDEX(Limits!$C$2:$C$5,MATCH(E2070,Limits!$A$2:$A$5,0))</f>
        <v/>
      </c>
      <c r="J2070">
        <f>IF(F2070&gt;=I2070,"Action",IF(F2070&gt;=H2070,"Alert","Pass"))</f>
        <v/>
      </c>
      <c r="K2070" s="4">
        <f>DATE(YEAR(B2070),MONTH(B2070),1)</f>
        <v/>
      </c>
    </row>
    <row r="2071">
      <c r="A2071" t="inlineStr">
        <is>
          <t>EM002070</t>
        </is>
      </c>
      <c r="B2071" s="7" t="n">
        <v>46177</v>
      </c>
      <c r="C2071" t="inlineStr">
        <is>
          <t>Gowning</t>
        </is>
      </c>
      <c r="D2071" t="inlineStr">
        <is>
          <t>ISO 8</t>
        </is>
      </c>
      <c r="E2071" t="inlineStr">
        <is>
          <t>Surface contact</t>
        </is>
      </c>
      <c r="F2071" t="n">
        <v>1</v>
      </c>
      <c r="G2071" t="inlineStr">
        <is>
          <t>Tech C</t>
        </is>
      </c>
      <c r="H2071">
        <f>INDEX(Limits!$B$2:$B$5,MATCH(E2071,Limits!$A$2:$A$5,0))</f>
        <v/>
      </c>
      <c r="I2071">
        <f>INDEX(Limits!$C$2:$C$5,MATCH(E2071,Limits!$A$2:$A$5,0))</f>
        <v/>
      </c>
      <c r="J2071">
        <f>IF(F2071&gt;=I2071,"Action",IF(F2071&gt;=H2071,"Alert","Pass"))</f>
        <v/>
      </c>
      <c r="K2071" s="4">
        <f>DATE(YEAR(B2071),MONTH(B2071),1)</f>
        <v/>
      </c>
    </row>
    <row r="2072">
      <c r="A2072" t="inlineStr">
        <is>
          <t>EM002071</t>
        </is>
      </c>
      <c r="B2072" s="7" t="n">
        <v>46177</v>
      </c>
      <c r="C2072" t="inlineStr">
        <is>
          <t>Gowning</t>
        </is>
      </c>
      <c r="D2072" t="inlineStr">
        <is>
          <t>ISO 8</t>
        </is>
      </c>
      <c r="E2072" t="inlineStr">
        <is>
          <t>Personnel glove</t>
        </is>
      </c>
      <c r="F2072" t="n">
        <v>0</v>
      </c>
      <c r="G2072" t="inlineStr">
        <is>
          <t>Tech A</t>
        </is>
      </c>
      <c r="H2072">
        <f>INDEX(Limits!$B$2:$B$5,MATCH(E2072,Limits!$A$2:$A$5,0))</f>
        <v/>
      </c>
      <c r="I2072">
        <f>INDEX(Limits!$C$2:$C$5,MATCH(E2072,Limits!$A$2:$A$5,0))</f>
        <v/>
      </c>
      <c r="J2072">
        <f>IF(F2072&gt;=I2072,"Action",IF(F2072&gt;=H2072,"Alert","Pass"))</f>
        <v/>
      </c>
      <c r="K2072" s="4">
        <f>DATE(YEAR(B2072),MONTH(B2072),1)</f>
        <v/>
      </c>
    </row>
    <row r="2073">
      <c r="A2073" t="inlineStr">
        <is>
          <t>EM002072</t>
        </is>
      </c>
      <c r="B2073" s="7" t="n">
        <v>46178</v>
      </c>
      <c r="C2073" t="inlineStr">
        <is>
          <t>CR-101</t>
        </is>
      </c>
      <c r="D2073" t="inlineStr">
        <is>
          <t>ISO 7</t>
        </is>
      </c>
      <c r="E2073" t="inlineStr">
        <is>
          <t>Active air</t>
        </is>
      </c>
      <c r="F2073" t="n">
        <v>3</v>
      </c>
      <c r="G2073" t="inlineStr">
        <is>
          <t>Tech A</t>
        </is>
      </c>
      <c r="H2073">
        <f>INDEX(Limits!$B$2:$B$5,MATCH(E2073,Limits!$A$2:$A$5,0))</f>
        <v/>
      </c>
      <c r="I2073">
        <f>INDEX(Limits!$C$2:$C$5,MATCH(E2073,Limits!$A$2:$A$5,0))</f>
        <v/>
      </c>
      <c r="J2073">
        <f>IF(F2073&gt;=I2073,"Action",IF(F2073&gt;=H2073,"Alert","Pass"))</f>
        <v/>
      </c>
      <c r="K2073" s="4">
        <f>DATE(YEAR(B2073),MONTH(B2073),1)</f>
        <v/>
      </c>
    </row>
    <row r="2074">
      <c r="A2074" t="inlineStr">
        <is>
          <t>EM002073</t>
        </is>
      </c>
      <c r="B2074" s="7" t="n">
        <v>46178</v>
      </c>
      <c r="C2074" t="inlineStr">
        <is>
          <t>CR-101</t>
        </is>
      </c>
      <c r="D2074" t="inlineStr">
        <is>
          <t>ISO 7</t>
        </is>
      </c>
      <c r="E2074" t="inlineStr">
        <is>
          <t>Surface contact</t>
        </is>
      </c>
      <c r="F2074" t="n">
        <v>0</v>
      </c>
      <c r="G2074" t="inlineStr">
        <is>
          <t>Tech C</t>
        </is>
      </c>
      <c r="H2074">
        <f>INDEX(Limits!$B$2:$B$5,MATCH(E2074,Limits!$A$2:$A$5,0))</f>
        <v/>
      </c>
      <c r="I2074">
        <f>INDEX(Limits!$C$2:$C$5,MATCH(E2074,Limits!$A$2:$A$5,0))</f>
        <v/>
      </c>
      <c r="J2074">
        <f>IF(F2074&gt;=I2074,"Action",IF(F2074&gt;=H2074,"Alert","Pass"))</f>
        <v/>
      </c>
      <c r="K2074" s="4">
        <f>DATE(YEAR(B2074),MONTH(B2074),1)</f>
        <v/>
      </c>
    </row>
    <row r="2075">
      <c r="A2075" t="inlineStr">
        <is>
          <t>EM002074</t>
        </is>
      </c>
      <c r="B2075" s="7" t="n">
        <v>46178</v>
      </c>
      <c r="C2075" t="inlineStr">
        <is>
          <t>CR-101</t>
        </is>
      </c>
      <c r="D2075" t="inlineStr">
        <is>
          <t>ISO 7</t>
        </is>
      </c>
      <c r="E2075" t="inlineStr">
        <is>
          <t>Compressed air</t>
        </is>
      </c>
      <c r="F2075" t="n">
        <v>0</v>
      </c>
      <c r="G2075" t="inlineStr">
        <is>
          <t>Tech B</t>
        </is>
      </c>
      <c r="H2075">
        <f>INDEX(Limits!$B$2:$B$5,MATCH(E2075,Limits!$A$2:$A$5,0))</f>
        <v/>
      </c>
      <c r="I2075">
        <f>INDEX(Limits!$C$2:$C$5,MATCH(E2075,Limits!$A$2:$A$5,0))</f>
        <v/>
      </c>
      <c r="J2075">
        <f>IF(F2075&gt;=I2075,"Action",IF(F2075&gt;=H2075,"Alert","Pass"))</f>
        <v/>
      </c>
      <c r="K2075" s="4">
        <f>DATE(YEAR(B2075),MONTH(B2075),1)</f>
        <v/>
      </c>
    </row>
    <row r="2076">
      <c r="A2076" t="inlineStr">
        <is>
          <t>EM002075</t>
        </is>
      </c>
      <c r="B2076" s="7" t="n">
        <v>46178</v>
      </c>
      <c r="C2076" t="inlineStr">
        <is>
          <t>CR-101</t>
        </is>
      </c>
      <c r="D2076" t="inlineStr">
        <is>
          <t>ISO 7</t>
        </is>
      </c>
      <c r="E2076" t="inlineStr">
        <is>
          <t>Personnel glove</t>
        </is>
      </c>
      <c r="F2076" t="n">
        <v>0</v>
      </c>
      <c r="G2076" t="inlineStr">
        <is>
          <t>Tech C</t>
        </is>
      </c>
      <c r="H2076">
        <f>INDEX(Limits!$B$2:$B$5,MATCH(E2076,Limits!$A$2:$A$5,0))</f>
        <v/>
      </c>
      <c r="I2076">
        <f>INDEX(Limits!$C$2:$C$5,MATCH(E2076,Limits!$A$2:$A$5,0))</f>
        <v/>
      </c>
      <c r="J2076">
        <f>IF(F2076&gt;=I2076,"Action",IF(F2076&gt;=H2076,"Alert","Pass"))</f>
        <v/>
      </c>
      <c r="K2076" s="4">
        <f>DATE(YEAR(B2076),MONTH(B2076),1)</f>
        <v/>
      </c>
    </row>
    <row r="2077">
      <c r="A2077" t="inlineStr">
        <is>
          <t>EM002076</t>
        </is>
      </c>
      <c r="B2077" s="7" t="n">
        <v>46178</v>
      </c>
      <c r="C2077" t="inlineStr">
        <is>
          <t>CR-102</t>
        </is>
      </c>
      <c r="D2077" t="inlineStr">
        <is>
          <t>ISO 7</t>
        </is>
      </c>
      <c r="E2077" t="inlineStr">
        <is>
          <t>Active air</t>
        </is>
      </c>
      <c r="F2077" t="n">
        <v>0</v>
      </c>
      <c r="G2077" t="inlineStr">
        <is>
          <t>Tech B</t>
        </is>
      </c>
      <c r="H2077">
        <f>INDEX(Limits!$B$2:$B$5,MATCH(E2077,Limits!$A$2:$A$5,0))</f>
        <v/>
      </c>
      <c r="I2077">
        <f>INDEX(Limits!$C$2:$C$5,MATCH(E2077,Limits!$A$2:$A$5,0))</f>
        <v/>
      </c>
      <c r="J2077">
        <f>IF(F2077&gt;=I2077,"Action",IF(F2077&gt;=H2077,"Alert","Pass"))</f>
        <v/>
      </c>
      <c r="K2077" s="4">
        <f>DATE(YEAR(B2077),MONTH(B2077),1)</f>
        <v/>
      </c>
    </row>
    <row r="2078">
      <c r="A2078" t="inlineStr">
        <is>
          <t>EM002077</t>
        </is>
      </c>
      <c r="B2078" s="7" t="n">
        <v>46178</v>
      </c>
      <c r="C2078" t="inlineStr">
        <is>
          <t>CR-102</t>
        </is>
      </c>
      <c r="D2078" t="inlineStr">
        <is>
          <t>ISO 7</t>
        </is>
      </c>
      <c r="E2078" t="inlineStr">
        <is>
          <t>Surface contact</t>
        </is>
      </c>
      <c r="F2078" t="n">
        <v>1</v>
      </c>
      <c r="G2078" t="inlineStr">
        <is>
          <t>Tech D</t>
        </is>
      </c>
      <c r="H2078">
        <f>INDEX(Limits!$B$2:$B$5,MATCH(E2078,Limits!$A$2:$A$5,0))</f>
        <v/>
      </c>
      <c r="I2078">
        <f>INDEX(Limits!$C$2:$C$5,MATCH(E2078,Limits!$A$2:$A$5,0))</f>
        <v/>
      </c>
      <c r="J2078">
        <f>IF(F2078&gt;=I2078,"Action",IF(F2078&gt;=H2078,"Alert","Pass"))</f>
        <v/>
      </c>
      <c r="K2078" s="4">
        <f>DATE(YEAR(B2078),MONTH(B2078),1)</f>
        <v/>
      </c>
    </row>
    <row r="2079">
      <c r="A2079" t="inlineStr">
        <is>
          <t>EM002078</t>
        </is>
      </c>
      <c r="B2079" s="7" t="n">
        <v>46178</v>
      </c>
      <c r="C2079" t="inlineStr">
        <is>
          <t>CR-102</t>
        </is>
      </c>
      <c r="D2079" t="inlineStr">
        <is>
          <t>ISO 7</t>
        </is>
      </c>
      <c r="E2079" t="inlineStr">
        <is>
          <t>Compressed air</t>
        </is>
      </c>
      <c r="F2079" t="n">
        <v>0</v>
      </c>
      <c r="G2079" t="inlineStr">
        <is>
          <t>Tech A</t>
        </is>
      </c>
      <c r="H2079">
        <f>INDEX(Limits!$B$2:$B$5,MATCH(E2079,Limits!$A$2:$A$5,0))</f>
        <v/>
      </c>
      <c r="I2079">
        <f>INDEX(Limits!$C$2:$C$5,MATCH(E2079,Limits!$A$2:$A$5,0))</f>
        <v/>
      </c>
      <c r="J2079">
        <f>IF(F2079&gt;=I2079,"Action",IF(F2079&gt;=H2079,"Alert","Pass"))</f>
        <v/>
      </c>
      <c r="K2079" s="4">
        <f>DATE(YEAR(B2079),MONTH(B2079),1)</f>
        <v/>
      </c>
    </row>
    <row r="2080">
      <c r="A2080" t="inlineStr">
        <is>
          <t>EM002079</t>
        </is>
      </c>
      <c r="B2080" s="7" t="n">
        <v>46178</v>
      </c>
      <c r="C2080" t="inlineStr">
        <is>
          <t>CR-102</t>
        </is>
      </c>
      <c r="D2080" t="inlineStr">
        <is>
          <t>ISO 7</t>
        </is>
      </c>
      <c r="E2080" t="inlineStr">
        <is>
          <t>Personnel glove</t>
        </is>
      </c>
      <c r="F2080" t="n">
        <v>0</v>
      </c>
      <c r="G2080" t="inlineStr">
        <is>
          <t>Tech C</t>
        </is>
      </c>
      <c r="H2080">
        <f>INDEX(Limits!$B$2:$B$5,MATCH(E2080,Limits!$A$2:$A$5,0))</f>
        <v/>
      </c>
      <c r="I2080">
        <f>INDEX(Limits!$C$2:$C$5,MATCH(E2080,Limits!$A$2:$A$5,0))</f>
        <v/>
      </c>
      <c r="J2080">
        <f>IF(F2080&gt;=I2080,"Action",IF(F2080&gt;=H2080,"Alert","Pass"))</f>
        <v/>
      </c>
      <c r="K2080" s="4">
        <f>DATE(YEAR(B2080),MONTH(B2080),1)</f>
        <v/>
      </c>
    </row>
    <row r="2081">
      <c r="A2081" t="inlineStr">
        <is>
          <t>EM002080</t>
        </is>
      </c>
      <c r="B2081" s="7" t="n">
        <v>46178</v>
      </c>
      <c r="C2081" t="inlineStr">
        <is>
          <t>CR-201</t>
        </is>
      </c>
      <c r="D2081" t="inlineStr">
        <is>
          <t>ISO 8</t>
        </is>
      </c>
      <c r="E2081" t="inlineStr">
        <is>
          <t>Active air</t>
        </is>
      </c>
      <c r="F2081" t="n">
        <v>4</v>
      </c>
      <c r="G2081" t="inlineStr">
        <is>
          <t>Tech D</t>
        </is>
      </c>
      <c r="H2081">
        <f>INDEX(Limits!$B$2:$B$5,MATCH(E2081,Limits!$A$2:$A$5,0))</f>
        <v/>
      </c>
      <c r="I2081">
        <f>INDEX(Limits!$C$2:$C$5,MATCH(E2081,Limits!$A$2:$A$5,0))</f>
        <v/>
      </c>
      <c r="J2081">
        <f>IF(F2081&gt;=I2081,"Action",IF(F2081&gt;=H2081,"Alert","Pass"))</f>
        <v/>
      </c>
      <c r="K2081" s="4">
        <f>DATE(YEAR(B2081),MONTH(B2081),1)</f>
        <v/>
      </c>
    </row>
    <row r="2082">
      <c r="A2082" t="inlineStr">
        <is>
          <t>EM002081</t>
        </is>
      </c>
      <c r="B2082" s="7" t="n">
        <v>46178</v>
      </c>
      <c r="C2082" t="inlineStr">
        <is>
          <t>CR-201</t>
        </is>
      </c>
      <c r="D2082" t="inlineStr">
        <is>
          <t>ISO 8</t>
        </is>
      </c>
      <c r="E2082" t="inlineStr">
        <is>
          <t>Surface contact</t>
        </is>
      </c>
      <c r="F2082" t="n">
        <v>0</v>
      </c>
      <c r="G2082" t="inlineStr">
        <is>
          <t>Tech B</t>
        </is>
      </c>
      <c r="H2082">
        <f>INDEX(Limits!$B$2:$B$5,MATCH(E2082,Limits!$A$2:$A$5,0))</f>
        <v/>
      </c>
      <c r="I2082">
        <f>INDEX(Limits!$C$2:$C$5,MATCH(E2082,Limits!$A$2:$A$5,0))</f>
        <v/>
      </c>
      <c r="J2082">
        <f>IF(F2082&gt;=I2082,"Action",IF(F2082&gt;=H2082,"Alert","Pass"))</f>
        <v/>
      </c>
      <c r="K2082" s="4">
        <f>DATE(YEAR(B2082),MONTH(B2082),1)</f>
        <v/>
      </c>
    </row>
    <row r="2083">
      <c r="A2083" t="inlineStr">
        <is>
          <t>EM002082</t>
        </is>
      </c>
      <c r="B2083" s="7" t="n">
        <v>46178</v>
      </c>
      <c r="C2083" t="inlineStr">
        <is>
          <t>CR-201</t>
        </is>
      </c>
      <c r="D2083" t="inlineStr">
        <is>
          <t>ISO 8</t>
        </is>
      </c>
      <c r="E2083" t="inlineStr">
        <is>
          <t>Compressed air</t>
        </is>
      </c>
      <c r="F2083" t="n">
        <v>0</v>
      </c>
      <c r="G2083" t="inlineStr">
        <is>
          <t>Tech B</t>
        </is>
      </c>
      <c r="H2083">
        <f>INDEX(Limits!$B$2:$B$5,MATCH(E2083,Limits!$A$2:$A$5,0))</f>
        <v/>
      </c>
      <c r="I2083">
        <f>INDEX(Limits!$C$2:$C$5,MATCH(E2083,Limits!$A$2:$A$5,0))</f>
        <v/>
      </c>
      <c r="J2083">
        <f>IF(F2083&gt;=I2083,"Action",IF(F2083&gt;=H2083,"Alert","Pass"))</f>
        <v/>
      </c>
      <c r="K2083" s="4">
        <f>DATE(YEAR(B2083),MONTH(B2083),1)</f>
        <v/>
      </c>
    </row>
    <row r="2084">
      <c r="A2084" t="inlineStr">
        <is>
          <t>EM002083</t>
        </is>
      </c>
      <c r="B2084" s="7" t="n">
        <v>46178</v>
      </c>
      <c r="C2084" t="inlineStr">
        <is>
          <t>CR-201</t>
        </is>
      </c>
      <c r="D2084" t="inlineStr">
        <is>
          <t>ISO 8</t>
        </is>
      </c>
      <c r="E2084" t="inlineStr">
        <is>
          <t>Personnel glove</t>
        </is>
      </c>
      <c r="F2084" t="n">
        <v>0</v>
      </c>
      <c r="G2084" t="inlineStr">
        <is>
          <t>Tech D</t>
        </is>
      </c>
      <c r="H2084">
        <f>INDEX(Limits!$B$2:$B$5,MATCH(E2084,Limits!$A$2:$A$5,0))</f>
        <v/>
      </c>
      <c r="I2084">
        <f>INDEX(Limits!$C$2:$C$5,MATCH(E2084,Limits!$A$2:$A$5,0))</f>
        <v/>
      </c>
      <c r="J2084">
        <f>IF(F2084&gt;=I2084,"Action",IF(F2084&gt;=H2084,"Alert","Pass"))</f>
        <v/>
      </c>
      <c r="K2084" s="4">
        <f>DATE(YEAR(B2084),MONTH(B2084),1)</f>
        <v/>
      </c>
    </row>
    <row r="2085">
      <c r="A2085" t="inlineStr">
        <is>
          <t>EM002084</t>
        </is>
      </c>
      <c r="B2085" s="7" t="n">
        <v>46178</v>
      </c>
      <c r="C2085" t="inlineStr">
        <is>
          <t>CR-202</t>
        </is>
      </c>
      <c r="D2085" t="inlineStr">
        <is>
          <t>ISO 8</t>
        </is>
      </c>
      <c r="E2085" t="inlineStr">
        <is>
          <t>Active air</t>
        </is>
      </c>
      <c r="F2085" t="n">
        <v>1</v>
      </c>
      <c r="G2085" t="inlineStr">
        <is>
          <t>Tech D</t>
        </is>
      </c>
      <c r="H2085">
        <f>INDEX(Limits!$B$2:$B$5,MATCH(E2085,Limits!$A$2:$A$5,0))</f>
        <v/>
      </c>
      <c r="I2085">
        <f>INDEX(Limits!$C$2:$C$5,MATCH(E2085,Limits!$A$2:$A$5,0))</f>
        <v/>
      </c>
      <c r="J2085">
        <f>IF(F2085&gt;=I2085,"Action",IF(F2085&gt;=H2085,"Alert","Pass"))</f>
        <v/>
      </c>
      <c r="K2085" s="4">
        <f>DATE(YEAR(B2085),MONTH(B2085),1)</f>
        <v/>
      </c>
    </row>
    <row r="2086">
      <c r="A2086" t="inlineStr">
        <is>
          <t>EM002085</t>
        </is>
      </c>
      <c r="B2086" s="7" t="n">
        <v>46178</v>
      </c>
      <c r="C2086" t="inlineStr">
        <is>
          <t>CR-202</t>
        </is>
      </c>
      <c r="D2086" t="inlineStr">
        <is>
          <t>ISO 8</t>
        </is>
      </c>
      <c r="E2086" t="inlineStr">
        <is>
          <t>Surface contact</t>
        </is>
      </c>
      <c r="F2086" t="n">
        <v>0</v>
      </c>
      <c r="G2086" t="inlineStr">
        <is>
          <t>Tech C</t>
        </is>
      </c>
      <c r="H2086">
        <f>INDEX(Limits!$B$2:$B$5,MATCH(E2086,Limits!$A$2:$A$5,0))</f>
        <v/>
      </c>
      <c r="I2086">
        <f>INDEX(Limits!$C$2:$C$5,MATCH(E2086,Limits!$A$2:$A$5,0))</f>
        <v/>
      </c>
      <c r="J2086">
        <f>IF(F2086&gt;=I2086,"Action",IF(F2086&gt;=H2086,"Alert","Pass"))</f>
        <v/>
      </c>
      <c r="K2086" s="4">
        <f>DATE(YEAR(B2086),MONTH(B2086),1)</f>
        <v/>
      </c>
    </row>
    <row r="2087">
      <c r="A2087" t="inlineStr">
        <is>
          <t>EM002086</t>
        </is>
      </c>
      <c r="B2087" s="7" t="n">
        <v>46178</v>
      </c>
      <c r="C2087" t="inlineStr">
        <is>
          <t>CR-202</t>
        </is>
      </c>
      <c r="D2087" t="inlineStr">
        <is>
          <t>ISO 8</t>
        </is>
      </c>
      <c r="E2087" t="inlineStr">
        <is>
          <t>Compressed air</t>
        </is>
      </c>
      <c r="F2087" t="n">
        <v>0</v>
      </c>
      <c r="G2087" t="inlineStr">
        <is>
          <t>Tech C</t>
        </is>
      </c>
      <c r="H2087">
        <f>INDEX(Limits!$B$2:$B$5,MATCH(E2087,Limits!$A$2:$A$5,0))</f>
        <v/>
      </c>
      <c r="I2087">
        <f>INDEX(Limits!$C$2:$C$5,MATCH(E2087,Limits!$A$2:$A$5,0))</f>
        <v/>
      </c>
      <c r="J2087">
        <f>IF(F2087&gt;=I2087,"Action",IF(F2087&gt;=H2087,"Alert","Pass"))</f>
        <v/>
      </c>
      <c r="K2087" s="4">
        <f>DATE(YEAR(B2087),MONTH(B2087),1)</f>
        <v/>
      </c>
    </row>
    <row r="2088">
      <c r="A2088" t="inlineStr">
        <is>
          <t>EM002087</t>
        </is>
      </c>
      <c r="B2088" s="7" t="n">
        <v>46178</v>
      </c>
      <c r="C2088" t="inlineStr">
        <is>
          <t>CR-202</t>
        </is>
      </c>
      <c r="D2088" t="inlineStr">
        <is>
          <t>ISO 8</t>
        </is>
      </c>
      <c r="E2088" t="inlineStr">
        <is>
          <t>Personnel glove</t>
        </is>
      </c>
      <c r="F2088" t="n">
        <v>0</v>
      </c>
      <c r="G2088" t="inlineStr">
        <is>
          <t>Tech A</t>
        </is>
      </c>
      <c r="H2088">
        <f>INDEX(Limits!$B$2:$B$5,MATCH(E2088,Limits!$A$2:$A$5,0))</f>
        <v/>
      </c>
      <c r="I2088">
        <f>INDEX(Limits!$C$2:$C$5,MATCH(E2088,Limits!$A$2:$A$5,0))</f>
        <v/>
      </c>
      <c r="J2088">
        <f>IF(F2088&gt;=I2088,"Action",IF(F2088&gt;=H2088,"Alert","Pass"))</f>
        <v/>
      </c>
      <c r="K2088" s="4">
        <f>DATE(YEAR(B2088),MONTH(B2088),1)</f>
        <v/>
      </c>
    </row>
    <row r="2089">
      <c r="A2089" t="inlineStr">
        <is>
          <t>EM002088</t>
        </is>
      </c>
      <c r="B2089" s="7" t="n">
        <v>46178</v>
      </c>
      <c r="C2089" t="inlineStr">
        <is>
          <t>Gowning</t>
        </is>
      </c>
      <c r="D2089" t="inlineStr">
        <is>
          <t>ISO 8</t>
        </is>
      </c>
      <c r="E2089" t="inlineStr">
        <is>
          <t>Active air</t>
        </is>
      </c>
      <c r="F2089" t="n">
        <v>0</v>
      </c>
      <c r="G2089" t="inlineStr">
        <is>
          <t>Tech D</t>
        </is>
      </c>
      <c r="H2089">
        <f>INDEX(Limits!$B$2:$B$5,MATCH(E2089,Limits!$A$2:$A$5,0))</f>
        <v/>
      </c>
      <c r="I2089">
        <f>INDEX(Limits!$C$2:$C$5,MATCH(E2089,Limits!$A$2:$A$5,0))</f>
        <v/>
      </c>
      <c r="J2089">
        <f>IF(F2089&gt;=I2089,"Action",IF(F2089&gt;=H2089,"Alert","Pass"))</f>
        <v/>
      </c>
      <c r="K2089" s="4">
        <f>DATE(YEAR(B2089),MONTH(B2089),1)</f>
        <v/>
      </c>
    </row>
    <row r="2090">
      <c r="A2090" t="inlineStr">
        <is>
          <t>EM002089</t>
        </is>
      </c>
      <c r="B2090" s="7" t="n">
        <v>46178</v>
      </c>
      <c r="C2090" t="inlineStr">
        <is>
          <t>Gowning</t>
        </is>
      </c>
      <c r="D2090" t="inlineStr">
        <is>
          <t>ISO 8</t>
        </is>
      </c>
      <c r="E2090" t="inlineStr">
        <is>
          <t>Surface contact</t>
        </is>
      </c>
      <c r="F2090" t="n">
        <v>1</v>
      </c>
      <c r="G2090" t="inlineStr">
        <is>
          <t>Tech A</t>
        </is>
      </c>
      <c r="H2090">
        <f>INDEX(Limits!$B$2:$B$5,MATCH(E2090,Limits!$A$2:$A$5,0))</f>
        <v/>
      </c>
      <c r="I2090">
        <f>INDEX(Limits!$C$2:$C$5,MATCH(E2090,Limits!$A$2:$A$5,0))</f>
        <v/>
      </c>
      <c r="J2090">
        <f>IF(F2090&gt;=I2090,"Action",IF(F2090&gt;=H2090,"Alert","Pass"))</f>
        <v/>
      </c>
      <c r="K2090" s="4">
        <f>DATE(YEAR(B2090),MONTH(B2090),1)</f>
        <v/>
      </c>
    </row>
    <row r="2091">
      <c r="A2091" t="inlineStr">
        <is>
          <t>EM002090</t>
        </is>
      </c>
      <c r="B2091" s="7" t="n">
        <v>46178</v>
      </c>
      <c r="C2091" t="inlineStr">
        <is>
          <t>Gowning</t>
        </is>
      </c>
      <c r="D2091" t="inlineStr">
        <is>
          <t>ISO 8</t>
        </is>
      </c>
      <c r="E2091" t="inlineStr">
        <is>
          <t>Personnel glove</t>
        </is>
      </c>
      <c r="F2091" t="n">
        <v>0</v>
      </c>
      <c r="G2091" t="inlineStr">
        <is>
          <t>Tech D</t>
        </is>
      </c>
      <c r="H2091">
        <f>INDEX(Limits!$B$2:$B$5,MATCH(E2091,Limits!$A$2:$A$5,0))</f>
        <v/>
      </c>
      <c r="I2091">
        <f>INDEX(Limits!$C$2:$C$5,MATCH(E2091,Limits!$A$2:$A$5,0))</f>
        <v/>
      </c>
      <c r="J2091">
        <f>IF(F2091&gt;=I2091,"Action",IF(F2091&gt;=H2091,"Alert","Pass"))</f>
        <v/>
      </c>
      <c r="K2091" s="4">
        <f>DATE(YEAR(B2091),MONTH(B2091),1)</f>
        <v/>
      </c>
    </row>
    <row r="2092">
      <c r="A2092" t="inlineStr">
        <is>
          <t>EM002091</t>
        </is>
      </c>
      <c r="B2092" s="7" t="n">
        <v>46181</v>
      </c>
      <c r="C2092" t="inlineStr">
        <is>
          <t>CR-101</t>
        </is>
      </c>
      <c r="D2092" t="inlineStr">
        <is>
          <t>ISO 7</t>
        </is>
      </c>
      <c r="E2092" t="inlineStr">
        <is>
          <t>Active air</t>
        </is>
      </c>
      <c r="F2092" t="n">
        <v>0</v>
      </c>
      <c r="G2092" t="inlineStr">
        <is>
          <t>Tech D</t>
        </is>
      </c>
      <c r="H2092">
        <f>INDEX(Limits!$B$2:$B$5,MATCH(E2092,Limits!$A$2:$A$5,0))</f>
        <v/>
      </c>
      <c r="I2092">
        <f>INDEX(Limits!$C$2:$C$5,MATCH(E2092,Limits!$A$2:$A$5,0))</f>
        <v/>
      </c>
      <c r="J2092">
        <f>IF(F2092&gt;=I2092,"Action",IF(F2092&gt;=H2092,"Alert","Pass"))</f>
        <v/>
      </c>
      <c r="K2092" s="4">
        <f>DATE(YEAR(B2092),MONTH(B2092),1)</f>
        <v/>
      </c>
    </row>
    <row r="2093">
      <c r="A2093" t="inlineStr">
        <is>
          <t>EM002092</t>
        </is>
      </c>
      <c r="B2093" s="7" t="n">
        <v>46181</v>
      </c>
      <c r="C2093" t="inlineStr">
        <is>
          <t>CR-101</t>
        </is>
      </c>
      <c r="D2093" t="inlineStr">
        <is>
          <t>ISO 7</t>
        </is>
      </c>
      <c r="E2093" t="inlineStr">
        <is>
          <t>Surface contact</t>
        </is>
      </c>
      <c r="F2093" t="n">
        <v>0</v>
      </c>
      <c r="G2093" t="inlineStr">
        <is>
          <t>Tech D</t>
        </is>
      </c>
      <c r="H2093">
        <f>INDEX(Limits!$B$2:$B$5,MATCH(E2093,Limits!$A$2:$A$5,0))</f>
        <v/>
      </c>
      <c r="I2093">
        <f>INDEX(Limits!$C$2:$C$5,MATCH(E2093,Limits!$A$2:$A$5,0))</f>
        <v/>
      </c>
      <c r="J2093">
        <f>IF(F2093&gt;=I2093,"Action",IF(F2093&gt;=H2093,"Alert","Pass"))</f>
        <v/>
      </c>
      <c r="K2093" s="4">
        <f>DATE(YEAR(B2093),MONTH(B2093),1)</f>
        <v/>
      </c>
    </row>
    <row r="2094">
      <c r="A2094" t="inlineStr">
        <is>
          <t>EM002093</t>
        </is>
      </c>
      <c r="B2094" s="7" t="n">
        <v>46181</v>
      </c>
      <c r="C2094" t="inlineStr">
        <is>
          <t>CR-101</t>
        </is>
      </c>
      <c r="D2094" t="inlineStr">
        <is>
          <t>ISO 7</t>
        </is>
      </c>
      <c r="E2094" t="inlineStr">
        <is>
          <t>Compressed air</t>
        </is>
      </c>
      <c r="F2094" t="n">
        <v>0</v>
      </c>
      <c r="G2094" t="inlineStr">
        <is>
          <t>Tech A</t>
        </is>
      </c>
      <c r="H2094">
        <f>INDEX(Limits!$B$2:$B$5,MATCH(E2094,Limits!$A$2:$A$5,0))</f>
        <v/>
      </c>
      <c r="I2094">
        <f>INDEX(Limits!$C$2:$C$5,MATCH(E2094,Limits!$A$2:$A$5,0))</f>
        <v/>
      </c>
      <c r="J2094">
        <f>IF(F2094&gt;=I2094,"Action",IF(F2094&gt;=H2094,"Alert","Pass"))</f>
        <v/>
      </c>
      <c r="K2094" s="4">
        <f>DATE(YEAR(B2094),MONTH(B2094),1)</f>
        <v/>
      </c>
    </row>
    <row r="2095">
      <c r="A2095" t="inlineStr">
        <is>
          <t>EM002094</t>
        </is>
      </c>
      <c r="B2095" s="7" t="n">
        <v>46181</v>
      </c>
      <c r="C2095" t="inlineStr">
        <is>
          <t>CR-101</t>
        </is>
      </c>
      <c r="D2095" t="inlineStr">
        <is>
          <t>ISO 7</t>
        </is>
      </c>
      <c r="E2095" t="inlineStr">
        <is>
          <t>Personnel glove</t>
        </is>
      </c>
      <c r="F2095" t="n">
        <v>0</v>
      </c>
      <c r="G2095" t="inlineStr">
        <is>
          <t>Tech A</t>
        </is>
      </c>
      <c r="H2095">
        <f>INDEX(Limits!$B$2:$B$5,MATCH(E2095,Limits!$A$2:$A$5,0))</f>
        <v/>
      </c>
      <c r="I2095">
        <f>INDEX(Limits!$C$2:$C$5,MATCH(E2095,Limits!$A$2:$A$5,0))</f>
        <v/>
      </c>
      <c r="J2095">
        <f>IF(F2095&gt;=I2095,"Action",IF(F2095&gt;=H2095,"Alert","Pass"))</f>
        <v/>
      </c>
      <c r="K2095" s="4">
        <f>DATE(YEAR(B2095),MONTH(B2095),1)</f>
        <v/>
      </c>
    </row>
    <row r="2096">
      <c r="A2096" t="inlineStr">
        <is>
          <t>EM002095</t>
        </is>
      </c>
      <c r="B2096" s="7" t="n">
        <v>46181</v>
      </c>
      <c r="C2096" t="inlineStr">
        <is>
          <t>CR-102</t>
        </is>
      </c>
      <c r="D2096" t="inlineStr">
        <is>
          <t>ISO 7</t>
        </is>
      </c>
      <c r="E2096" t="inlineStr">
        <is>
          <t>Active air</t>
        </is>
      </c>
      <c r="F2096" t="n">
        <v>0</v>
      </c>
      <c r="G2096" t="inlineStr">
        <is>
          <t>Tech B</t>
        </is>
      </c>
      <c r="H2096">
        <f>INDEX(Limits!$B$2:$B$5,MATCH(E2096,Limits!$A$2:$A$5,0))</f>
        <v/>
      </c>
      <c r="I2096">
        <f>INDEX(Limits!$C$2:$C$5,MATCH(E2096,Limits!$A$2:$A$5,0))</f>
        <v/>
      </c>
      <c r="J2096">
        <f>IF(F2096&gt;=I2096,"Action",IF(F2096&gt;=H2096,"Alert","Pass"))</f>
        <v/>
      </c>
      <c r="K2096" s="4">
        <f>DATE(YEAR(B2096),MONTH(B2096),1)</f>
        <v/>
      </c>
    </row>
    <row r="2097">
      <c r="A2097" t="inlineStr">
        <is>
          <t>EM002096</t>
        </is>
      </c>
      <c r="B2097" s="7" t="n">
        <v>46181</v>
      </c>
      <c r="C2097" t="inlineStr">
        <is>
          <t>CR-102</t>
        </is>
      </c>
      <c r="D2097" t="inlineStr">
        <is>
          <t>ISO 7</t>
        </is>
      </c>
      <c r="E2097" t="inlineStr">
        <is>
          <t>Surface contact</t>
        </is>
      </c>
      <c r="F2097" t="n">
        <v>1</v>
      </c>
      <c r="G2097" t="inlineStr">
        <is>
          <t>Tech A</t>
        </is>
      </c>
      <c r="H2097">
        <f>INDEX(Limits!$B$2:$B$5,MATCH(E2097,Limits!$A$2:$A$5,0))</f>
        <v/>
      </c>
      <c r="I2097">
        <f>INDEX(Limits!$C$2:$C$5,MATCH(E2097,Limits!$A$2:$A$5,0))</f>
        <v/>
      </c>
      <c r="J2097">
        <f>IF(F2097&gt;=I2097,"Action",IF(F2097&gt;=H2097,"Alert","Pass"))</f>
        <v/>
      </c>
      <c r="K2097" s="4">
        <f>DATE(YEAR(B2097),MONTH(B2097),1)</f>
        <v/>
      </c>
    </row>
    <row r="2098">
      <c r="A2098" t="inlineStr">
        <is>
          <t>EM002097</t>
        </is>
      </c>
      <c r="B2098" s="7" t="n">
        <v>46181</v>
      </c>
      <c r="C2098" t="inlineStr">
        <is>
          <t>CR-102</t>
        </is>
      </c>
      <c r="D2098" t="inlineStr">
        <is>
          <t>ISO 7</t>
        </is>
      </c>
      <c r="E2098" t="inlineStr">
        <is>
          <t>Compressed air</t>
        </is>
      </c>
      <c r="F2098" t="n">
        <v>0</v>
      </c>
      <c r="G2098" t="inlineStr">
        <is>
          <t>Tech D</t>
        </is>
      </c>
      <c r="H2098">
        <f>INDEX(Limits!$B$2:$B$5,MATCH(E2098,Limits!$A$2:$A$5,0))</f>
        <v/>
      </c>
      <c r="I2098">
        <f>INDEX(Limits!$C$2:$C$5,MATCH(E2098,Limits!$A$2:$A$5,0))</f>
        <v/>
      </c>
      <c r="J2098">
        <f>IF(F2098&gt;=I2098,"Action",IF(F2098&gt;=H2098,"Alert","Pass"))</f>
        <v/>
      </c>
      <c r="K2098" s="4">
        <f>DATE(YEAR(B2098),MONTH(B2098),1)</f>
        <v/>
      </c>
    </row>
    <row r="2099">
      <c r="A2099" t="inlineStr">
        <is>
          <t>EM002098</t>
        </is>
      </c>
      <c r="B2099" s="7" t="n">
        <v>46181</v>
      </c>
      <c r="C2099" t="inlineStr">
        <is>
          <t>CR-102</t>
        </is>
      </c>
      <c r="D2099" t="inlineStr">
        <is>
          <t>ISO 7</t>
        </is>
      </c>
      <c r="E2099" t="inlineStr">
        <is>
          <t>Personnel glove</t>
        </is>
      </c>
      <c r="F2099" t="n">
        <v>0</v>
      </c>
      <c r="G2099" t="inlineStr">
        <is>
          <t>Tech C</t>
        </is>
      </c>
      <c r="H2099">
        <f>INDEX(Limits!$B$2:$B$5,MATCH(E2099,Limits!$A$2:$A$5,0))</f>
        <v/>
      </c>
      <c r="I2099">
        <f>INDEX(Limits!$C$2:$C$5,MATCH(E2099,Limits!$A$2:$A$5,0))</f>
        <v/>
      </c>
      <c r="J2099">
        <f>IF(F2099&gt;=I2099,"Action",IF(F2099&gt;=H2099,"Alert","Pass"))</f>
        <v/>
      </c>
      <c r="K2099" s="4">
        <f>DATE(YEAR(B2099),MONTH(B2099),1)</f>
        <v/>
      </c>
    </row>
    <row r="2100">
      <c r="A2100" t="inlineStr">
        <is>
          <t>EM002099</t>
        </is>
      </c>
      <c r="B2100" s="7" t="n">
        <v>46181</v>
      </c>
      <c r="C2100" t="inlineStr">
        <is>
          <t>CR-201</t>
        </is>
      </c>
      <c r="D2100" t="inlineStr">
        <is>
          <t>ISO 8</t>
        </is>
      </c>
      <c r="E2100" t="inlineStr">
        <is>
          <t>Active air</t>
        </is>
      </c>
      <c r="F2100" t="n">
        <v>2</v>
      </c>
      <c r="G2100" t="inlineStr">
        <is>
          <t>Tech D</t>
        </is>
      </c>
      <c r="H2100">
        <f>INDEX(Limits!$B$2:$B$5,MATCH(E2100,Limits!$A$2:$A$5,0))</f>
        <v/>
      </c>
      <c r="I2100">
        <f>INDEX(Limits!$C$2:$C$5,MATCH(E2100,Limits!$A$2:$A$5,0))</f>
        <v/>
      </c>
      <c r="J2100">
        <f>IF(F2100&gt;=I2100,"Action",IF(F2100&gt;=H2100,"Alert","Pass"))</f>
        <v/>
      </c>
      <c r="K2100" s="4">
        <f>DATE(YEAR(B2100),MONTH(B2100),1)</f>
        <v/>
      </c>
    </row>
    <row r="2101">
      <c r="A2101" t="inlineStr">
        <is>
          <t>EM002100</t>
        </is>
      </c>
      <c r="B2101" s="7" t="n">
        <v>46181</v>
      </c>
      <c r="C2101" t="inlineStr">
        <is>
          <t>CR-201</t>
        </is>
      </c>
      <c r="D2101" t="inlineStr">
        <is>
          <t>ISO 8</t>
        </is>
      </c>
      <c r="E2101" t="inlineStr">
        <is>
          <t>Surface contact</t>
        </is>
      </c>
      <c r="F2101" t="n">
        <v>1</v>
      </c>
      <c r="G2101" t="inlineStr">
        <is>
          <t>Tech A</t>
        </is>
      </c>
      <c r="H2101">
        <f>INDEX(Limits!$B$2:$B$5,MATCH(E2101,Limits!$A$2:$A$5,0))</f>
        <v/>
      </c>
      <c r="I2101">
        <f>INDEX(Limits!$C$2:$C$5,MATCH(E2101,Limits!$A$2:$A$5,0))</f>
        <v/>
      </c>
      <c r="J2101">
        <f>IF(F2101&gt;=I2101,"Action",IF(F2101&gt;=H2101,"Alert","Pass"))</f>
        <v/>
      </c>
      <c r="K2101" s="4">
        <f>DATE(YEAR(B2101),MONTH(B2101),1)</f>
        <v/>
      </c>
    </row>
    <row r="2102">
      <c r="A2102" t="inlineStr">
        <is>
          <t>EM002101</t>
        </is>
      </c>
      <c r="B2102" s="7" t="n">
        <v>46181</v>
      </c>
      <c r="C2102" t="inlineStr">
        <is>
          <t>CR-201</t>
        </is>
      </c>
      <c r="D2102" t="inlineStr">
        <is>
          <t>ISO 8</t>
        </is>
      </c>
      <c r="E2102" t="inlineStr">
        <is>
          <t>Compressed air</t>
        </is>
      </c>
      <c r="F2102" t="n">
        <v>0</v>
      </c>
      <c r="G2102" t="inlineStr">
        <is>
          <t>Tech D</t>
        </is>
      </c>
      <c r="H2102">
        <f>INDEX(Limits!$B$2:$B$5,MATCH(E2102,Limits!$A$2:$A$5,0))</f>
        <v/>
      </c>
      <c r="I2102">
        <f>INDEX(Limits!$C$2:$C$5,MATCH(E2102,Limits!$A$2:$A$5,0))</f>
        <v/>
      </c>
      <c r="J2102">
        <f>IF(F2102&gt;=I2102,"Action",IF(F2102&gt;=H2102,"Alert","Pass"))</f>
        <v/>
      </c>
      <c r="K2102" s="4">
        <f>DATE(YEAR(B2102),MONTH(B2102),1)</f>
        <v/>
      </c>
    </row>
    <row r="2103">
      <c r="A2103" t="inlineStr">
        <is>
          <t>EM002102</t>
        </is>
      </c>
      <c r="B2103" s="7" t="n">
        <v>46181</v>
      </c>
      <c r="C2103" t="inlineStr">
        <is>
          <t>CR-201</t>
        </is>
      </c>
      <c r="D2103" t="inlineStr">
        <is>
          <t>ISO 8</t>
        </is>
      </c>
      <c r="E2103" t="inlineStr">
        <is>
          <t>Personnel glove</t>
        </is>
      </c>
      <c r="F2103" t="n">
        <v>0</v>
      </c>
      <c r="G2103" t="inlineStr">
        <is>
          <t>Tech C</t>
        </is>
      </c>
      <c r="H2103">
        <f>INDEX(Limits!$B$2:$B$5,MATCH(E2103,Limits!$A$2:$A$5,0))</f>
        <v/>
      </c>
      <c r="I2103">
        <f>INDEX(Limits!$C$2:$C$5,MATCH(E2103,Limits!$A$2:$A$5,0))</f>
        <v/>
      </c>
      <c r="J2103">
        <f>IF(F2103&gt;=I2103,"Action",IF(F2103&gt;=H2103,"Alert","Pass"))</f>
        <v/>
      </c>
      <c r="K2103" s="4">
        <f>DATE(YEAR(B2103),MONTH(B2103),1)</f>
        <v/>
      </c>
    </row>
    <row r="2104">
      <c r="A2104" t="inlineStr">
        <is>
          <t>EM002103</t>
        </is>
      </c>
      <c r="B2104" s="7" t="n">
        <v>46181</v>
      </c>
      <c r="C2104" t="inlineStr">
        <is>
          <t>CR-202</t>
        </is>
      </c>
      <c r="D2104" t="inlineStr">
        <is>
          <t>ISO 8</t>
        </is>
      </c>
      <c r="E2104" t="inlineStr">
        <is>
          <t>Active air</t>
        </is>
      </c>
      <c r="F2104" t="n">
        <v>3</v>
      </c>
      <c r="G2104" t="inlineStr">
        <is>
          <t>Tech A</t>
        </is>
      </c>
      <c r="H2104">
        <f>INDEX(Limits!$B$2:$B$5,MATCH(E2104,Limits!$A$2:$A$5,0))</f>
        <v/>
      </c>
      <c r="I2104">
        <f>INDEX(Limits!$C$2:$C$5,MATCH(E2104,Limits!$A$2:$A$5,0))</f>
        <v/>
      </c>
      <c r="J2104">
        <f>IF(F2104&gt;=I2104,"Action",IF(F2104&gt;=H2104,"Alert","Pass"))</f>
        <v/>
      </c>
      <c r="K2104" s="4">
        <f>DATE(YEAR(B2104),MONTH(B2104),1)</f>
        <v/>
      </c>
    </row>
    <row r="2105">
      <c r="A2105" t="inlineStr">
        <is>
          <t>EM002104</t>
        </is>
      </c>
      <c r="B2105" s="7" t="n">
        <v>46181</v>
      </c>
      <c r="C2105" t="inlineStr">
        <is>
          <t>CR-202</t>
        </is>
      </c>
      <c r="D2105" t="inlineStr">
        <is>
          <t>ISO 8</t>
        </is>
      </c>
      <c r="E2105" t="inlineStr">
        <is>
          <t>Surface contact</t>
        </is>
      </c>
      <c r="F2105" t="n">
        <v>0</v>
      </c>
      <c r="G2105" t="inlineStr">
        <is>
          <t>Tech B</t>
        </is>
      </c>
      <c r="H2105">
        <f>INDEX(Limits!$B$2:$B$5,MATCH(E2105,Limits!$A$2:$A$5,0))</f>
        <v/>
      </c>
      <c r="I2105">
        <f>INDEX(Limits!$C$2:$C$5,MATCH(E2105,Limits!$A$2:$A$5,0))</f>
        <v/>
      </c>
      <c r="J2105">
        <f>IF(F2105&gt;=I2105,"Action",IF(F2105&gt;=H2105,"Alert","Pass"))</f>
        <v/>
      </c>
      <c r="K2105" s="4">
        <f>DATE(YEAR(B2105),MONTH(B2105),1)</f>
        <v/>
      </c>
    </row>
    <row r="2106">
      <c r="A2106" t="inlineStr">
        <is>
          <t>EM002105</t>
        </is>
      </c>
      <c r="B2106" s="7" t="n">
        <v>46181</v>
      </c>
      <c r="C2106" t="inlineStr">
        <is>
          <t>CR-202</t>
        </is>
      </c>
      <c r="D2106" t="inlineStr">
        <is>
          <t>ISO 8</t>
        </is>
      </c>
      <c r="E2106" t="inlineStr">
        <is>
          <t>Compressed air</t>
        </is>
      </c>
      <c r="F2106" t="n">
        <v>1</v>
      </c>
      <c r="G2106" t="inlineStr">
        <is>
          <t>Tech D</t>
        </is>
      </c>
      <c r="H2106">
        <f>INDEX(Limits!$B$2:$B$5,MATCH(E2106,Limits!$A$2:$A$5,0))</f>
        <v/>
      </c>
      <c r="I2106">
        <f>INDEX(Limits!$C$2:$C$5,MATCH(E2106,Limits!$A$2:$A$5,0))</f>
        <v/>
      </c>
      <c r="J2106">
        <f>IF(F2106&gt;=I2106,"Action",IF(F2106&gt;=H2106,"Alert","Pass"))</f>
        <v/>
      </c>
      <c r="K2106" s="4">
        <f>DATE(YEAR(B2106),MONTH(B2106),1)</f>
        <v/>
      </c>
    </row>
    <row r="2107">
      <c r="A2107" t="inlineStr">
        <is>
          <t>EM002106</t>
        </is>
      </c>
      <c r="B2107" s="7" t="n">
        <v>46181</v>
      </c>
      <c r="C2107" t="inlineStr">
        <is>
          <t>CR-202</t>
        </is>
      </c>
      <c r="D2107" t="inlineStr">
        <is>
          <t>ISO 8</t>
        </is>
      </c>
      <c r="E2107" t="inlineStr">
        <is>
          <t>Personnel glove</t>
        </is>
      </c>
      <c r="F2107" t="n">
        <v>0</v>
      </c>
      <c r="G2107" t="inlineStr">
        <is>
          <t>Tech C</t>
        </is>
      </c>
      <c r="H2107">
        <f>INDEX(Limits!$B$2:$B$5,MATCH(E2107,Limits!$A$2:$A$5,0))</f>
        <v/>
      </c>
      <c r="I2107">
        <f>INDEX(Limits!$C$2:$C$5,MATCH(E2107,Limits!$A$2:$A$5,0))</f>
        <v/>
      </c>
      <c r="J2107">
        <f>IF(F2107&gt;=I2107,"Action",IF(F2107&gt;=H2107,"Alert","Pass"))</f>
        <v/>
      </c>
      <c r="K2107" s="4">
        <f>DATE(YEAR(B2107),MONTH(B2107),1)</f>
        <v/>
      </c>
    </row>
    <row r="2108">
      <c r="A2108" t="inlineStr">
        <is>
          <t>EM002107</t>
        </is>
      </c>
      <c r="B2108" s="7" t="n">
        <v>46181</v>
      </c>
      <c r="C2108" t="inlineStr">
        <is>
          <t>Gowning</t>
        </is>
      </c>
      <c r="D2108" t="inlineStr">
        <is>
          <t>ISO 8</t>
        </is>
      </c>
      <c r="E2108" t="inlineStr">
        <is>
          <t>Active air</t>
        </is>
      </c>
      <c r="F2108" t="n">
        <v>2</v>
      </c>
      <c r="G2108" t="inlineStr">
        <is>
          <t>Tech D</t>
        </is>
      </c>
      <c r="H2108">
        <f>INDEX(Limits!$B$2:$B$5,MATCH(E2108,Limits!$A$2:$A$5,0))</f>
        <v/>
      </c>
      <c r="I2108">
        <f>INDEX(Limits!$C$2:$C$5,MATCH(E2108,Limits!$A$2:$A$5,0))</f>
        <v/>
      </c>
      <c r="J2108">
        <f>IF(F2108&gt;=I2108,"Action",IF(F2108&gt;=H2108,"Alert","Pass"))</f>
        <v/>
      </c>
      <c r="K2108" s="4">
        <f>DATE(YEAR(B2108),MONTH(B2108),1)</f>
        <v/>
      </c>
    </row>
    <row r="2109">
      <c r="A2109" t="inlineStr">
        <is>
          <t>EM002108</t>
        </is>
      </c>
      <c r="B2109" s="7" t="n">
        <v>46181</v>
      </c>
      <c r="C2109" t="inlineStr">
        <is>
          <t>Gowning</t>
        </is>
      </c>
      <c r="D2109" t="inlineStr">
        <is>
          <t>ISO 8</t>
        </is>
      </c>
      <c r="E2109" t="inlineStr">
        <is>
          <t>Surface contact</t>
        </is>
      </c>
      <c r="F2109" t="n">
        <v>1</v>
      </c>
      <c r="G2109" t="inlineStr">
        <is>
          <t>Tech A</t>
        </is>
      </c>
      <c r="H2109">
        <f>INDEX(Limits!$B$2:$B$5,MATCH(E2109,Limits!$A$2:$A$5,0))</f>
        <v/>
      </c>
      <c r="I2109">
        <f>INDEX(Limits!$C$2:$C$5,MATCH(E2109,Limits!$A$2:$A$5,0))</f>
        <v/>
      </c>
      <c r="J2109">
        <f>IF(F2109&gt;=I2109,"Action",IF(F2109&gt;=H2109,"Alert","Pass"))</f>
        <v/>
      </c>
      <c r="K2109" s="4">
        <f>DATE(YEAR(B2109),MONTH(B2109),1)</f>
        <v/>
      </c>
    </row>
    <row r="2110">
      <c r="A2110" t="inlineStr">
        <is>
          <t>EM002109</t>
        </is>
      </c>
      <c r="B2110" s="7" t="n">
        <v>46181</v>
      </c>
      <c r="C2110" t="inlineStr">
        <is>
          <t>Gowning</t>
        </is>
      </c>
      <c r="D2110" t="inlineStr">
        <is>
          <t>ISO 8</t>
        </is>
      </c>
      <c r="E2110" t="inlineStr">
        <is>
          <t>Personnel glove</t>
        </is>
      </c>
      <c r="F2110" t="n">
        <v>0</v>
      </c>
      <c r="G2110" t="inlineStr">
        <is>
          <t>Tech A</t>
        </is>
      </c>
      <c r="H2110">
        <f>INDEX(Limits!$B$2:$B$5,MATCH(E2110,Limits!$A$2:$A$5,0))</f>
        <v/>
      </c>
      <c r="I2110">
        <f>INDEX(Limits!$C$2:$C$5,MATCH(E2110,Limits!$A$2:$A$5,0))</f>
        <v/>
      </c>
      <c r="J2110">
        <f>IF(F2110&gt;=I2110,"Action",IF(F2110&gt;=H2110,"Alert","Pass"))</f>
        <v/>
      </c>
      <c r="K2110" s="4">
        <f>DATE(YEAR(B2110),MONTH(B2110),1)</f>
        <v/>
      </c>
    </row>
    <row r="2111">
      <c r="A2111" t="inlineStr">
        <is>
          <t>EM002110</t>
        </is>
      </c>
      <c r="B2111" s="7" t="n">
        <v>46182</v>
      </c>
      <c r="C2111" t="inlineStr">
        <is>
          <t>CR-101</t>
        </is>
      </c>
      <c r="D2111" t="inlineStr">
        <is>
          <t>ISO 7</t>
        </is>
      </c>
      <c r="E2111" t="inlineStr">
        <is>
          <t>Active air</t>
        </is>
      </c>
      <c r="F2111" t="n">
        <v>0</v>
      </c>
      <c r="G2111" t="inlineStr">
        <is>
          <t>Tech B</t>
        </is>
      </c>
      <c r="H2111">
        <f>INDEX(Limits!$B$2:$B$5,MATCH(E2111,Limits!$A$2:$A$5,0))</f>
        <v/>
      </c>
      <c r="I2111">
        <f>INDEX(Limits!$C$2:$C$5,MATCH(E2111,Limits!$A$2:$A$5,0))</f>
        <v/>
      </c>
      <c r="J2111">
        <f>IF(F2111&gt;=I2111,"Action",IF(F2111&gt;=H2111,"Alert","Pass"))</f>
        <v/>
      </c>
      <c r="K2111" s="4">
        <f>DATE(YEAR(B2111),MONTH(B2111),1)</f>
        <v/>
      </c>
    </row>
    <row r="2112">
      <c r="A2112" t="inlineStr">
        <is>
          <t>EM002111</t>
        </is>
      </c>
      <c r="B2112" s="7" t="n">
        <v>46182</v>
      </c>
      <c r="C2112" t="inlineStr">
        <is>
          <t>CR-101</t>
        </is>
      </c>
      <c r="D2112" t="inlineStr">
        <is>
          <t>ISO 7</t>
        </is>
      </c>
      <c r="E2112" t="inlineStr">
        <is>
          <t>Surface contact</t>
        </is>
      </c>
      <c r="F2112" t="n">
        <v>0</v>
      </c>
      <c r="G2112" t="inlineStr">
        <is>
          <t>Tech D</t>
        </is>
      </c>
      <c r="H2112">
        <f>INDEX(Limits!$B$2:$B$5,MATCH(E2112,Limits!$A$2:$A$5,0))</f>
        <v/>
      </c>
      <c r="I2112">
        <f>INDEX(Limits!$C$2:$C$5,MATCH(E2112,Limits!$A$2:$A$5,0))</f>
        <v/>
      </c>
      <c r="J2112">
        <f>IF(F2112&gt;=I2112,"Action",IF(F2112&gt;=H2112,"Alert","Pass"))</f>
        <v/>
      </c>
      <c r="K2112" s="4">
        <f>DATE(YEAR(B2112),MONTH(B2112),1)</f>
        <v/>
      </c>
    </row>
    <row r="2113">
      <c r="A2113" t="inlineStr">
        <is>
          <t>EM002112</t>
        </is>
      </c>
      <c r="B2113" s="7" t="n">
        <v>46182</v>
      </c>
      <c r="C2113" t="inlineStr">
        <is>
          <t>CR-101</t>
        </is>
      </c>
      <c r="D2113" t="inlineStr">
        <is>
          <t>ISO 7</t>
        </is>
      </c>
      <c r="E2113" t="inlineStr">
        <is>
          <t>Compressed air</t>
        </is>
      </c>
      <c r="F2113" t="n">
        <v>0</v>
      </c>
      <c r="G2113" t="inlineStr">
        <is>
          <t>Tech C</t>
        </is>
      </c>
      <c r="H2113">
        <f>INDEX(Limits!$B$2:$B$5,MATCH(E2113,Limits!$A$2:$A$5,0))</f>
        <v/>
      </c>
      <c r="I2113">
        <f>INDEX(Limits!$C$2:$C$5,MATCH(E2113,Limits!$A$2:$A$5,0))</f>
        <v/>
      </c>
      <c r="J2113">
        <f>IF(F2113&gt;=I2113,"Action",IF(F2113&gt;=H2113,"Alert","Pass"))</f>
        <v/>
      </c>
      <c r="K2113" s="4">
        <f>DATE(YEAR(B2113),MONTH(B2113),1)</f>
        <v/>
      </c>
    </row>
    <row r="2114">
      <c r="A2114" t="inlineStr">
        <is>
          <t>EM002113</t>
        </is>
      </c>
      <c r="B2114" s="7" t="n">
        <v>46182</v>
      </c>
      <c r="C2114" t="inlineStr">
        <is>
          <t>CR-101</t>
        </is>
      </c>
      <c r="D2114" t="inlineStr">
        <is>
          <t>ISO 7</t>
        </is>
      </c>
      <c r="E2114" t="inlineStr">
        <is>
          <t>Personnel glove</t>
        </is>
      </c>
      <c r="F2114" t="n">
        <v>0</v>
      </c>
      <c r="G2114" t="inlineStr">
        <is>
          <t>Tech A</t>
        </is>
      </c>
      <c r="H2114">
        <f>INDEX(Limits!$B$2:$B$5,MATCH(E2114,Limits!$A$2:$A$5,0))</f>
        <v/>
      </c>
      <c r="I2114">
        <f>INDEX(Limits!$C$2:$C$5,MATCH(E2114,Limits!$A$2:$A$5,0))</f>
        <v/>
      </c>
      <c r="J2114">
        <f>IF(F2114&gt;=I2114,"Action",IF(F2114&gt;=H2114,"Alert","Pass"))</f>
        <v/>
      </c>
      <c r="K2114" s="4">
        <f>DATE(YEAR(B2114),MONTH(B2114),1)</f>
        <v/>
      </c>
    </row>
    <row r="2115">
      <c r="A2115" t="inlineStr">
        <is>
          <t>EM002114</t>
        </is>
      </c>
      <c r="B2115" s="7" t="n">
        <v>46182</v>
      </c>
      <c r="C2115" t="inlineStr">
        <is>
          <t>CR-102</t>
        </is>
      </c>
      <c r="D2115" t="inlineStr">
        <is>
          <t>ISO 7</t>
        </is>
      </c>
      <c r="E2115" t="inlineStr">
        <is>
          <t>Active air</t>
        </is>
      </c>
      <c r="F2115" t="n">
        <v>0</v>
      </c>
      <c r="G2115" t="inlineStr">
        <is>
          <t>Tech A</t>
        </is>
      </c>
      <c r="H2115">
        <f>INDEX(Limits!$B$2:$B$5,MATCH(E2115,Limits!$A$2:$A$5,0))</f>
        <v/>
      </c>
      <c r="I2115">
        <f>INDEX(Limits!$C$2:$C$5,MATCH(E2115,Limits!$A$2:$A$5,0))</f>
        <v/>
      </c>
      <c r="J2115">
        <f>IF(F2115&gt;=I2115,"Action",IF(F2115&gt;=H2115,"Alert","Pass"))</f>
        <v/>
      </c>
      <c r="K2115" s="4">
        <f>DATE(YEAR(B2115),MONTH(B2115),1)</f>
        <v/>
      </c>
    </row>
    <row r="2116">
      <c r="A2116" t="inlineStr">
        <is>
          <t>EM002115</t>
        </is>
      </c>
      <c r="B2116" s="7" t="n">
        <v>46182</v>
      </c>
      <c r="C2116" t="inlineStr">
        <is>
          <t>CR-102</t>
        </is>
      </c>
      <c r="D2116" t="inlineStr">
        <is>
          <t>ISO 7</t>
        </is>
      </c>
      <c r="E2116" t="inlineStr">
        <is>
          <t>Surface contact</t>
        </is>
      </c>
      <c r="F2116" t="n">
        <v>0</v>
      </c>
      <c r="G2116" t="inlineStr">
        <is>
          <t>Tech D</t>
        </is>
      </c>
      <c r="H2116">
        <f>INDEX(Limits!$B$2:$B$5,MATCH(E2116,Limits!$A$2:$A$5,0))</f>
        <v/>
      </c>
      <c r="I2116">
        <f>INDEX(Limits!$C$2:$C$5,MATCH(E2116,Limits!$A$2:$A$5,0))</f>
        <v/>
      </c>
      <c r="J2116">
        <f>IF(F2116&gt;=I2116,"Action",IF(F2116&gt;=H2116,"Alert","Pass"))</f>
        <v/>
      </c>
      <c r="K2116" s="4">
        <f>DATE(YEAR(B2116),MONTH(B2116),1)</f>
        <v/>
      </c>
    </row>
    <row r="2117">
      <c r="A2117" t="inlineStr">
        <is>
          <t>EM002116</t>
        </is>
      </c>
      <c r="B2117" s="7" t="n">
        <v>46182</v>
      </c>
      <c r="C2117" t="inlineStr">
        <is>
          <t>CR-102</t>
        </is>
      </c>
      <c r="D2117" t="inlineStr">
        <is>
          <t>ISO 7</t>
        </is>
      </c>
      <c r="E2117" t="inlineStr">
        <is>
          <t>Compressed air</t>
        </is>
      </c>
      <c r="F2117" t="n">
        <v>0</v>
      </c>
      <c r="G2117" t="inlineStr">
        <is>
          <t>Tech D</t>
        </is>
      </c>
      <c r="H2117">
        <f>INDEX(Limits!$B$2:$B$5,MATCH(E2117,Limits!$A$2:$A$5,0))</f>
        <v/>
      </c>
      <c r="I2117">
        <f>INDEX(Limits!$C$2:$C$5,MATCH(E2117,Limits!$A$2:$A$5,0))</f>
        <v/>
      </c>
      <c r="J2117">
        <f>IF(F2117&gt;=I2117,"Action",IF(F2117&gt;=H2117,"Alert","Pass"))</f>
        <v/>
      </c>
      <c r="K2117" s="4">
        <f>DATE(YEAR(B2117),MONTH(B2117),1)</f>
        <v/>
      </c>
    </row>
    <row r="2118">
      <c r="A2118" t="inlineStr">
        <is>
          <t>EM002117</t>
        </is>
      </c>
      <c r="B2118" s="7" t="n">
        <v>46182</v>
      </c>
      <c r="C2118" t="inlineStr">
        <is>
          <t>CR-102</t>
        </is>
      </c>
      <c r="D2118" t="inlineStr">
        <is>
          <t>ISO 7</t>
        </is>
      </c>
      <c r="E2118" t="inlineStr">
        <is>
          <t>Personnel glove</t>
        </is>
      </c>
      <c r="F2118" t="n">
        <v>0</v>
      </c>
      <c r="G2118" t="inlineStr">
        <is>
          <t>Tech A</t>
        </is>
      </c>
      <c r="H2118">
        <f>INDEX(Limits!$B$2:$B$5,MATCH(E2118,Limits!$A$2:$A$5,0))</f>
        <v/>
      </c>
      <c r="I2118">
        <f>INDEX(Limits!$C$2:$C$5,MATCH(E2118,Limits!$A$2:$A$5,0))</f>
        <v/>
      </c>
      <c r="J2118">
        <f>IF(F2118&gt;=I2118,"Action",IF(F2118&gt;=H2118,"Alert","Pass"))</f>
        <v/>
      </c>
      <c r="K2118" s="4">
        <f>DATE(YEAR(B2118),MONTH(B2118),1)</f>
        <v/>
      </c>
    </row>
    <row r="2119">
      <c r="A2119" t="inlineStr">
        <is>
          <t>EM002118</t>
        </is>
      </c>
      <c r="B2119" s="7" t="n">
        <v>46182</v>
      </c>
      <c r="C2119" t="inlineStr">
        <is>
          <t>CR-201</t>
        </is>
      </c>
      <c r="D2119" t="inlineStr">
        <is>
          <t>ISO 8</t>
        </is>
      </c>
      <c r="E2119" t="inlineStr">
        <is>
          <t>Active air</t>
        </is>
      </c>
      <c r="F2119" t="n">
        <v>0</v>
      </c>
      <c r="G2119" t="inlineStr">
        <is>
          <t>Tech C</t>
        </is>
      </c>
      <c r="H2119">
        <f>INDEX(Limits!$B$2:$B$5,MATCH(E2119,Limits!$A$2:$A$5,0))</f>
        <v/>
      </c>
      <c r="I2119">
        <f>INDEX(Limits!$C$2:$C$5,MATCH(E2119,Limits!$A$2:$A$5,0))</f>
        <v/>
      </c>
      <c r="J2119">
        <f>IF(F2119&gt;=I2119,"Action",IF(F2119&gt;=H2119,"Alert","Pass"))</f>
        <v/>
      </c>
      <c r="K2119" s="4">
        <f>DATE(YEAR(B2119),MONTH(B2119),1)</f>
        <v/>
      </c>
    </row>
    <row r="2120">
      <c r="A2120" t="inlineStr">
        <is>
          <t>EM002119</t>
        </is>
      </c>
      <c r="B2120" s="7" t="n">
        <v>46182</v>
      </c>
      <c r="C2120" t="inlineStr">
        <is>
          <t>CR-201</t>
        </is>
      </c>
      <c r="D2120" t="inlineStr">
        <is>
          <t>ISO 8</t>
        </is>
      </c>
      <c r="E2120" t="inlineStr">
        <is>
          <t>Surface contact</t>
        </is>
      </c>
      <c r="F2120" t="n">
        <v>0</v>
      </c>
      <c r="G2120" t="inlineStr">
        <is>
          <t>Tech C</t>
        </is>
      </c>
      <c r="H2120">
        <f>INDEX(Limits!$B$2:$B$5,MATCH(E2120,Limits!$A$2:$A$5,0))</f>
        <v/>
      </c>
      <c r="I2120">
        <f>INDEX(Limits!$C$2:$C$5,MATCH(E2120,Limits!$A$2:$A$5,0))</f>
        <v/>
      </c>
      <c r="J2120">
        <f>IF(F2120&gt;=I2120,"Action",IF(F2120&gt;=H2120,"Alert","Pass"))</f>
        <v/>
      </c>
      <c r="K2120" s="4">
        <f>DATE(YEAR(B2120),MONTH(B2120),1)</f>
        <v/>
      </c>
    </row>
    <row r="2121">
      <c r="A2121" t="inlineStr">
        <is>
          <t>EM002120</t>
        </is>
      </c>
      <c r="B2121" s="7" t="n">
        <v>46182</v>
      </c>
      <c r="C2121" t="inlineStr">
        <is>
          <t>CR-201</t>
        </is>
      </c>
      <c r="D2121" t="inlineStr">
        <is>
          <t>ISO 8</t>
        </is>
      </c>
      <c r="E2121" t="inlineStr">
        <is>
          <t>Compressed air</t>
        </is>
      </c>
      <c r="F2121" t="n">
        <v>0</v>
      </c>
      <c r="G2121" t="inlineStr">
        <is>
          <t>Tech A</t>
        </is>
      </c>
      <c r="H2121">
        <f>INDEX(Limits!$B$2:$B$5,MATCH(E2121,Limits!$A$2:$A$5,0))</f>
        <v/>
      </c>
      <c r="I2121">
        <f>INDEX(Limits!$C$2:$C$5,MATCH(E2121,Limits!$A$2:$A$5,0))</f>
        <v/>
      </c>
      <c r="J2121">
        <f>IF(F2121&gt;=I2121,"Action",IF(F2121&gt;=H2121,"Alert","Pass"))</f>
        <v/>
      </c>
      <c r="K2121" s="4">
        <f>DATE(YEAR(B2121),MONTH(B2121),1)</f>
        <v/>
      </c>
    </row>
    <row r="2122">
      <c r="A2122" t="inlineStr">
        <is>
          <t>EM002121</t>
        </is>
      </c>
      <c r="B2122" s="7" t="n">
        <v>46182</v>
      </c>
      <c r="C2122" t="inlineStr">
        <is>
          <t>CR-201</t>
        </is>
      </c>
      <c r="D2122" t="inlineStr">
        <is>
          <t>ISO 8</t>
        </is>
      </c>
      <c r="E2122" t="inlineStr">
        <is>
          <t>Personnel glove</t>
        </is>
      </c>
      <c r="F2122" t="n">
        <v>0</v>
      </c>
      <c r="G2122" t="inlineStr">
        <is>
          <t>Tech D</t>
        </is>
      </c>
      <c r="H2122">
        <f>INDEX(Limits!$B$2:$B$5,MATCH(E2122,Limits!$A$2:$A$5,0))</f>
        <v/>
      </c>
      <c r="I2122">
        <f>INDEX(Limits!$C$2:$C$5,MATCH(E2122,Limits!$A$2:$A$5,0))</f>
        <v/>
      </c>
      <c r="J2122">
        <f>IF(F2122&gt;=I2122,"Action",IF(F2122&gt;=H2122,"Alert","Pass"))</f>
        <v/>
      </c>
      <c r="K2122" s="4">
        <f>DATE(YEAR(B2122),MONTH(B2122),1)</f>
        <v/>
      </c>
    </row>
    <row r="2123">
      <c r="A2123" t="inlineStr">
        <is>
          <t>EM002122</t>
        </is>
      </c>
      <c r="B2123" s="7" t="n">
        <v>46182</v>
      </c>
      <c r="C2123" t="inlineStr">
        <is>
          <t>CR-202</t>
        </is>
      </c>
      <c r="D2123" t="inlineStr">
        <is>
          <t>ISO 8</t>
        </is>
      </c>
      <c r="E2123" t="inlineStr">
        <is>
          <t>Active air</t>
        </is>
      </c>
      <c r="F2123" t="n">
        <v>2</v>
      </c>
      <c r="G2123" t="inlineStr">
        <is>
          <t>Tech B</t>
        </is>
      </c>
      <c r="H2123">
        <f>INDEX(Limits!$B$2:$B$5,MATCH(E2123,Limits!$A$2:$A$5,0))</f>
        <v/>
      </c>
      <c r="I2123">
        <f>INDEX(Limits!$C$2:$C$5,MATCH(E2123,Limits!$A$2:$A$5,0))</f>
        <v/>
      </c>
      <c r="J2123">
        <f>IF(F2123&gt;=I2123,"Action",IF(F2123&gt;=H2123,"Alert","Pass"))</f>
        <v/>
      </c>
      <c r="K2123" s="4">
        <f>DATE(YEAR(B2123),MONTH(B2123),1)</f>
        <v/>
      </c>
    </row>
    <row r="2124">
      <c r="A2124" t="inlineStr">
        <is>
          <t>EM002123</t>
        </is>
      </c>
      <c r="B2124" s="7" t="n">
        <v>46182</v>
      </c>
      <c r="C2124" t="inlineStr">
        <is>
          <t>CR-202</t>
        </is>
      </c>
      <c r="D2124" t="inlineStr">
        <is>
          <t>ISO 8</t>
        </is>
      </c>
      <c r="E2124" t="inlineStr">
        <is>
          <t>Surface contact</t>
        </is>
      </c>
      <c r="F2124" t="n">
        <v>2</v>
      </c>
      <c r="G2124" t="inlineStr">
        <is>
          <t>Tech A</t>
        </is>
      </c>
      <c r="H2124">
        <f>INDEX(Limits!$B$2:$B$5,MATCH(E2124,Limits!$A$2:$A$5,0))</f>
        <v/>
      </c>
      <c r="I2124">
        <f>INDEX(Limits!$C$2:$C$5,MATCH(E2124,Limits!$A$2:$A$5,0))</f>
        <v/>
      </c>
      <c r="J2124">
        <f>IF(F2124&gt;=I2124,"Action",IF(F2124&gt;=H2124,"Alert","Pass"))</f>
        <v/>
      </c>
      <c r="K2124" s="4">
        <f>DATE(YEAR(B2124),MONTH(B2124),1)</f>
        <v/>
      </c>
    </row>
    <row r="2125">
      <c r="A2125" t="inlineStr">
        <is>
          <t>EM002124</t>
        </is>
      </c>
      <c r="B2125" s="7" t="n">
        <v>46182</v>
      </c>
      <c r="C2125" t="inlineStr">
        <is>
          <t>CR-202</t>
        </is>
      </c>
      <c r="D2125" t="inlineStr">
        <is>
          <t>ISO 8</t>
        </is>
      </c>
      <c r="E2125" t="inlineStr">
        <is>
          <t>Compressed air</t>
        </is>
      </c>
      <c r="F2125" t="n">
        <v>0</v>
      </c>
      <c r="G2125" t="inlineStr">
        <is>
          <t>Tech A</t>
        </is>
      </c>
      <c r="H2125">
        <f>INDEX(Limits!$B$2:$B$5,MATCH(E2125,Limits!$A$2:$A$5,0))</f>
        <v/>
      </c>
      <c r="I2125">
        <f>INDEX(Limits!$C$2:$C$5,MATCH(E2125,Limits!$A$2:$A$5,0))</f>
        <v/>
      </c>
      <c r="J2125">
        <f>IF(F2125&gt;=I2125,"Action",IF(F2125&gt;=H2125,"Alert","Pass"))</f>
        <v/>
      </c>
      <c r="K2125" s="4">
        <f>DATE(YEAR(B2125),MONTH(B2125),1)</f>
        <v/>
      </c>
    </row>
    <row r="2126">
      <c r="A2126" t="inlineStr">
        <is>
          <t>EM002125</t>
        </is>
      </c>
      <c r="B2126" s="7" t="n">
        <v>46182</v>
      </c>
      <c r="C2126" t="inlineStr">
        <is>
          <t>CR-202</t>
        </is>
      </c>
      <c r="D2126" t="inlineStr">
        <is>
          <t>ISO 8</t>
        </is>
      </c>
      <c r="E2126" t="inlineStr">
        <is>
          <t>Personnel glove</t>
        </is>
      </c>
      <c r="F2126" t="n">
        <v>0</v>
      </c>
      <c r="G2126" t="inlineStr">
        <is>
          <t>Tech A</t>
        </is>
      </c>
      <c r="H2126">
        <f>INDEX(Limits!$B$2:$B$5,MATCH(E2126,Limits!$A$2:$A$5,0))</f>
        <v/>
      </c>
      <c r="I2126">
        <f>INDEX(Limits!$C$2:$C$5,MATCH(E2126,Limits!$A$2:$A$5,0))</f>
        <v/>
      </c>
      <c r="J2126">
        <f>IF(F2126&gt;=I2126,"Action",IF(F2126&gt;=H2126,"Alert","Pass"))</f>
        <v/>
      </c>
      <c r="K2126" s="4">
        <f>DATE(YEAR(B2126),MONTH(B2126),1)</f>
        <v/>
      </c>
    </row>
    <row r="2127">
      <c r="A2127" t="inlineStr">
        <is>
          <t>EM002126</t>
        </is>
      </c>
      <c r="B2127" s="7" t="n">
        <v>46182</v>
      </c>
      <c r="C2127" t="inlineStr">
        <is>
          <t>Gowning</t>
        </is>
      </c>
      <c r="D2127" t="inlineStr">
        <is>
          <t>ISO 8</t>
        </is>
      </c>
      <c r="E2127" t="inlineStr">
        <is>
          <t>Active air</t>
        </is>
      </c>
      <c r="F2127" t="n">
        <v>3</v>
      </c>
      <c r="G2127" t="inlineStr">
        <is>
          <t>Tech B</t>
        </is>
      </c>
      <c r="H2127">
        <f>INDEX(Limits!$B$2:$B$5,MATCH(E2127,Limits!$A$2:$A$5,0))</f>
        <v/>
      </c>
      <c r="I2127">
        <f>INDEX(Limits!$C$2:$C$5,MATCH(E2127,Limits!$A$2:$A$5,0))</f>
        <v/>
      </c>
      <c r="J2127">
        <f>IF(F2127&gt;=I2127,"Action",IF(F2127&gt;=H2127,"Alert","Pass"))</f>
        <v/>
      </c>
      <c r="K2127" s="4">
        <f>DATE(YEAR(B2127),MONTH(B2127),1)</f>
        <v/>
      </c>
    </row>
    <row r="2128">
      <c r="A2128" t="inlineStr">
        <is>
          <t>EM002127</t>
        </is>
      </c>
      <c r="B2128" s="7" t="n">
        <v>46182</v>
      </c>
      <c r="C2128" t="inlineStr">
        <is>
          <t>Gowning</t>
        </is>
      </c>
      <c r="D2128" t="inlineStr">
        <is>
          <t>ISO 8</t>
        </is>
      </c>
      <c r="E2128" t="inlineStr">
        <is>
          <t>Surface contact</t>
        </is>
      </c>
      <c r="F2128" t="n">
        <v>1</v>
      </c>
      <c r="G2128" t="inlineStr">
        <is>
          <t>Tech A</t>
        </is>
      </c>
      <c r="H2128">
        <f>INDEX(Limits!$B$2:$B$5,MATCH(E2128,Limits!$A$2:$A$5,0))</f>
        <v/>
      </c>
      <c r="I2128">
        <f>INDEX(Limits!$C$2:$C$5,MATCH(E2128,Limits!$A$2:$A$5,0))</f>
        <v/>
      </c>
      <c r="J2128">
        <f>IF(F2128&gt;=I2128,"Action",IF(F2128&gt;=H2128,"Alert","Pass"))</f>
        <v/>
      </c>
      <c r="K2128" s="4">
        <f>DATE(YEAR(B2128),MONTH(B2128),1)</f>
        <v/>
      </c>
    </row>
    <row r="2129">
      <c r="A2129" t="inlineStr">
        <is>
          <t>EM002128</t>
        </is>
      </c>
      <c r="B2129" s="7" t="n">
        <v>46182</v>
      </c>
      <c r="C2129" t="inlineStr">
        <is>
          <t>Gowning</t>
        </is>
      </c>
      <c r="D2129" t="inlineStr">
        <is>
          <t>ISO 8</t>
        </is>
      </c>
      <c r="E2129" t="inlineStr">
        <is>
          <t>Personnel glove</t>
        </is>
      </c>
      <c r="F2129" t="n">
        <v>0</v>
      </c>
      <c r="G2129" t="inlineStr">
        <is>
          <t>Tech D</t>
        </is>
      </c>
      <c r="H2129">
        <f>INDEX(Limits!$B$2:$B$5,MATCH(E2129,Limits!$A$2:$A$5,0))</f>
        <v/>
      </c>
      <c r="I2129">
        <f>INDEX(Limits!$C$2:$C$5,MATCH(E2129,Limits!$A$2:$A$5,0))</f>
        <v/>
      </c>
      <c r="J2129">
        <f>IF(F2129&gt;=I2129,"Action",IF(F2129&gt;=H2129,"Alert","Pass"))</f>
        <v/>
      </c>
      <c r="K2129" s="4">
        <f>DATE(YEAR(B2129),MONTH(B2129),1)</f>
        <v/>
      </c>
    </row>
    <row r="2130">
      <c r="A2130" t="inlineStr">
        <is>
          <t>EM002129</t>
        </is>
      </c>
      <c r="B2130" s="7" t="n">
        <v>46183</v>
      </c>
      <c r="C2130" t="inlineStr">
        <is>
          <t>CR-101</t>
        </is>
      </c>
      <c r="D2130" t="inlineStr">
        <is>
          <t>ISO 7</t>
        </is>
      </c>
      <c r="E2130" t="inlineStr">
        <is>
          <t>Active air</t>
        </is>
      </c>
      <c r="F2130" t="n">
        <v>1</v>
      </c>
      <c r="G2130" t="inlineStr">
        <is>
          <t>Tech D</t>
        </is>
      </c>
      <c r="H2130">
        <f>INDEX(Limits!$B$2:$B$5,MATCH(E2130,Limits!$A$2:$A$5,0))</f>
        <v/>
      </c>
      <c r="I2130">
        <f>INDEX(Limits!$C$2:$C$5,MATCH(E2130,Limits!$A$2:$A$5,0))</f>
        <v/>
      </c>
      <c r="J2130">
        <f>IF(F2130&gt;=I2130,"Action",IF(F2130&gt;=H2130,"Alert","Pass"))</f>
        <v/>
      </c>
      <c r="K2130" s="4">
        <f>DATE(YEAR(B2130),MONTH(B2130),1)</f>
        <v/>
      </c>
    </row>
    <row r="2131">
      <c r="A2131" t="inlineStr">
        <is>
          <t>EM002130</t>
        </is>
      </c>
      <c r="B2131" s="7" t="n">
        <v>46183</v>
      </c>
      <c r="C2131" t="inlineStr">
        <is>
          <t>CR-101</t>
        </is>
      </c>
      <c r="D2131" t="inlineStr">
        <is>
          <t>ISO 7</t>
        </is>
      </c>
      <c r="E2131" t="inlineStr">
        <is>
          <t>Surface contact</t>
        </is>
      </c>
      <c r="F2131" t="n">
        <v>0</v>
      </c>
      <c r="G2131" t="inlineStr">
        <is>
          <t>Tech D</t>
        </is>
      </c>
      <c r="H2131">
        <f>INDEX(Limits!$B$2:$B$5,MATCH(E2131,Limits!$A$2:$A$5,0))</f>
        <v/>
      </c>
      <c r="I2131">
        <f>INDEX(Limits!$C$2:$C$5,MATCH(E2131,Limits!$A$2:$A$5,0))</f>
        <v/>
      </c>
      <c r="J2131">
        <f>IF(F2131&gt;=I2131,"Action",IF(F2131&gt;=H2131,"Alert","Pass"))</f>
        <v/>
      </c>
      <c r="K2131" s="4">
        <f>DATE(YEAR(B2131),MONTH(B2131),1)</f>
        <v/>
      </c>
    </row>
    <row r="2132">
      <c r="A2132" t="inlineStr">
        <is>
          <t>EM002131</t>
        </is>
      </c>
      <c r="B2132" s="7" t="n">
        <v>46183</v>
      </c>
      <c r="C2132" t="inlineStr">
        <is>
          <t>CR-101</t>
        </is>
      </c>
      <c r="D2132" t="inlineStr">
        <is>
          <t>ISO 7</t>
        </is>
      </c>
      <c r="E2132" t="inlineStr">
        <is>
          <t>Compressed air</t>
        </is>
      </c>
      <c r="F2132" t="n">
        <v>0</v>
      </c>
      <c r="G2132" t="inlineStr">
        <is>
          <t>Tech C</t>
        </is>
      </c>
      <c r="H2132">
        <f>INDEX(Limits!$B$2:$B$5,MATCH(E2132,Limits!$A$2:$A$5,0))</f>
        <v/>
      </c>
      <c r="I2132">
        <f>INDEX(Limits!$C$2:$C$5,MATCH(E2132,Limits!$A$2:$A$5,0))</f>
        <v/>
      </c>
      <c r="J2132">
        <f>IF(F2132&gt;=I2132,"Action",IF(F2132&gt;=H2132,"Alert","Pass"))</f>
        <v/>
      </c>
      <c r="K2132" s="4">
        <f>DATE(YEAR(B2132),MONTH(B2132),1)</f>
        <v/>
      </c>
    </row>
    <row r="2133">
      <c r="A2133" t="inlineStr">
        <is>
          <t>EM002132</t>
        </is>
      </c>
      <c r="B2133" s="7" t="n">
        <v>46183</v>
      </c>
      <c r="C2133" t="inlineStr">
        <is>
          <t>CR-101</t>
        </is>
      </c>
      <c r="D2133" t="inlineStr">
        <is>
          <t>ISO 7</t>
        </is>
      </c>
      <c r="E2133" t="inlineStr">
        <is>
          <t>Personnel glove</t>
        </is>
      </c>
      <c r="F2133" t="n">
        <v>0</v>
      </c>
      <c r="G2133" t="inlineStr">
        <is>
          <t>Tech C</t>
        </is>
      </c>
      <c r="H2133">
        <f>INDEX(Limits!$B$2:$B$5,MATCH(E2133,Limits!$A$2:$A$5,0))</f>
        <v/>
      </c>
      <c r="I2133">
        <f>INDEX(Limits!$C$2:$C$5,MATCH(E2133,Limits!$A$2:$A$5,0))</f>
        <v/>
      </c>
      <c r="J2133">
        <f>IF(F2133&gt;=I2133,"Action",IF(F2133&gt;=H2133,"Alert","Pass"))</f>
        <v/>
      </c>
      <c r="K2133" s="4">
        <f>DATE(YEAR(B2133),MONTH(B2133),1)</f>
        <v/>
      </c>
    </row>
    <row r="2134">
      <c r="A2134" t="inlineStr">
        <is>
          <t>EM002133</t>
        </is>
      </c>
      <c r="B2134" s="7" t="n">
        <v>46183</v>
      </c>
      <c r="C2134" t="inlineStr">
        <is>
          <t>CR-102</t>
        </is>
      </c>
      <c r="D2134" t="inlineStr">
        <is>
          <t>ISO 7</t>
        </is>
      </c>
      <c r="E2134" t="inlineStr">
        <is>
          <t>Active air</t>
        </is>
      </c>
      <c r="F2134" t="n">
        <v>3</v>
      </c>
      <c r="G2134" t="inlineStr">
        <is>
          <t>Tech B</t>
        </is>
      </c>
      <c r="H2134">
        <f>INDEX(Limits!$B$2:$B$5,MATCH(E2134,Limits!$A$2:$A$5,0))</f>
        <v/>
      </c>
      <c r="I2134">
        <f>INDEX(Limits!$C$2:$C$5,MATCH(E2134,Limits!$A$2:$A$5,0))</f>
        <v/>
      </c>
      <c r="J2134">
        <f>IF(F2134&gt;=I2134,"Action",IF(F2134&gt;=H2134,"Alert","Pass"))</f>
        <v/>
      </c>
      <c r="K2134" s="4">
        <f>DATE(YEAR(B2134),MONTH(B2134),1)</f>
        <v/>
      </c>
    </row>
    <row r="2135">
      <c r="A2135" t="inlineStr">
        <is>
          <t>EM002134</t>
        </is>
      </c>
      <c r="B2135" s="7" t="n">
        <v>46183</v>
      </c>
      <c r="C2135" t="inlineStr">
        <is>
          <t>CR-102</t>
        </is>
      </c>
      <c r="D2135" t="inlineStr">
        <is>
          <t>ISO 7</t>
        </is>
      </c>
      <c r="E2135" t="inlineStr">
        <is>
          <t>Surface contact</t>
        </is>
      </c>
      <c r="F2135" t="n">
        <v>0</v>
      </c>
      <c r="G2135" t="inlineStr">
        <is>
          <t>Tech A</t>
        </is>
      </c>
      <c r="H2135">
        <f>INDEX(Limits!$B$2:$B$5,MATCH(E2135,Limits!$A$2:$A$5,0))</f>
        <v/>
      </c>
      <c r="I2135">
        <f>INDEX(Limits!$C$2:$C$5,MATCH(E2135,Limits!$A$2:$A$5,0))</f>
        <v/>
      </c>
      <c r="J2135">
        <f>IF(F2135&gt;=I2135,"Action",IF(F2135&gt;=H2135,"Alert","Pass"))</f>
        <v/>
      </c>
      <c r="K2135" s="4">
        <f>DATE(YEAR(B2135),MONTH(B2135),1)</f>
        <v/>
      </c>
    </row>
    <row r="2136">
      <c r="A2136" t="inlineStr">
        <is>
          <t>EM002135</t>
        </is>
      </c>
      <c r="B2136" s="7" t="n">
        <v>46183</v>
      </c>
      <c r="C2136" t="inlineStr">
        <is>
          <t>CR-102</t>
        </is>
      </c>
      <c r="D2136" t="inlineStr">
        <is>
          <t>ISO 7</t>
        </is>
      </c>
      <c r="E2136" t="inlineStr">
        <is>
          <t>Compressed air</t>
        </is>
      </c>
      <c r="F2136" t="n">
        <v>0</v>
      </c>
      <c r="G2136" t="inlineStr">
        <is>
          <t>Tech D</t>
        </is>
      </c>
      <c r="H2136">
        <f>INDEX(Limits!$B$2:$B$5,MATCH(E2136,Limits!$A$2:$A$5,0))</f>
        <v/>
      </c>
      <c r="I2136">
        <f>INDEX(Limits!$C$2:$C$5,MATCH(E2136,Limits!$A$2:$A$5,0))</f>
        <v/>
      </c>
      <c r="J2136">
        <f>IF(F2136&gt;=I2136,"Action",IF(F2136&gt;=H2136,"Alert","Pass"))</f>
        <v/>
      </c>
      <c r="K2136" s="4">
        <f>DATE(YEAR(B2136),MONTH(B2136),1)</f>
        <v/>
      </c>
    </row>
    <row r="2137">
      <c r="A2137" t="inlineStr">
        <is>
          <t>EM002136</t>
        </is>
      </c>
      <c r="B2137" s="7" t="n">
        <v>46183</v>
      </c>
      <c r="C2137" t="inlineStr">
        <is>
          <t>CR-102</t>
        </is>
      </c>
      <c r="D2137" t="inlineStr">
        <is>
          <t>ISO 7</t>
        </is>
      </c>
      <c r="E2137" t="inlineStr">
        <is>
          <t>Personnel glove</t>
        </is>
      </c>
      <c r="F2137" t="n">
        <v>0</v>
      </c>
      <c r="G2137" t="inlineStr">
        <is>
          <t>Tech A</t>
        </is>
      </c>
      <c r="H2137">
        <f>INDEX(Limits!$B$2:$B$5,MATCH(E2137,Limits!$A$2:$A$5,0))</f>
        <v/>
      </c>
      <c r="I2137">
        <f>INDEX(Limits!$C$2:$C$5,MATCH(E2137,Limits!$A$2:$A$5,0))</f>
        <v/>
      </c>
      <c r="J2137">
        <f>IF(F2137&gt;=I2137,"Action",IF(F2137&gt;=H2137,"Alert","Pass"))</f>
        <v/>
      </c>
      <c r="K2137" s="4">
        <f>DATE(YEAR(B2137),MONTH(B2137),1)</f>
        <v/>
      </c>
    </row>
    <row r="2138">
      <c r="A2138" t="inlineStr">
        <is>
          <t>EM002137</t>
        </is>
      </c>
      <c r="B2138" s="7" t="n">
        <v>46183</v>
      </c>
      <c r="C2138" t="inlineStr">
        <is>
          <t>CR-201</t>
        </is>
      </c>
      <c r="D2138" t="inlineStr">
        <is>
          <t>ISO 8</t>
        </is>
      </c>
      <c r="E2138" t="inlineStr">
        <is>
          <t>Active air</t>
        </is>
      </c>
      <c r="F2138" t="n">
        <v>0</v>
      </c>
      <c r="G2138" t="inlineStr">
        <is>
          <t>Tech D</t>
        </is>
      </c>
      <c r="H2138">
        <f>INDEX(Limits!$B$2:$B$5,MATCH(E2138,Limits!$A$2:$A$5,0))</f>
        <v/>
      </c>
      <c r="I2138">
        <f>INDEX(Limits!$C$2:$C$5,MATCH(E2138,Limits!$A$2:$A$5,0))</f>
        <v/>
      </c>
      <c r="J2138">
        <f>IF(F2138&gt;=I2138,"Action",IF(F2138&gt;=H2138,"Alert","Pass"))</f>
        <v/>
      </c>
      <c r="K2138" s="4">
        <f>DATE(YEAR(B2138),MONTH(B2138),1)</f>
        <v/>
      </c>
    </row>
    <row r="2139">
      <c r="A2139" t="inlineStr">
        <is>
          <t>EM002138</t>
        </is>
      </c>
      <c r="B2139" s="7" t="n">
        <v>46183</v>
      </c>
      <c r="C2139" t="inlineStr">
        <is>
          <t>CR-201</t>
        </is>
      </c>
      <c r="D2139" t="inlineStr">
        <is>
          <t>ISO 8</t>
        </is>
      </c>
      <c r="E2139" t="inlineStr">
        <is>
          <t>Surface contact</t>
        </is>
      </c>
      <c r="F2139" t="n">
        <v>0</v>
      </c>
      <c r="G2139" t="inlineStr">
        <is>
          <t>Tech A</t>
        </is>
      </c>
      <c r="H2139">
        <f>INDEX(Limits!$B$2:$B$5,MATCH(E2139,Limits!$A$2:$A$5,0))</f>
        <v/>
      </c>
      <c r="I2139">
        <f>INDEX(Limits!$C$2:$C$5,MATCH(E2139,Limits!$A$2:$A$5,0))</f>
        <v/>
      </c>
      <c r="J2139">
        <f>IF(F2139&gt;=I2139,"Action",IF(F2139&gt;=H2139,"Alert","Pass"))</f>
        <v/>
      </c>
      <c r="K2139" s="4">
        <f>DATE(YEAR(B2139),MONTH(B2139),1)</f>
        <v/>
      </c>
    </row>
    <row r="2140">
      <c r="A2140" t="inlineStr">
        <is>
          <t>EM002139</t>
        </is>
      </c>
      <c r="B2140" s="7" t="n">
        <v>46183</v>
      </c>
      <c r="C2140" t="inlineStr">
        <is>
          <t>CR-201</t>
        </is>
      </c>
      <c r="D2140" t="inlineStr">
        <is>
          <t>ISO 8</t>
        </is>
      </c>
      <c r="E2140" t="inlineStr">
        <is>
          <t>Compressed air</t>
        </is>
      </c>
      <c r="F2140" t="n">
        <v>0</v>
      </c>
      <c r="G2140" t="inlineStr">
        <is>
          <t>Tech B</t>
        </is>
      </c>
      <c r="H2140">
        <f>INDEX(Limits!$B$2:$B$5,MATCH(E2140,Limits!$A$2:$A$5,0))</f>
        <v/>
      </c>
      <c r="I2140">
        <f>INDEX(Limits!$C$2:$C$5,MATCH(E2140,Limits!$A$2:$A$5,0))</f>
        <v/>
      </c>
      <c r="J2140">
        <f>IF(F2140&gt;=I2140,"Action",IF(F2140&gt;=H2140,"Alert","Pass"))</f>
        <v/>
      </c>
      <c r="K2140" s="4">
        <f>DATE(YEAR(B2140),MONTH(B2140),1)</f>
        <v/>
      </c>
    </row>
    <row r="2141">
      <c r="A2141" t="inlineStr">
        <is>
          <t>EM002140</t>
        </is>
      </c>
      <c r="B2141" s="7" t="n">
        <v>46183</v>
      </c>
      <c r="C2141" t="inlineStr">
        <is>
          <t>CR-201</t>
        </is>
      </c>
      <c r="D2141" t="inlineStr">
        <is>
          <t>ISO 8</t>
        </is>
      </c>
      <c r="E2141" t="inlineStr">
        <is>
          <t>Personnel glove</t>
        </is>
      </c>
      <c r="F2141" t="n">
        <v>1</v>
      </c>
      <c r="G2141" t="inlineStr">
        <is>
          <t>Tech A</t>
        </is>
      </c>
      <c r="H2141">
        <f>INDEX(Limits!$B$2:$B$5,MATCH(E2141,Limits!$A$2:$A$5,0))</f>
        <v/>
      </c>
      <c r="I2141">
        <f>INDEX(Limits!$C$2:$C$5,MATCH(E2141,Limits!$A$2:$A$5,0))</f>
        <v/>
      </c>
      <c r="J2141">
        <f>IF(F2141&gt;=I2141,"Action",IF(F2141&gt;=H2141,"Alert","Pass"))</f>
        <v/>
      </c>
      <c r="K2141" s="4">
        <f>DATE(YEAR(B2141),MONTH(B2141),1)</f>
        <v/>
      </c>
    </row>
    <row r="2142">
      <c r="A2142" t="inlineStr">
        <is>
          <t>EM002141</t>
        </is>
      </c>
      <c r="B2142" s="7" t="n">
        <v>46183</v>
      </c>
      <c r="C2142" t="inlineStr">
        <is>
          <t>CR-202</t>
        </is>
      </c>
      <c r="D2142" t="inlineStr">
        <is>
          <t>ISO 8</t>
        </is>
      </c>
      <c r="E2142" t="inlineStr">
        <is>
          <t>Active air</t>
        </is>
      </c>
      <c r="F2142" t="n">
        <v>1</v>
      </c>
      <c r="G2142" t="inlineStr">
        <is>
          <t>Tech A</t>
        </is>
      </c>
      <c r="H2142">
        <f>INDEX(Limits!$B$2:$B$5,MATCH(E2142,Limits!$A$2:$A$5,0))</f>
        <v/>
      </c>
      <c r="I2142">
        <f>INDEX(Limits!$C$2:$C$5,MATCH(E2142,Limits!$A$2:$A$5,0))</f>
        <v/>
      </c>
      <c r="J2142">
        <f>IF(F2142&gt;=I2142,"Action",IF(F2142&gt;=H2142,"Alert","Pass"))</f>
        <v/>
      </c>
      <c r="K2142" s="4">
        <f>DATE(YEAR(B2142),MONTH(B2142),1)</f>
        <v/>
      </c>
    </row>
    <row r="2143">
      <c r="A2143" t="inlineStr">
        <is>
          <t>EM002142</t>
        </is>
      </c>
      <c r="B2143" s="7" t="n">
        <v>46183</v>
      </c>
      <c r="C2143" t="inlineStr">
        <is>
          <t>CR-202</t>
        </is>
      </c>
      <c r="D2143" t="inlineStr">
        <is>
          <t>ISO 8</t>
        </is>
      </c>
      <c r="E2143" t="inlineStr">
        <is>
          <t>Surface contact</t>
        </is>
      </c>
      <c r="F2143" t="n">
        <v>0</v>
      </c>
      <c r="G2143" t="inlineStr">
        <is>
          <t>Tech B</t>
        </is>
      </c>
      <c r="H2143">
        <f>INDEX(Limits!$B$2:$B$5,MATCH(E2143,Limits!$A$2:$A$5,0))</f>
        <v/>
      </c>
      <c r="I2143">
        <f>INDEX(Limits!$C$2:$C$5,MATCH(E2143,Limits!$A$2:$A$5,0))</f>
        <v/>
      </c>
      <c r="J2143">
        <f>IF(F2143&gt;=I2143,"Action",IF(F2143&gt;=H2143,"Alert","Pass"))</f>
        <v/>
      </c>
      <c r="K2143" s="4">
        <f>DATE(YEAR(B2143),MONTH(B2143),1)</f>
        <v/>
      </c>
    </row>
    <row r="2144">
      <c r="A2144" t="inlineStr">
        <is>
          <t>EM002143</t>
        </is>
      </c>
      <c r="B2144" s="7" t="n">
        <v>46183</v>
      </c>
      <c r="C2144" t="inlineStr">
        <is>
          <t>CR-202</t>
        </is>
      </c>
      <c r="D2144" t="inlineStr">
        <is>
          <t>ISO 8</t>
        </is>
      </c>
      <c r="E2144" t="inlineStr">
        <is>
          <t>Compressed air</t>
        </is>
      </c>
      <c r="F2144" t="n">
        <v>0</v>
      </c>
      <c r="G2144" t="inlineStr">
        <is>
          <t>Tech C</t>
        </is>
      </c>
      <c r="H2144">
        <f>INDEX(Limits!$B$2:$B$5,MATCH(E2144,Limits!$A$2:$A$5,0))</f>
        <v/>
      </c>
      <c r="I2144">
        <f>INDEX(Limits!$C$2:$C$5,MATCH(E2144,Limits!$A$2:$A$5,0))</f>
        <v/>
      </c>
      <c r="J2144">
        <f>IF(F2144&gt;=I2144,"Action",IF(F2144&gt;=H2144,"Alert","Pass"))</f>
        <v/>
      </c>
      <c r="K2144" s="4">
        <f>DATE(YEAR(B2144),MONTH(B2144),1)</f>
        <v/>
      </c>
    </row>
    <row r="2145">
      <c r="A2145" t="inlineStr">
        <is>
          <t>EM002144</t>
        </is>
      </c>
      <c r="B2145" s="7" t="n">
        <v>46183</v>
      </c>
      <c r="C2145" t="inlineStr">
        <is>
          <t>CR-202</t>
        </is>
      </c>
      <c r="D2145" t="inlineStr">
        <is>
          <t>ISO 8</t>
        </is>
      </c>
      <c r="E2145" t="inlineStr">
        <is>
          <t>Personnel glove</t>
        </is>
      </c>
      <c r="F2145" t="n">
        <v>0</v>
      </c>
      <c r="G2145" t="inlineStr">
        <is>
          <t>Tech A</t>
        </is>
      </c>
      <c r="H2145">
        <f>INDEX(Limits!$B$2:$B$5,MATCH(E2145,Limits!$A$2:$A$5,0))</f>
        <v/>
      </c>
      <c r="I2145">
        <f>INDEX(Limits!$C$2:$C$5,MATCH(E2145,Limits!$A$2:$A$5,0))</f>
        <v/>
      </c>
      <c r="J2145">
        <f>IF(F2145&gt;=I2145,"Action",IF(F2145&gt;=H2145,"Alert","Pass"))</f>
        <v/>
      </c>
      <c r="K2145" s="4">
        <f>DATE(YEAR(B2145),MONTH(B2145),1)</f>
        <v/>
      </c>
    </row>
    <row r="2146">
      <c r="A2146" t="inlineStr">
        <is>
          <t>EM002145</t>
        </is>
      </c>
      <c r="B2146" s="7" t="n">
        <v>46183</v>
      </c>
      <c r="C2146" t="inlineStr">
        <is>
          <t>Gowning</t>
        </is>
      </c>
      <c r="D2146" t="inlineStr">
        <is>
          <t>ISO 8</t>
        </is>
      </c>
      <c r="E2146" t="inlineStr">
        <is>
          <t>Active air</t>
        </is>
      </c>
      <c r="F2146" t="n">
        <v>1</v>
      </c>
      <c r="G2146" t="inlineStr">
        <is>
          <t>Tech C</t>
        </is>
      </c>
      <c r="H2146">
        <f>INDEX(Limits!$B$2:$B$5,MATCH(E2146,Limits!$A$2:$A$5,0))</f>
        <v/>
      </c>
      <c r="I2146">
        <f>INDEX(Limits!$C$2:$C$5,MATCH(E2146,Limits!$A$2:$A$5,0))</f>
        <v/>
      </c>
      <c r="J2146">
        <f>IF(F2146&gt;=I2146,"Action",IF(F2146&gt;=H2146,"Alert","Pass"))</f>
        <v/>
      </c>
      <c r="K2146" s="4">
        <f>DATE(YEAR(B2146),MONTH(B2146),1)</f>
        <v/>
      </c>
    </row>
    <row r="2147">
      <c r="A2147" t="inlineStr">
        <is>
          <t>EM002146</t>
        </is>
      </c>
      <c r="B2147" s="7" t="n">
        <v>46183</v>
      </c>
      <c r="C2147" t="inlineStr">
        <is>
          <t>Gowning</t>
        </is>
      </c>
      <c r="D2147" t="inlineStr">
        <is>
          <t>ISO 8</t>
        </is>
      </c>
      <c r="E2147" t="inlineStr">
        <is>
          <t>Surface contact</t>
        </is>
      </c>
      <c r="F2147" t="n">
        <v>1</v>
      </c>
      <c r="G2147" t="inlineStr">
        <is>
          <t>Tech A</t>
        </is>
      </c>
      <c r="H2147">
        <f>INDEX(Limits!$B$2:$B$5,MATCH(E2147,Limits!$A$2:$A$5,0))</f>
        <v/>
      </c>
      <c r="I2147">
        <f>INDEX(Limits!$C$2:$C$5,MATCH(E2147,Limits!$A$2:$A$5,0))</f>
        <v/>
      </c>
      <c r="J2147">
        <f>IF(F2147&gt;=I2147,"Action",IF(F2147&gt;=H2147,"Alert","Pass"))</f>
        <v/>
      </c>
      <c r="K2147" s="4">
        <f>DATE(YEAR(B2147),MONTH(B2147),1)</f>
        <v/>
      </c>
    </row>
    <row r="2148">
      <c r="A2148" t="inlineStr">
        <is>
          <t>EM002147</t>
        </is>
      </c>
      <c r="B2148" s="7" t="n">
        <v>46183</v>
      </c>
      <c r="C2148" t="inlineStr">
        <is>
          <t>Gowning</t>
        </is>
      </c>
      <c r="D2148" t="inlineStr">
        <is>
          <t>ISO 8</t>
        </is>
      </c>
      <c r="E2148" t="inlineStr">
        <is>
          <t>Personnel glove</t>
        </is>
      </c>
      <c r="F2148" t="n">
        <v>0</v>
      </c>
      <c r="G2148" t="inlineStr">
        <is>
          <t>Tech D</t>
        </is>
      </c>
      <c r="H2148">
        <f>INDEX(Limits!$B$2:$B$5,MATCH(E2148,Limits!$A$2:$A$5,0))</f>
        <v/>
      </c>
      <c r="I2148">
        <f>INDEX(Limits!$C$2:$C$5,MATCH(E2148,Limits!$A$2:$A$5,0))</f>
        <v/>
      </c>
      <c r="J2148">
        <f>IF(F2148&gt;=I2148,"Action",IF(F2148&gt;=H2148,"Alert","Pass"))</f>
        <v/>
      </c>
      <c r="K2148" s="4">
        <f>DATE(YEAR(B2148),MONTH(B2148),1)</f>
        <v/>
      </c>
    </row>
    <row r="2149">
      <c r="A2149" t="inlineStr">
        <is>
          <t>EM002148</t>
        </is>
      </c>
      <c r="B2149" s="7" t="n">
        <v>46184</v>
      </c>
      <c r="C2149" t="inlineStr">
        <is>
          <t>CR-101</t>
        </is>
      </c>
      <c r="D2149" t="inlineStr">
        <is>
          <t>ISO 7</t>
        </is>
      </c>
      <c r="E2149" t="inlineStr">
        <is>
          <t>Active air</t>
        </is>
      </c>
      <c r="F2149" t="n">
        <v>0</v>
      </c>
      <c r="G2149" t="inlineStr">
        <is>
          <t>Tech D</t>
        </is>
      </c>
      <c r="H2149">
        <f>INDEX(Limits!$B$2:$B$5,MATCH(E2149,Limits!$A$2:$A$5,0))</f>
        <v/>
      </c>
      <c r="I2149">
        <f>INDEX(Limits!$C$2:$C$5,MATCH(E2149,Limits!$A$2:$A$5,0))</f>
        <v/>
      </c>
      <c r="J2149">
        <f>IF(F2149&gt;=I2149,"Action",IF(F2149&gt;=H2149,"Alert","Pass"))</f>
        <v/>
      </c>
      <c r="K2149" s="4">
        <f>DATE(YEAR(B2149),MONTH(B2149),1)</f>
        <v/>
      </c>
    </row>
    <row r="2150">
      <c r="A2150" t="inlineStr">
        <is>
          <t>EM002149</t>
        </is>
      </c>
      <c r="B2150" s="7" t="n">
        <v>46184</v>
      </c>
      <c r="C2150" t="inlineStr">
        <is>
          <t>CR-101</t>
        </is>
      </c>
      <c r="D2150" t="inlineStr">
        <is>
          <t>ISO 7</t>
        </is>
      </c>
      <c r="E2150" t="inlineStr">
        <is>
          <t>Surface contact</t>
        </is>
      </c>
      <c r="F2150" t="n">
        <v>0</v>
      </c>
      <c r="G2150" t="inlineStr">
        <is>
          <t>Tech D</t>
        </is>
      </c>
      <c r="H2150">
        <f>INDEX(Limits!$B$2:$B$5,MATCH(E2150,Limits!$A$2:$A$5,0))</f>
        <v/>
      </c>
      <c r="I2150">
        <f>INDEX(Limits!$C$2:$C$5,MATCH(E2150,Limits!$A$2:$A$5,0))</f>
        <v/>
      </c>
      <c r="J2150">
        <f>IF(F2150&gt;=I2150,"Action",IF(F2150&gt;=H2150,"Alert","Pass"))</f>
        <v/>
      </c>
      <c r="K2150" s="4">
        <f>DATE(YEAR(B2150),MONTH(B2150),1)</f>
        <v/>
      </c>
    </row>
    <row r="2151">
      <c r="A2151" t="inlineStr">
        <is>
          <t>EM002150</t>
        </is>
      </c>
      <c r="B2151" s="7" t="n">
        <v>46184</v>
      </c>
      <c r="C2151" t="inlineStr">
        <is>
          <t>CR-101</t>
        </is>
      </c>
      <c r="D2151" t="inlineStr">
        <is>
          <t>ISO 7</t>
        </is>
      </c>
      <c r="E2151" t="inlineStr">
        <is>
          <t>Compressed air</t>
        </is>
      </c>
      <c r="F2151" t="n">
        <v>0</v>
      </c>
      <c r="G2151" t="inlineStr">
        <is>
          <t>Tech B</t>
        </is>
      </c>
      <c r="H2151">
        <f>INDEX(Limits!$B$2:$B$5,MATCH(E2151,Limits!$A$2:$A$5,0))</f>
        <v/>
      </c>
      <c r="I2151">
        <f>INDEX(Limits!$C$2:$C$5,MATCH(E2151,Limits!$A$2:$A$5,0))</f>
        <v/>
      </c>
      <c r="J2151">
        <f>IF(F2151&gt;=I2151,"Action",IF(F2151&gt;=H2151,"Alert","Pass"))</f>
        <v/>
      </c>
      <c r="K2151" s="4">
        <f>DATE(YEAR(B2151),MONTH(B2151),1)</f>
        <v/>
      </c>
    </row>
    <row r="2152">
      <c r="A2152" t="inlineStr">
        <is>
          <t>EM002151</t>
        </is>
      </c>
      <c r="B2152" s="7" t="n">
        <v>46184</v>
      </c>
      <c r="C2152" t="inlineStr">
        <is>
          <t>CR-101</t>
        </is>
      </c>
      <c r="D2152" t="inlineStr">
        <is>
          <t>ISO 7</t>
        </is>
      </c>
      <c r="E2152" t="inlineStr">
        <is>
          <t>Personnel glove</t>
        </is>
      </c>
      <c r="F2152" t="n">
        <v>0</v>
      </c>
      <c r="G2152" t="inlineStr">
        <is>
          <t>Tech B</t>
        </is>
      </c>
      <c r="H2152">
        <f>INDEX(Limits!$B$2:$B$5,MATCH(E2152,Limits!$A$2:$A$5,0))</f>
        <v/>
      </c>
      <c r="I2152">
        <f>INDEX(Limits!$C$2:$C$5,MATCH(E2152,Limits!$A$2:$A$5,0))</f>
        <v/>
      </c>
      <c r="J2152">
        <f>IF(F2152&gt;=I2152,"Action",IF(F2152&gt;=H2152,"Alert","Pass"))</f>
        <v/>
      </c>
      <c r="K2152" s="4">
        <f>DATE(YEAR(B2152),MONTH(B2152),1)</f>
        <v/>
      </c>
    </row>
    <row r="2153">
      <c r="A2153" t="inlineStr">
        <is>
          <t>EM002152</t>
        </is>
      </c>
      <c r="B2153" s="7" t="n">
        <v>46184</v>
      </c>
      <c r="C2153" t="inlineStr">
        <is>
          <t>CR-102</t>
        </is>
      </c>
      <c r="D2153" t="inlineStr">
        <is>
          <t>ISO 7</t>
        </is>
      </c>
      <c r="E2153" t="inlineStr">
        <is>
          <t>Active air</t>
        </is>
      </c>
      <c r="F2153" t="n">
        <v>0</v>
      </c>
      <c r="G2153" t="inlineStr">
        <is>
          <t>Tech C</t>
        </is>
      </c>
      <c r="H2153">
        <f>INDEX(Limits!$B$2:$B$5,MATCH(E2153,Limits!$A$2:$A$5,0))</f>
        <v/>
      </c>
      <c r="I2153">
        <f>INDEX(Limits!$C$2:$C$5,MATCH(E2153,Limits!$A$2:$A$5,0))</f>
        <v/>
      </c>
      <c r="J2153">
        <f>IF(F2153&gt;=I2153,"Action",IF(F2153&gt;=H2153,"Alert","Pass"))</f>
        <v/>
      </c>
      <c r="K2153" s="4">
        <f>DATE(YEAR(B2153),MONTH(B2153),1)</f>
        <v/>
      </c>
    </row>
    <row r="2154">
      <c r="A2154" t="inlineStr">
        <is>
          <t>EM002153</t>
        </is>
      </c>
      <c r="B2154" s="7" t="n">
        <v>46184</v>
      </c>
      <c r="C2154" t="inlineStr">
        <is>
          <t>CR-102</t>
        </is>
      </c>
      <c r="D2154" t="inlineStr">
        <is>
          <t>ISO 7</t>
        </is>
      </c>
      <c r="E2154" t="inlineStr">
        <is>
          <t>Surface contact</t>
        </is>
      </c>
      <c r="F2154" t="n">
        <v>2</v>
      </c>
      <c r="G2154" t="inlineStr">
        <is>
          <t>Tech B</t>
        </is>
      </c>
      <c r="H2154">
        <f>INDEX(Limits!$B$2:$B$5,MATCH(E2154,Limits!$A$2:$A$5,0))</f>
        <v/>
      </c>
      <c r="I2154">
        <f>INDEX(Limits!$C$2:$C$5,MATCH(E2154,Limits!$A$2:$A$5,0))</f>
        <v/>
      </c>
      <c r="J2154">
        <f>IF(F2154&gt;=I2154,"Action",IF(F2154&gt;=H2154,"Alert","Pass"))</f>
        <v/>
      </c>
      <c r="K2154" s="4">
        <f>DATE(YEAR(B2154),MONTH(B2154),1)</f>
        <v/>
      </c>
    </row>
    <row r="2155">
      <c r="A2155" t="inlineStr">
        <is>
          <t>EM002154</t>
        </is>
      </c>
      <c r="B2155" s="7" t="n">
        <v>46184</v>
      </c>
      <c r="C2155" t="inlineStr">
        <is>
          <t>CR-102</t>
        </is>
      </c>
      <c r="D2155" t="inlineStr">
        <is>
          <t>ISO 7</t>
        </is>
      </c>
      <c r="E2155" t="inlineStr">
        <is>
          <t>Compressed air</t>
        </is>
      </c>
      <c r="F2155" t="n">
        <v>0</v>
      </c>
      <c r="G2155" t="inlineStr">
        <is>
          <t>Tech B</t>
        </is>
      </c>
      <c r="H2155">
        <f>INDEX(Limits!$B$2:$B$5,MATCH(E2155,Limits!$A$2:$A$5,0))</f>
        <v/>
      </c>
      <c r="I2155">
        <f>INDEX(Limits!$C$2:$C$5,MATCH(E2155,Limits!$A$2:$A$5,0))</f>
        <v/>
      </c>
      <c r="J2155">
        <f>IF(F2155&gt;=I2155,"Action",IF(F2155&gt;=H2155,"Alert","Pass"))</f>
        <v/>
      </c>
      <c r="K2155" s="4">
        <f>DATE(YEAR(B2155),MONTH(B2155),1)</f>
        <v/>
      </c>
    </row>
    <row r="2156">
      <c r="A2156" t="inlineStr">
        <is>
          <t>EM002155</t>
        </is>
      </c>
      <c r="B2156" s="7" t="n">
        <v>46184</v>
      </c>
      <c r="C2156" t="inlineStr">
        <is>
          <t>CR-102</t>
        </is>
      </c>
      <c r="D2156" t="inlineStr">
        <is>
          <t>ISO 7</t>
        </is>
      </c>
      <c r="E2156" t="inlineStr">
        <is>
          <t>Personnel glove</t>
        </is>
      </c>
      <c r="F2156" t="n">
        <v>0</v>
      </c>
      <c r="G2156" t="inlineStr">
        <is>
          <t>Tech D</t>
        </is>
      </c>
      <c r="H2156">
        <f>INDEX(Limits!$B$2:$B$5,MATCH(E2156,Limits!$A$2:$A$5,0))</f>
        <v/>
      </c>
      <c r="I2156">
        <f>INDEX(Limits!$C$2:$C$5,MATCH(E2156,Limits!$A$2:$A$5,0))</f>
        <v/>
      </c>
      <c r="J2156">
        <f>IF(F2156&gt;=I2156,"Action",IF(F2156&gt;=H2156,"Alert","Pass"))</f>
        <v/>
      </c>
      <c r="K2156" s="4">
        <f>DATE(YEAR(B2156),MONTH(B2156),1)</f>
        <v/>
      </c>
    </row>
    <row r="2157">
      <c r="A2157" t="inlineStr">
        <is>
          <t>EM002156</t>
        </is>
      </c>
      <c r="B2157" s="7" t="n">
        <v>46184</v>
      </c>
      <c r="C2157" t="inlineStr">
        <is>
          <t>CR-201</t>
        </is>
      </c>
      <c r="D2157" t="inlineStr">
        <is>
          <t>ISO 8</t>
        </is>
      </c>
      <c r="E2157" t="inlineStr">
        <is>
          <t>Active air</t>
        </is>
      </c>
      <c r="F2157" t="n">
        <v>1</v>
      </c>
      <c r="G2157" t="inlineStr">
        <is>
          <t>Tech D</t>
        </is>
      </c>
      <c r="H2157">
        <f>INDEX(Limits!$B$2:$B$5,MATCH(E2157,Limits!$A$2:$A$5,0))</f>
        <v/>
      </c>
      <c r="I2157">
        <f>INDEX(Limits!$C$2:$C$5,MATCH(E2157,Limits!$A$2:$A$5,0))</f>
        <v/>
      </c>
      <c r="J2157">
        <f>IF(F2157&gt;=I2157,"Action",IF(F2157&gt;=H2157,"Alert","Pass"))</f>
        <v/>
      </c>
      <c r="K2157" s="4">
        <f>DATE(YEAR(B2157),MONTH(B2157),1)</f>
        <v/>
      </c>
    </row>
    <row r="2158">
      <c r="A2158" t="inlineStr">
        <is>
          <t>EM002157</t>
        </is>
      </c>
      <c r="B2158" s="7" t="n">
        <v>46184</v>
      </c>
      <c r="C2158" t="inlineStr">
        <is>
          <t>CR-201</t>
        </is>
      </c>
      <c r="D2158" t="inlineStr">
        <is>
          <t>ISO 8</t>
        </is>
      </c>
      <c r="E2158" t="inlineStr">
        <is>
          <t>Surface contact</t>
        </is>
      </c>
      <c r="F2158" t="n">
        <v>0</v>
      </c>
      <c r="G2158" t="inlineStr">
        <is>
          <t>Tech B</t>
        </is>
      </c>
      <c r="H2158">
        <f>INDEX(Limits!$B$2:$B$5,MATCH(E2158,Limits!$A$2:$A$5,0))</f>
        <v/>
      </c>
      <c r="I2158">
        <f>INDEX(Limits!$C$2:$C$5,MATCH(E2158,Limits!$A$2:$A$5,0))</f>
        <v/>
      </c>
      <c r="J2158">
        <f>IF(F2158&gt;=I2158,"Action",IF(F2158&gt;=H2158,"Alert","Pass"))</f>
        <v/>
      </c>
      <c r="K2158" s="4">
        <f>DATE(YEAR(B2158),MONTH(B2158),1)</f>
        <v/>
      </c>
    </row>
    <row r="2159">
      <c r="A2159" t="inlineStr">
        <is>
          <t>EM002158</t>
        </is>
      </c>
      <c r="B2159" s="7" t="n">
        <v>46184</v>
      </c>
      <c r="C2159" t="inlineStr">
        <is>
          <t>CR-201</t>
        </is>
      </c>
      <c r="D2159" t="inlineStr">
        <is>
          <t>ISO 8</t>
        </is>
      </c>
      <c r="E2159" t="inlineStr">
        <is>
          <t>Compressed air</t>
        </is>
      </c>
      <c r="F2159" t="n">
        <v>0</v>
      </c>
      <c r="G2159" t="inlineStr">
        <is>
          <t>Tech A</t>
        </is>
      </c>
      <c r="H2159">
        <f>INDEX(Limits!$B$2:$B$5,MATCH(E2159,Limits!$A$2:$A$5,0))</f>
        <v/>
      </c>
      <c r="I2159">
        <f>INDEX(Limits!$C$2:$C$5,MATCH(E2159,Limits!$A$2:$A$5,0))</f>
        <v/>
      </c>
      <c r="J2159">
        <f>IF(F2159&gt;=I2159,"Action",IF(F2159&gt;=H2159,"Alert","Pass"))</f>
        <v/>
      </c>
      <c r="K2159" s="4">
        <f>DATE(YEAR(B2159),MONTH(B2159),1)</f>
        <v/>
      </c>
    </row>
    <row r="2160">
      <c r="A2160" t="inlineStr">
        <is>
          <t>EM002159</t>
        </is>
      </c>
      <c r="B2160" s="7" t="n">
        <v>46184</v>
      </c>
      <c r="C2160" t="inlineStr">
        <is>
          <t>CR-201</t>
        </is>
      </c>
      <c r="D2160" t="inlineStr">
        <is>
          <t>ISO 8</t>
        </is>
      </c>
      <c r="E2160" t="inlineStr">
        <is>
          <t>Personnel glove</t>
        </is>
      </c>
      <c r="F2160" t="n">
        <v>0</v>
      </c>
      <c r="G2160" t="inlineStr">
        <is>
          <t>Tech B</t>
        </is>
      </c>
      <c r="H2160">
        <f>INDEX(Limits!$B$2:$B$5,MATCH(E2160,Limits!$A$2:$A$5,0))</f>
        <v/>
      </c>
      <c r="I2160">
        <f>INDEX(Limits!$C$2:$C$5,MATCH(E2160,Limits!$A$2:$A$5,0))</f>
        <v/>
      </c>
      <c r="J2160">
        <f>IF(F2160&gt;=I2160,"Action",IF(F2160&gt;=H2160,"Alert","Pass"))</f>
        <v/>
      </c>
      <c r="K2160" s="4">
        <f>DATE(YEAR(B2160),MONTH(B2160),1)</f>
        <v/>
      </c>
    </row>
    <row r="2161">
      <c r="A2161" t="inlineStr">
        <is>
          <t>EM002160</t>
        </is>
      </c>
      <c r="B2161" s="7" t="n">
        <v>46184</v>
      </c>
      <c r="C2161" t="inlineStr">
        <is>
          <t>CR-202</t>
        </is>
      </c>
      <c r="D2161" t="inlineStr">
        <is>
          <t>ISO 8</t>
        </is>
      </c>
      <c r="E2161" t="inlineStr">
        <is>
          <t>Active air</t>
        </is>
      </c>
      <c r="F2161" t="n">
        <v>2</v>
      </c>
      <c r="G2161" t="inlineStr">
        <is>
          <t>Tech A</t>
        </is>
      </c>
      <c r="H2161">
        <f>INDEX(Limits!$B$2:$B$5,MATCH(E2161,Limits!$A$2:$A$5,0))</f>
        <v/>
      </c>
      <c r="I2161">
        <f>INDEX(Limits!$C$2:$C$5,MATCH(E2161,Limits!$A$2:$A$5,0))</f>
        <v/>
      </c>
      <c r="J2161">
        <f>IF(F2161&gt;=I2161,"Action",IF(F2161&gt;=H2161,"Alert","Pass"))</f>
        <v/>
      </c>
      <c r="K2161" s="4">
        <f>DATE(YEAR(B2161),MONTH(B2161),1)</f>
        <v/>
      </c>
    </row>
    <row r="2162">
      <c r="A2162" t="inlineStr">
        <is>
          <t>EM002161</t>
        </is>
      </c>
      <c r="B2162" s="7" t="n">
        <v>46184</v>
      </c>
      <c r="C2162" t="inlineStr">
        <is>
          <t>CR-202</t>
        </is>
      </c>
      <c r="D2162" t="inlineStr">
        <is>
          <t>ISO 8</t>
        </is>
      </c>
      <c r="E2162" t="inlineStr">
        <is>
          <t>Surface contact</t>
        </is>
      </c>
      <c r="F2162" t="n">
        <v>3</v>
      </c>
      <c r="G2162" t="inlineStr">
        <is>
          <t>Tech D</t>
        </is>
      </c>
      <c r="H2162">
        <f>INDEX(Limits!$B$2:$B$5,MATCH(E2162,Limits!$A$2:$A$5,0))</f>
        <v/>
      </c>
      <c r="I2162">
        <f>INDEX(Limits!$C$2:$C$5,MATCH(E2162,Limits!$A$2:$A$5,0))</f>
        <v/>
      </c>
      <c r="J2162">
        <f>IF(F2162&gt;=I2162,"Action",IF(F2162&gt;=H2162,"Alert","Pass"))</f>
        <v/>
      </c>
      <c r="K2162" s="4">
        <f>DATE(YEAR(B2162),MONTH(B2162),1)</f>
        <v/>
      </c>
    </row>
    <row r="2163">
      <c r="A2163" t="inlineStr">
        <is>
          <t>EM002162</t>
        </is>
      </c>
      <c r="B2163" s="7" t="n">
        <v>46184</v>
      </c>
      <c r="C2163" t="inlineStr">
        <is>
          <t>CR-202</t>
        </is>
      </c>
      <c r="D2163" t="inlineStr">
        <is>
          <t>ISO 8</t>
        </is>
      </c>
      <c r="E2163" t="inlineStr">
        <is>
          <t>Compressed air</t>
        </is>
      </c>
      <c r="F2163" t="n">
        <v>0</v>
      </c>
      <c r="G2163" t="inlineStr">
        <is>
          <t>Tech A</t>
        </is>
      </c>
      <c r="H2163">
        <f>INDEX(Limits!$B$2:$B$5,MATCH(E2163,Limits!$A$2:$A$5,0))</f>
        <v/>
      </c>
      <c r="I2163">
        <f>INDEX(Limits!$C$2:$C$5,MATCH(E2163,Limits!$A$2:$A$5,0))</f>
        <v/>
      </c>
      <c r="J2163">
        <f>IF(F2163&gt;=I2163,"Action",IF(F2163&gt;=H2163,"Alert","Pass"))</f>
        <v/>
      </c>
      <c r="K2163" s="4">
        <f>DATE(YEAR(B2163),MONTH(B2163),1)</f>
        <v/>
      </c>
    </row>
    <row r="2164">
      <c r="A2164" t="inlineStr">
        <is>
          <t>EM002163</t>
        </is>
      </c>
      <c r="B2164" s="7" t="n">
        <v>46184</v>
      </c>
      <c r="C2164" t="inlineStr">
        <is>
          <t>CR-202</t>
        </is>
      </c>
      <c r="D2164" t="inlineStr">
        <is>
          <t>ISO 8</t>
        </is>
      </c>
      <c r="E2164" t="inlineStr">
        <is>
          <t>Personnel glove</t>
        </is>
      </c>
      <c r="F2164" t="n">
        <v>0</v>
      </c>
      <c r="G2164" t="inlineStr">
        <is>
          <t>Tech C</t>
        </is>
      </c>
      <c r="H2164">
        <f>INDEX(Limits!$B$2:$B$5,MATCH(E2164,Limits!$A$2:$A$5,0))</f>
        <v/>
      </c>
      <c r="I2164">
        <f>INDEX(Limits!$C$2:$C$5,MATCH(E2164,Limits!$A$2:$A$5,0))</f>
        <v/>
      </c>
      <c r="J2164">
        <f>IF(F2164&gt;=I2164,"Action",IF(F2164&gt;=H2164,"Alert","Pass"))</f>
        <v/>
      </c>
      <c r="K2164" s="4">
        <f>DATE(YEAR(B2164),MONTH(B2164),1)</f>
        <v/>
      </c>
    </row>
    <row r="2165">
      <c r="A2165" t="inlineStr">
        <is>
          <t>EM002164</t>
        </is>
      </c>
      <c r="B2165" s="7" t="n">
        <v>46184</v>
      </c>
      <c r="C2165" t="inlineStr">
        <is>
          <t>Gowning</t>
        </is>
      </c>
      <c r="D2165" t="inlineStr">
        <is>
          <t>ISO 8</t>
        </is>
      </c>
      <c r="E2165" t="inlineStr">
        <is>
          <t>Active air</t>
        </is>
      </c>
      <c r="F2165" t="n">
        <v>1</v>
      </c>
      <c r="G2165" t="inlineStr">
        <is>
          <t>Tech D</t>
        </is>
      </c>
      <c r="H2165">
        <f>INDEX(Limits!$B$2:$B$5,MATCH(E2165,Limits!$A$2:$A$5,0))</f>
        <v/>
      </c>
      <c r="I2165">
        <f>INDEX(Limits!$C$2:$C$5,MATCH(E2165,Limits!$A$2:$A$5,0))</f>
        <v/>
      </c>
      <c r="J2165">
        <f>IF(F2165&gt;=I2165,"Action",IF(F2165&gt;=H2165,"Alert","Pass"))</f>
        <v/>
      </c>
      <c r="K2165" s="4">
        <f>DATE(YEAR(B2165),MONTH(B2165),1)</f>
        <v/>
      </c>
    </row>
    <row r="2166">
      <c r="A2166" t="inlineStr">
        <is>
          <t>EM002165</t>
        </is>
      </c>
      <c r="B2166" s="7" t="n">
        <v>46184</v>
      </c>
      <c r="C2166" t="inlineStr">
        <is>
          <t>Gowning</t>
        </is>
      </c>
      <c r="D2166" t="inlineStr">
        <is>
          <t>ISO 8</t>
        </is>
      </c>
      <c r="E2166" t="inlineStr">
        <is>
          <t>Surface contact</t>
        </is>
      </c>
      <c r="F2166" t="n">
        <v>0</v>
      </c>
      <c r="G2166" t="inlineStr">
        <is>
          <t>Tech D</t>
        </is>
      </c>
      <c r="H2166">
        <f>INDEX(Limits!$B$2:$B$5,MATCH(E2166,Limits!$A$2:$A$5,0))</f>
        <v/>
      </c>
      <c r="I2166">
        <f>INDEX(Limits!$C$2:$C$5,MATCH(E2166,Limits!$A$2:$A$5,0))</f>
        <v/>
      </c>
      <c r="J2166">
        <f>IF(F2166&gt;=I2166,"Action",IF(F2166&gt;=H2166,"Alert","Pass"))</f>
        <v/>
      </c>
      <c r="K2166" s="4">
        <f>DATE(YEAR(B2166),MONTH(B2166),1)</f>
        <v/>
      </c>
    </row>
    <row r="2167">
      <c r="A2167" t="inlineStr">
        <is>
          <t>EM002166</t>
        </is>
      </c>
      <c r="B2167" s="7" t="n">
        <v>46184</v>
      </c>
      <c r="C2167" t="inlineStr">
        <is>
          <t>Gowning</t>
        </is>
      </c>
      <c r="D2167" t="inlineStr">
        <is>
          <t>ISO 8</t>
        </is>
      </c>
      <c r="E2167" t="inlineStr">
        <is>
          <t>Personnel glove</t>
        </is>
      </c>
      <c r="F2167" t="n">
        <v>0</v>
      </c>
      <c r="G2167" t="inlineStr">
        <is>
          <t>Tech D</t>
        </is>
      </c>
      <c r="H2167">
        <f>INDEX(Limits!$B$2:$B$5,MATCH(E2167,Limits!$A$2:$A$5,0))</f>
        <v/>
      </c>
      <c r="I2167">
        <f>INDEX(Limits!$C$2:$C$5,MATCH(E2167,Limits!$A$2:$A$5,0))</f>
        <v/>
      </c>
      <c r="J2167">
        <f>IF(F2167&gt;=I2167,"Action",IF(F2167&gt;=H2167,"Alert","Pass"))</f>
        <v/>
      </c>
      <c r="K2167" s="4">
        <f>DATE(YEAR(B2167),MONTH(B2167),1)</f>
        <v/>
      </c>
    </row>
    <row r="2168">
      <c r="A2168" t="inlineStr">
        <is>
          <t>EM002167</t>
        </is>
      </c>
      <c r="B2168" s="7" t="n">
        <v>46185</v>
      </c>
      <c r="C2168" t="inlineStr">
        <is>
          <t>CR-101</t>
        </is>
      </c>
      <c r="D2168" t="inlineStr">
        <is>
          <t>ISO 7</t>
        </is>
      </c>
      <c r="E2168" t="inlineStr">
        <is>
          <t>Active air</t>
        </is>
      </c>
      <c r="F2168" t="n">
        <v>1</v>
      </c>
      <c r="G2168" t="inlineStr">
        <is>
          <t>Tech D</t>
        </is>
      </c>
      <c r="H2168">
        <f>INDEX(Limits!$B$2:$B$5,MATCH(E2168,Limits!$A$2:$A$5,0))</f>
        <v/>
      </c>
      <c r="I2168">
        <f>INDEX(Limits!$C$2:$C$5,MATCH(E2168,Limits!$A$2:$A$5,0))</f>
        <v/>
      </c>
      <c r="J2168">
        <f>IF(F2168&gt;=I2168,"Action",IF(F2168&gt;=H2168,"Alert","Pass"))</f>
        <v/>
      </c>
      <c r="K2168" s="4">
        <f>DATE(YEAR(B2168),MONTH(B2168),1)</f>
        <v/>
      </c>
    </row>
    <row r="2169">
      <c r="A2169" t="inlineStr">
        <is>
          <t>EM002168</t>
        </is>
      </c>
      <c r="B2169" s="7" t="n">
        <v>46185</v>
      </c>
      <c r="C2169" t="inlineStr">
        <is>
          <t>CR-101</t>
        </is>
      </c>
      <c r="D2169" t="inlineStr">
        <is>
          <t>ISO 7</t>
        </is>
      </c>
      <c r="E2169" t="inlineStr">
        <is>
          <t>Surface contact</t>
        </is>
      </c>
      <c r="F2169" t="n">
        <v>0</v>
      </c>
      <c r="G2169" t="inlineStr">
        <is>
          <t>Tech B</t>
        </is>
      </c>
      <c r="H2169">
        <f>INDEX(Limits!$B$2:$B$5,MATCH(E2169,Limits!$A$2:$A$5,0))</f>
        <v/>
      </c>
      <c r="I2169">
        <f>INDEX(Limits!$C$2:$C$5,MATCH(E2169,Limits!$A$2:$A$5,0))</f>
        <v/>
      </c>
      <c r="J2169">
        <f>IF(F2169&gt;=I2169,"Action",IF(F2169&gt;=H2169,"Alert","Pass"))</f>
        <v/>
      </c>
      <c r="K2169" s="4">
        <f>DATE(YEAR(B2169),MONTH(B2169),1)</f>
        <v/>
      </c>
    </row>
    <row r="2170">
      <c r="A2170" t="inlineStr">
        <is>
          <t>EM002169</t>
        </is>
      </c>
      <c r="B2170" s="7" t="n">
        <v>46185</v>
      </c>
      <c r="C2170" t="inlineStr">
        <is>
          <t>CR-101</t>
        </is>
      </c>
      <c r="D2170" t="inlineStr">
        <is>
          <t>ISO 7</t>
        </is>
      </c>
      <c r="E2170" t="inlineStr">
        <is>
          <t>Compressed air</t>
        </is>
      </c>
      <c r="F2170" t="n">
        <v>0</v>
      </c>
      <c r="G2170" t="inlineStr">
        <is>
          <t>Tech A</t>
        </is>
      </c>
      <c r="H2170">
        <f>INDEX(Limits!$B$2:$B$5,MATCH(E2170,Limits!$A$2:$A$5,0))</f>
        <v/>
      </c>
      <c r="I2170">
        <f>INDEX(Limits!$C$2:$C$5,MATCH(E2170,Limits!$A$2:$A$5,0))</f>
        <v/>
      </c>
      <c r="J2170">
        <f>IF(F2170&gt;=I2170,"Action",IF(F2170&gt;=H2170,"Alert","Pass"))</f>
        <v/>
      </c>
      <c r="K2170" s="4">
        <f>DATE(YEAR(B2170),MONTH(B2170),1)</f>
        <v/>
      </c>
    </row>
    <row r="2171">
      <c r="A2171" t="inlineStr">
        <is>
          <t>EM002170</t>
        </is>
      </c>
      <c r="B2171" s="7" t="n">
        <v>46185</v>
      </c>
      <c r="C2171" t="inlineStr">
        <is>
          <t>CR-101</t>
        </is>
      </c>
      <c r="D2171" t="inlineStr">
        <is>
          <t>ISO 7</t>
        </is>
      </c>
      <c r="E2171" t="inlineStr">
        <is>
          <t>Personnel glove</t>
        </is>
      </c>
      <c r="F2171" t="n">
        <v>0</v>
      </c>
      <c r="G2171" t="inlineStr">
        <is>
          <t>Tech A</t>
        </is>
      </c>
      <c r="H2171">
        <f>INDEX(Limits!$B$2:$B$5,MATCH(E2171,Limits!$A$2:$A$5,0))</f>
        <v/>
      </c>
      <c r="I2171">
        <f>INDEX(Limits!$C$2:$C$5,MATCH(E2171,Limits!$A$2:$A$5,0))</f>
        <v/>
      </c>
      <c r="J2171">
        <f>IF(F2171&gt;=I2171,"Action",IF(F2171&gt;=H2171,"Alert","Pass"))</f>
        <v/>
      </c>
      <c r="K2171" s="4">
        <f>DATE(YEAR(B2171),MONTH(B2171),1)</f>
        <v/>
      </c>
    </row>
    <row r="2172">
      <c r="A2172" t="inlineStr">
        <is>
          <t>EM002171</t>
        </is>
      </c>
      <c r="B2172" s="7" t="n">
        <v>46185</v>
      </c>
      <c r="C2172" t="inlineStr">
        <is>
          <t>CR-102</t>
        </is>
      </c>
      <c r="D2172" t="inlineStr">
        <is>
          <t>ISO 7</t>
        </is>
      </c>
      <c r="E2172" t="inlineStr">
        <is>
          <t>Active air</t>
        </is>
      </c>
      <c r="F2172" t="n">
        <v>0</v>
      </c>
      <c r="G2172" t="inlineStr">
        <is>
          <t>Tech B</t>
        </is>
      </c>
      <c r="H2172">
        <f>INDEX(Limits!$B$2:$B$5,MATCH(E2172,Limits!$A$2:$A$5,0))</f>
        <v/>
      </c>
      <c r="I2172">
        <f>INDEX(Limits!$C$2:$C$5,MATCH(E2172,Limits!$A$2:$A$5,0))</f>
        <v/>
      </c>
      <c r="J2172">
        <f>IF(F2172&gt;=I2172,"Action",IF(F2172&gt;=H2172,"Alert","Pass"))</f>
        <v/>
      </c>
      <c r="K2172" s="4">
        <f>DATE(YEAR(B2172),MONTH(B2172),1)</f>
        <v/>
      </c>
    </row>
    <row r="2173">
      <c r="A2173" t="inlineStr">
        <is>
          <t>EM002172</t>
        </is>
      </c>
      <c r="B2173" s="7" t="n">
        <v>46185</v>
      </c>
      <c r="C2173" t="inlineStr">
        <is>
          <t>CR-102</t>
        </is>
      </c>
      <c r="D2173" t="inlineStr">
        <is>
          <t>ISO 7</t>
        </is>
      </c>
      <c r="E2173" t="inlineStr">
        <is>
          <t>Surface contact</t>
        </is>
      </c>
      <c r="F2173" t="n">
        <v>0</v>
      </c>
      <c r="G2173" t="inlineStr">
        <is>
          <t>Tech B</t>
        </is>
      </c>
      <c r="H2173">
        <f>INDEX(Limits!$B$2:$B$5,MATCH(E2173,Limits!$A$2:$A$5,0))</f>
        <v/>
      </c>
      <c r="I2173">
        <f>INDEX(Limits!$C$2:$C$5,MATCH(E2173,Limits!$A$2:$A$5,0))</f>
        <v/>
      </c>
      <c r="J2173">
        <f>IF(F2173&gt;=I2173,"Action",IF(F2173&gt;=H2173,"Alert","Pass"))</f>
        <v/>
      </c>
      <c r="K2173" s="4">
        <f>DATE(YEAR(B2173),MONTH(B2173),1)</f>
        <v/>
      </c>
    </row>
    <row r="2174">
      <c r="A2174" t="inlineStr">
        <is>
          <t>EM002173</t>
        </is>
      </c>
      <c r="B2174" s="7" t="n">
        <v>46185</v>
      </c>
      <c r="C2174" t="inlineStr">
        <is>
          <t>CR-102</t>
        </is>
      </c>
      <c r="D2174" t="inlineStr">
        <is>
          <t>ISO 7</t>
        </is>
      </c>
      <c r="E2174" t="inlineStr">
        <is>
          <t>Compressed air</t>
        </is>
      </c>
      <c r="F2174" t="n">
        <v>0</v>
      </c>
      <c r="G2174" t="inlineStr">
        <is>
          <t>Tech B</t>
        </is>
      </c>
      <c r="H2174">
        <f>INDEX(Limits!$B$2:$B$5,MATCH(E2174,Limits!$A$2:$A$5,0))</f>
        <v/>
      </c>
      <c r="I2174">
        <f>INDEX(Limits!$C$2:$C$5,MATCH(E2174,Limits!$A$2:$A$5,0))</f>
        <v/>
      </c>
      <c r="J2174">
        <f>IF(F2174&gt;=I2174,"Action",IF(F2174&gt;=H2174,"Alert","Pass"))</f>
        <v/>
      </c>
      <c r="K2174" s="4">
        <f>DATE(YEAR(B2174),MONTH(B2174),1)</f>
        <v/>
      </c>
    </row>
    <row r="2175">
      <c r="A2175" t="inlineStr">
        <is>
          <t>EM002174</t>
        </is>
      </c>
      <c r="B2175" s="7" t="n">
        <v>46185</v>
      </c>
      <c r="C2175" t="inlineStr">
        <is>
          <t>CR-102</t>
        </is>
      </c>
      <c r="D2175" t="inlineStr">
        <is>
          <t>ISO 7</t>
        </is>
      </c>
      <c r="E2175" t="inlineStr">
        <is>
          <t>Personnel glove</t>
        </is>
      </c>
      <c r="F2175" t="n">
        <v>0</v>
      </c>
      <c r="G2175" t="inlineStr">
        <is>
          <t>Tech B</t>
        </is>
      </c>
      <c r="H2175">
        <f>INDEX(Limits!$B$2:$B$5,MATCH(E2175,Limits!$A$2:$A$5,0))</f>
        <v/>
      </c>
      <c r="I2175">
        <f>INDEX(Limits!$C$2:$C$5,MATCH(E2175,Limits!$A$2:$A$5,0))</f>
        <v/>
      </c>
      <c r="J2175">
        <f>IF(F2175&gt;=I2175,"Action",IF(F2175&gt;=H2175,"Alert","Pass"))</f>
        <v/>
      </c>
      <c r="K2175" s="4">
        <f>DATE(YEAR(B2175),MONTH(B2175),1)</f>
        <v/>
      </c>
    </row>
    <row r="2176">
      <c r="A2176" t="inlineStr">
        <is>
          <t>EM002175</t>
        </is>
      </c>
      <c r="B2176" s="7" t="n">
        <v>46185</v>
      </c>
      <c r="C2176" t="inlineStr">
        <is>
          <t>CR-201</t>
        </is>
      </c>
      <c r="D2176" t="inlineStr">
        <is>
          <t>ISO 8</t>
        </is>
      </c>
      <c r="E2176" t="inlineStr">
        <is>
          <t>Active air</t>
        </is>
      </c>
      <c r="F2176" t="n">
        <v>1</v>
      </c>
      <c r="G2176" t="inlineStr">
        <is>
          <t>Tech D</t>
        </is>
      </c>
      <c r="H2176">
        <f>INDEX(Limits!$B$2:$B$5,MATCH(E2176,Limits!$A$2:$A$5,0))</f>
        <v/>
      </c>
      <c r="I2176">
        <f>INDEX(Limits!$C$2:$C$5,MATCH(E2176,Limits!$A$2:$A$5,0))</f>
        <v/>
      </c>
      <c r="J2176">
        <f>IF(F2176&gt;=I2176,"Action",IF(F2176&gt;=H2176,"Alert","Pass"))</f>
        <v/>
      </c>
      <c r="K2176" s="4">
        <f>DATE(YEAR(B2176),MONTH(B2176),1)</f>
        <v/>
      </c>
    </row>
    <row r="2177">
      <c r="A2177" t="inlineStr">
        <is>
          <t>EM002176</t>
        </is>
      </c>
      <c r="B2177" s="7" t="n">
        <v>46185</v>
      </c>
      <c r="C2177" t="inlineStr">
        <is>
          <t>CR-201</t>
        </is>
      </c>
      <c r="D2177" t="inlineStr">
        <is>
          <t>ISO 8</t>
        </is>
      </c>
      <c r="E2177" t="inlineStr">
        <is>
          <t>Surface contact</t>
        </is>
      </c>
      <c r="F2177" t="n">
        <v>0</v>
      </c>
      <c r="G2177" t="inlineStr">
        <is>
          <t>Tech D</t>
        </is>
      </c>
      <c r="H2177">
        <f>INDEX(Limits!$B$2:$B$5,MATCH(E2177,Limits!$A$2:$A$5,0))</f>
        <v/>
      </c>
      <c r="I2177">
        <f>INDEX(Limits!$C$2:$C$5,MATCH(E2177,Limits!$A$2:$A$5,0))</f>
        <v/>
      </c>
      <c r="J2177">
        <f>IF(F2177&gt;=I2177,"Action",IF(F2177&gt;=H2177,"Alert","Pass"))</f>
        <v/>
      </c>
      <c r="K2177" s="4">
        <f>DATE(YEAR(B2177),MONTH(B2177),1)</f>
        <v/>
      </c>
    </row>
    <row r="2178">
      <c r="A2178" t="inlineStr">
        <is>
          <t>EM002177</t>
        </is>
      </c>
      <c r="B2178" s="7" t="n">
        <v>46185</v>
      </c>
      <c r="C2178" t="inlineStr">
        <is>
          <t>CR-201</t>
        </is>
      </c>
      <c r="D2178" t="inlineStr">
        <is>
          <t>ISO 8</t>
        </is>
      </c>
      <c r="E2178" t="inlineStr">
        <is>
          <t>Compressed air</t>
        </is>
      </c>
      <c r="F2178" t="n">
        <v>0</v>
      </c>
      <c r="G2178" t="inlineStr">
        <is>
          <t>Tech B</t>
        </is>
      </c>
      <c r="H2178">
        <f>INDEX(Limits!$B$2:$B$5,MATCH(E2178,Limits!$A$2:$A$5,0))</f>
        <v/>
      </c>
      <c r="I2178">
        <f>INDEX(Limits!$C$2:$C$5,MATCH(E2178,Limits!$A$2:$A$5,0))</f>
        <v/>
      </c>
      <c r="J2178">
        <f>IF(F2178&gt;=I2178,"Action",IF(F2178&gt;=H2178,"Alert","Pass"))</f>
        <v/>
      </c>
      <c r="K2178" s="4">
        <f>DATE(YEAR(B2178),MONTH(B2178),1)</f>
        <v/>
      </c>
    </row>
    <row r="2179">
      <c r="A2179" t="inlineStr">
        <is>
          <t>EM002178</t>
        </is>
      </c>
      <c r="B2179" s="7" t="n">
        <v>46185</v>
      </c>
      <c r="C2179" t="inlineStr">
        <is>
          <t>CR-201</t>
        </is>
      </c>
      <c r="D2179" t="inlineStr">
        <is>
          <t>ISO 8</t>
        </is>
      </c>
      <c r="E2179" t="inlineStr">
        <is>
          <t>Personnel glove</t>
        </is>
      </c>
      <c r="F2179" t="n">
        <v>0</v>
      </c>
      <c r="G2179" t="inlineStr">
        <is>
          <t>Tech A</t>
        </is>
      </c>
      <c r="H2179">
        <f>INDEX(Limits!$B$2:$B$5,MATCH(E2179,Limits!$A$2:$A$5,0))</f>
        <v/>
      </c>
      <c r="I2179">
        <f>INDEX(Limits!$C$2:$C$5,MATCH(E2179,Limits!$A$2:$A$5,0))</f>
        <v/>
      </c>
      <c r="J2179">
        <f>IF(F2179&gt;=I2179,"Action",IF(F2179&gt;=H2179,"Alert","Pass"))</f>
        <v/>
      </c>
      <c r="K2179" s="4">
        <f>DATE(YEAR(B2179),MONTH(B2179),1)</f>
        <v/>
      </c>
    </row>
    <row r="2180">
      <c r="A2180" t="inlineStr">
        <is>
          <t>EM002179</t>
        </is>
      </c>
      <c r="B2180" s="7" t="n">
        <v>46185</v>
      </c>
      <c r="C2180" t="inlineStr">
        <is>
          <t>CR-202</t>
        </is>
      </c>
      <c r="D2180" t="inlineStr">
        <is>
          <t>ISO 8</t>
        </is>
      </c>
      <c r="E2180" t="inlineStr">
        <is>
          <t>Active air</t>
        </is>
      </c>
      <c r="F2180" t="n">
        <v>2</v>
      </c>
      <c r="G2180" t="inlineStr">
        <is>
          <t>Tech C</t>
        </is>
      </c>
      <c r="H2180">
        <f>INDEX(Limits!$B$2:$B$5,MATCH(E2180,Limits!$A$2:$A$5,0))</f>
        <v/>
      </c>
      <c r="I2180">
        <f>INDEX(Limits!$C$2:$C$5,MATCH(E2180,Limits!$A$2:$A$5,0))</f>
        <v/>
      </c>
      <c r="J2180">
        <f>IF(F2180&gt;=I2180,"Action",IF(F2180&gt;=H2180,"Alert","Pass"))</f>
        <v/>
      </c>
      <c r="K2180" s="4">
        <f>DATE(YEAR(B2180),MONTH(B2180),1)</f>
        <v/>
      </c>
    </row>
    <row r="2181">
      <c r="A2181" t="inlineStr">
        <is>
          <t>EM002180</t>
        </is>
      </c>
      <c r="B2181" s="7" t="n">
        <v>46185</v>
      </c>
      <c r="C2181" t="inlineStr">
        <is>
          <t>CR-202</t>
        </is>
      </c>
      <c r="D2181" t="inlineStr">
        <is>
          <t>ISO 8</t>
        </is>
      </c>
      <c r="E2181" t="inlineStr">
        <is>
          <t>Surface contact</t>
        </is>
      </c>
      <c r="F2181" t="n">
        <v>0</v>
      </c>
      <c r="G2181" t="inlineStr">
        <is>
          <t>Tech D</t>
        </is>
      </c>
      <c r="H2181">
        <f>INDEX(Limits!$B$2:$B$5,MATCH(E2181,Limits!$A$2:$A$5,0))</f>
        <v/>
      </c>
      <c r="I2181">
        <f>INDEX(Limits!$C$2:$C$5,MATCH(E2181,Limits!$A$2:$A$5,0))</f>
        <v/>
      </c>
      <c r="J2181">
        <f>IF(F2181&gt;=I2181,"Action",IF(F2181&gt;=H2181,"Alert","Pass"))</f>
        <v/>
      </c>
      <c r="K2181" s="4">
        <f>DATE(YEAR(B2181),MONTH(B2181),1)</f>
        <v/>
      </c>
    </row>
    <row r="2182">
      <c r="A2182" t="inlineStr">
        <is>
          <t>EM002181</t>
        </is>
      </c>
      <c r="B2182" s="7" t="n">
        <v>46185</v>
      </c>
      <c r="C2182" t="inlineStr">
        <is>
          <t>CR-202</t>
        </is>
      </c>
      <c r="D2182" t="inlineStr">
        <is>
          <t>ISO 8</t>
        </is>
      </c>
      <c r="E2182" t="inlineStr">
        <is>
          <t>Compressed air</t>
        </is>
      </c>
      <c r="F2182" t="n">
        <v>0</v>
      </c>
      <c r="G2182" t="inlineStr">
        <is>
          <t>Tech A</t>
        </is>
      </c>
      <c r="H2182">
        <f>INDEX(Limits!$B$2:$B$5,MATCH(E2182,Limits!$A$2:$A$5,0))</f>
        <v/>
      </c>
      <c r="I2182">
        <f>INDEX(Limits!$C$2:$C$5,MATCH(E2182,Limits!$A$2:$A$5,0))</f>
        <v/>
      </c>
      <c r="J2182">
        <f>IF(F2182&gt;=I2182,"Action",IF(F2182&gt;=H2182,"Alert","Pass"))</f>
        <v/>
      </c>
      <c r="K2182" s="4">
        <f>DATE(YEAR(B2182),MONTH(B2182),1)</f>
        <v/>
      </c>
    </row>
    <row r="2183">
      <c r="A2183" t="inlineStr">
        <is>
          <t>EM002182</t>
        </is>
      </c>
      <c r="B2183" s="7" t="n">
        <v>46185</v>
      </c>
      <c r="C2183" t="inlineStr">
        <is>
          <t>CR-202</t>
        </is>
      </c>
      <c r="D2183" t="inlineStr">
        <is>
          <t>ISO 8</t>
        </is>
      </c>
      <c r="E2183" t="inlineStr">
        <is>
          <t>Personnel glove</t>
        </is>
      </c>
      <c r="F2183" t="n">
        <v>0</v>
      </c>
      <c r="G2183" t="inlineStr">
        <is>
          <t>Tech A</t>
        </is>
      </c>
      <c r="H2183">
        <f>INDEX(Limits!$B$2:$B$5,MATCH(E2183,Limits!$A$2:$A$5,0))</f>
        <v/>
      </c>
      <c r="I2183">
        <f>INDEX(Limits!$C$2:$C$5,MATCH(E2183,Limits!$A$2:$A$5,0))</f>
        <v/>
      </c>
      <c r="J2183">
        <f>IF(F2183&gt;=I2183,"Action",IF(F2183&gt;=H2183,"Alert","Pass"))</f>
        <v/>
      </c>
      <c r="K2183" s="4">
        <f>DATE(YEAR(B2183),MONTH(B2183),1)</f>
        <v/>
      </c>
    </row>
    <row r="2184">
      <c r="A2184" t="inlineStr">
        <is>
          <t>EM002183</t>
        </is>
      </c>
      <c r="B2184" s="7" t="n">
        <v>46185</v>
      </c>
      <c r="C2184" t="inlineStr">
        <is>
          <t>Gowning</t>
        </is>
      </c>
      <c r="D2184" t="inlineStr">
        <is>
          <t>ISO 8</t>
        </is>
      </c>
      <c r="E2184" t="inlineStr">
        <is>
          <t>Active air</t>
        </is>
      </c>
      <c r="F2184" t="n">
        <v>2</v>
      </c>
      <c r="G2184" t="inlineStr">
        <is>
          <t>Tech C</t>
        </is>
      </c>
      <c r="H2184">
        <f>INDEX(Limits!$B$2:$B$5,MATCH(E2184,Limits!$A$2:$A$5,0))</f>
        <v/>
      </c>
      <c r="I2184">
        <f>INDEX(Limits!$C$2:$C$5,MATCH(E2184,Limits!$A$2:$A$5,0))</f>
        <v/>
      </c>
      <c r="J2184">
        <f>IF(F2184&gt;=I2184,"Action",IF(F2184&gt;=H2184,"Alert","Pass"))</f>
        <v/>
      </c>
      <c r="K2184" s="4">
        <f>DATE(YEAR(B2184),MONTH(B2184),1)</f>
        <v/>
      </c>
    </row>
    <row r="2185">
      <c r="A2185" t="inlineStr">
        <is>
          <t>EM002184</t>
        </is>
      </c>
      <c r="B2185" s="7" t="n">
        <v>46185</v>
      </c>
      <c r="C2185" t="inlineStr">
        <is>
          <t>Gowning</t>
        </is>
      </c>
      <c r="D2185" t="inlineStr">
        <is>
          <t>ISO 8</t>
        </is>
      </c>
      <c r="E2185" t="inlineStr">
        <is>
          <t>Surface contact</t>
        </is>
      </c>
      <c r="F2185" t="n">
        <v>1</v>
      </c>
      <c r="G2185" t="inlineStr">
        <is>
          <t>Tech B</t>
        </is>
      </c>
      <c r="H2185">
        <f>INDEX(Limits!$B$2:$B$5,MATCH(E2185,Limits!$A$2:$A$5,0))</f>
        <v/>
      </c>
      <c r="I2185">
        <f>INDEX(Limits!$C$2:$C$5,MATCH(E2185,Limits!$A$2:$A$5,0))</f>
        <v/>
      </c>
      <c r="J2185">
        <f>IF(F2185&gt;=I2185,"Action",IF(F2185&gt;=H2185,"Alert","Pass"))</f>
        <v/>
      </c>
      <c r="K2185" s="4">
        <f>DATE(YEAR(B2185),MONTH(B2185),1)</f>
        <v/>
      </c>
    </row>
    <row r="2186">
      <c r="A2186" t="inlineStr">
        <is>
          <t>EM002185</t>
        </is>
      </c>
      <c r="B2186" s="7" t="n">
        <v>46185</v>
      </c>
      <c r="C2186" t="inlineStr">
        <is>
          <t>Gowning</t>
        </is>
      </c>
      <c r="D2186" t="inlineStr">
        <is>
          <t>ISO 8</t>
        </is>
      </c>
      <c r="E2186" t="inlineStr">
        <is>
          <t>Personnel glove</t>
        </is>
      </c>
      <c r="F2186" t="n">
        <v>0</v>
      </c>
      <c r="G2186" t="inlineStr">
        <is>
          <t>Tech C</t>
        </is>
      </c>
      <c r="H2186">
        <f>INDEX(Limits!$B$2:$B$5,MATCH(E2186,Limits!$A$2:$A$5,0))</f>
        <v/>
      </c>
      <c r="I2186">
        <f>INDEX(Limits!$C$2:$C$5,MATCH(E2186,Limits!$A$2:$A$5,0))</f>
        <v/>
      </c>
      <c r="J2186">
        <f>IF(F2186&gt;=I2186,"Action",IF(F2186&gt;=H2186,"Alert","Pass"))</f>
        <v/>
      </c>
      <c r="K2186" s="4">
        <f>DATE(YEAR(B2186),MONTH(B2186),1)</f>
        <v/>
      </c>
    </row>
    <row r="2187">
      <c r="A2187" t="inlineStr">
        <is>
          <t>EM002186</t>
        </is>
      </c>
      <c r="B2187" s="7" t="n">
        <v>46188</v>
      </c>
      <c r="C2187" t="inlineStr">
        <is>
          <t>CR-101</t>
        </is>
      </c>
      <c r="D2187" t="inlineStr">
        <is>
          <t>ISO 7</t>
        </is>
      </c>
      <c r="E2187" t="inlineStr">
        <is>
          <t>Active air</t>
        </is>
      </c>
      <c r="F2187" t="n">
        <v>1</v>
      </c>
      <c r="G2187" t="inlineStr">
        <is>
          <t>Tech D</t>
        </is>
      </c>
      <c r="H2187">
        <f>INDEX(Limits!$B$2:$B$5,MATCH(E2187,Limits!$A$2:$A$5,0))</f>
        <v/>
      </c>
      <c r="I2187">
        <f>INDEX(Limits!$C$2:$C$5,MATCH(E2187,Limits!$A$2:$A$5,0))</f>
        <v/>
      </c>
      <c r="J2187">
        <f>IF(F2187&gt;=I2187,"Action",IF(F2187&gt;=H2187,"Alert","Pass"))</f>
        <v/>
      </c>
      <c r="K2187" s="4">
        <f>DATE(YEAR(B2187),MONTH(B2187),1)</f>
        <v/>
      </c>
    </row>
    <row r="2188">
      <c r="A2188" t="inlineStr">
        <is>
          <t>EM002187</t>
        </is>
      </c>
      <c r="B2188" s="7" t="n">
        <v>46188</v>
      </c>
      <c r="C2188" t="inlineStr">
        <is>
          <t>CR-101</t>
        </is>
      </c>
      <c r="D2188" t="inlineStr">
        <is>
          <t>ISO 7</t>
        </is>
      </c>
      <c r="E2188" t="inlineStr">
        <is>
          <t>Surface contact</t>
        </is>
      </c>
      <c r="F2188" t="n">
        <v>0</v>
      </c>
      <c r="G2188" t="inlineStr">
        <is>
          <t>Tech C</t>
        </is>
      </c>
      <c r="H2188">
        <f>INDEX(Limits!$B$2:$B$5,MATCH(E2188,Limits!$A$2:$A$5,0))</f>
        <v/>
      </c>
      <c r="I2188">
        <f>INDEX(Limits!$C$2:$C$5,MATCH(E2188,Limits!$A$2:$A$5,0))</f>
        <v/>
      </c>
      <c r="J2188">
        <f>IF(F2188&gt;=I2188,"Action",IF(F2188&gt;=H2188,"Alert","Pass"))</f>
        <v/>
      </c>
      <c r="K2188" s="4">
        <f>DATE(YEAR(B2188),MONTH(B2188),1)</f>
        <v/>
      </c>
    </row>
    <row r="2189">
      <c r="A2189" t="inlineStr">
        <is>
          <t>EM002188</t>
        </is>
      </c>
      <c r="B2189" s="7" t="n">
        <v>46188</v>
      </c>
      <c r="C2189" t="inlineStr">
        <is>
          <t>CR-101</t>
        </is>
      </c>
      <c r="D2189" t="inlineStr">
        <is>
          <t>ISO 7</t>
        </is>
      </c>
      <c r="E2189" t="inlineStr">
        <is>
          <t>Compressed air</t>
        </is>
      </c>
      <c r="F2189" t="n">
        <v>0</v>
      </c>
      <c r="G2189" t="inlineStr">
        <is>
          <t>Tech D</t>
        </is>
      </c>
      <c r="H2189">
        <f>INDEX(Limits!$B$2:$B$5,MATCH(E2189,Limits!$A$2:$A$5,0))</f>
        <v/>
      </c>
      <c r="I2189">
        <f>INDEX(Limits!$C$2:$C$5,MATCH(E2189,Limits!$A$2:$A$5,0))</f>
        <v/>
      </c>
      <c r="J2189">
        <f>IF(F2189&gt;=I2189,"Action",IF(F2189&gt;=H2189,"Alert","Pass"))</f>
        <v/>
      </c>
      <c r="K2189" s="4">
        <f>DATE(YEAR(B2189),MONTH(B2189),1)</f>
        <v/>
      </c>
    </row>
    <row r="2190">
      <c r="A2190" t="inlineStr">
        <is>
          <t>EM002189</t>
        </is>
      </c>
      <c r="B2190" s="7" t="n">
        <v>46188</v>
      </c>
      <c r="C2190" t="inlineStr">
        <is>
          <t>CR-101</t>
        </is>
      </c>
      <c r="D2190" t="inlineStr">
        <is>
          <t>ISO 7</t>
        </is>
      </c>
      <c r="E2190" t="inlineStr">
        <is>
          <t>Personnel glove</t>
        </is>
      </c>
      <c r="F2190" t="n">
        <v>0</v>
      </c>
      <c r="G2190" t="inlineStr">
        <is>
          <t>Tech B</t>
        </is>
      </c>
      <c r="H2190">
        <f>INDEX(Limits!$B$2:$B$5,MATCH(E2190,Limits!$A$2:$A$5,0))</f>
        <v/>
      </c>
      <c r="I2190">
        <f>INDEX(Limits!$C$2:$C$5,MATCH(E2190,Limits!$A$2:$A$5,0))</f>
        <v/>
      </c>
      <c r="J2190">
        <f>IF(F2190&gt;=I2190,"Action",IF(F2190&gt;=H2190,"Alert","Pass"))</f>
        <v/>
      </c>
      <c r="K2190" s="4">
        <f>DATE(YEAR(B2190),MONTH(B2190),1)</f>
        <v/>
      </c>
    </row>
    <row r="2191">
      <c r="A2191" t="inlineStr">
        <is>
          <t>EM002190</t>
        </is>
      </c>
      <c r="B2191" s="7" t="n">
        <v>46188</v>
      </c>
      <c r="C2191" t="inlineStr">
        <is>
          <t>CR-102</t>
        </is>
      </c>
      <c r="D2191" t="inlineStr">
        <is>
          <t>ISO 7</t>
        </is>
      </c>
      <c r="E2191" t="inlineStr">
        <is>
          <t>Active air</t>
        </is>
      </c>
      <c r="F2191" t="n">
        <v>0</v>
      </c>
      <c r="G2191" t="inlineStr">
        <is>
          <t>Tech D</t>
        </is>
      </c>
      <c r="H2191">
        <f>INDEX(Limits!$B$2:$B$5,MATCH(E2191,Limits!$A$2:$A$5,0))</f>
        <v/>
      </c>
      <c r="I2191">
        <f>INDEX(Limits!$C$2:$C$5,MATCH(E2191,Limits!$A$2:$A$5,0))</f>
        <v/>
      </c>
      <c r="J2191">
        <f>IF(F2191&gt;=I2191,"Action",IF(F2191&gt;=H2191,"Alert","Pass"))</f>
        <v/>
      </c>
      <c r="K2191" s="4">
        <f>DATE(YEAR(B2191),MONTH(B2191),1)</f>
        <v/>
      </c>
    </row>
    <row r="2192">
      <c r="A2192" t="inlineStr">
        <is>
          <t>EM002191</t>
        </is>
      </c>
      <c r="B2192" s="7" t="n">
        <v>46188</v>
      </c>
      <c r="C2192" t="inlineStr">
        <is>
          <t>CR-102</t>
        </is>
      </c>
      <c r="D2192" t="inlineStr">
        <is>
          <t>ISO 7</t>
        </is>
      </c>
      <c r="E2192" t="inlineStr">
        <is>
          <t>Surface contact</t>
        </is>
      </c>
      <c r="F2192" t="n">
        <v>1</v>
      </c>
      <c r="G2192" t="inlineStr">
        <is>
          <t>Tech D</t>
        </is>
      </c>
      <c r="H2192">
        <f>INDEX(Limits!$B$2:$B$5,MATCH(E2192,Limits!$A$2:$A$5,0))</f>
        <v/>
      </c>
      <c r="I2192">
        <f>INDEX(Limits!$C$2:$C$5,MATCH(E2192,Limits!$A$2:$A$5,0))</f>
        <v/>
      </c>
      <c r="J2192">
        <f>IF(F2192&gt;=I2192,"Action",IF(F2192&gt;=H2192,"Alert","Pass"))</f>
        <v/>
      </c>
      <c r="K2192" s="4">
        <f>DATE(YEAR(B2192),MONTH(B2192),1)</f>
        <v/>
      </c>
    </row>
    <row r="2193">
      <c r="A2193" t="inlineStr">
        <is>
          <t>EM002192</t>
        </is>
      </c>
      <c r="B2193" s="7" t="n">
        <v>46188</v>
      </c>
      <c r="C2193" t="inlineStr">
        <is>
          <t>CR-102</t>
        </is>
      </c>
      <c r="D2193" t="inlineStr">
        <is>
          <t>ISO 7</t>
        </is>
      </c>
      <c r="E2193" t="inlineStr">
        <is>
          <t>Compressed air</t>
        </is>
      </c>
      <c r="F2193" t="n">
        <v>0</v>
      </c>
      <c r="G2193" t="inlineStr">
        <is>
          <t>Tech B</t>
        </is>
      </c>
      <c r="H2193">
        <f>INDEX(Limits!$B$2:$B$5,MATCH(E2193,Limits!$A$2:$A$5,0))</f>
        <v/>
      </c>
      <c r="I2193">
        <f>INDEX(Limits!$C$2:$C$5,MATCH(E2193,Limits!$A$2:$A$5,0))</f>
        <v/>
      </c>
      <c r="J2193">
        <f>IF(F2193&gt;=I2193,"Action",IF(F2193&gt;=H2193,"Alert","Pass"))</f>
        <v/>
      </c>
      <c r="K2193" s="4">
        <f>DATE(YEAR(B2193),MONTH(B2193),1)</f>
        <v/>
      </c>
    </row>
    <row r="2194">
      <c r="A2194" t="inlineStr">
        <is>
          <t>EM002193</t>
        </is>
      </c>
      <c r="B2194" s="7" t="n">
        <v>46188</v>
      </c>
      <c r="C2194" t="inlineStr">
        <is>
          <t>CR-102</t>
        </is>
      </c>
      <c r="D2194" t="inlineStr">
        <is>
          <t>ISO 7</t>
        </is>
      </c>
      <c r="E2194" t="inlineStr">
        <is>
          <t>Personnel glove</t>
        </is>
      </c>
      <c r="F2194" t="n">
        <v>0</v>
      </c>
      <c r="G2194" t="inlineStr">
        <is>
          <t>Tech A</t>
        </is>
      </c>
      <c r="H2194">
        <f>INDEX(Limits!$B$2:$B$5,MATCH(E2194,Limits!$A$2:$A$5,0))</f>
        <v/>
      </c>
      <c r="I2194">
        <f>INDEX(Limits!$C$2:$C$5,MATCH(E2194,Limits!$A$2:$A$5,0))</f>
        <v/>
      </c>
      <c r="J2194">
        <f>IF(F2194&gt;=I2194,"Action",IF(F2194&gt;=H2194,"Alert","Pass"))</f>
        <v/>
      </c>
      <c r="K2194" s="4">
        <f>DATE(YEAR(B2194),MONTH(B2194),1)</f>
        <v/>
      </c>
    </row>
    <row r="2195">
      <c r="A2195" t="inlineStr">
        <is>
          <t>EM002194</t>
        </is>
      </c>
      <c r="B2195" s="7" t="n">
        <v>46188</v>
      </c>
      <c r="C2195" t="inlineStr">
        <is>
          <t>CR-201</t>
        </is>
      </c>
      <c r="D2195" t="inlineStr">
        <is>
          <t>ISO 8</t>
        </is>
      </c>
      <c r="E2195" t="inlineStr">
        <is>
          <t>Active air</t>
        </is>
      </c>
      <c r="F2195" t="n">
        <v>0</v>
      </c>
      <c r="G2195" t="inlineStr">
        <is>
          <t>Tech C</t>
        </is>
      </c>
      <c r="H2195">
        <f>INDEX(Limits!$B$2:$B$5,MATCH(E2195,Limits!$A$2:$A$5,0))</f>
        <v/>
      </c>
      <c r="I2195">
        <f>INDEX(Limits!$C$2:$C$5,MATCH(E2195,Limits!$A$2:$A$5,0))</f>
        <v/>
      </c>
      <c r="J2195">
        <f>IF(F2195&gt;=I2195,"Action",IF(F2195&gt;=H2195,"Alert","Pass"))</f>
        <v/>
      </c>
      <c r="K2195" s="4">
        <f>DATE(YEAR(B2195),MONTH(B2195),1)</f>
        <v/>
      </c>
    </row>
    <row r="2196">
      <c r="A2196" t="inlineStr">
        <is>
          <t>EM002195</t>
        </is>
      </c>
      <c r="B2196" s="7" t="n">
        <v>46188</v>
      </c>
      <c r="C2196" t="inlineStr">
        <is>
          <t>CR-201</t>
        </is>
      </c>
      <c r="D2196" t="inlineStr">
        <is>
          <t>ISO 8</t>
        </is>
      </c>
      <c r="E2196" t="inlineStr">
        <is>
          <t>Surface contact</t>
        </is>
      </c>
      <c r="F2196" t="n">
        <v>0</v>
      </c>
      <c r="G2196" t="inlineStr">
        <is>
          <t>Tech C</t>
        </is>
      </c>
      <c r="H2196">
        <f>INDEX(Limits!$B$2:$B$5,MATCH(E2196,Limits!$A$2:$A$5,0))</f>
        <v/>
      </c>
      <c r="I2196">
        <f>INDEX(Limits!$C$2:$C$5,MATCH(E2196,Limits!$A$2:$A$5,0))</f>
        <v/>
      </c>
      <c r="J2196">
        <f>IF(F2196&gt;=I2196,"Action",IF(F2196&gt;=H2196,"Alert","Pass"))</f>
        <v/>
      </c>
      <c r="K2196" s="4">
        <f>DATE(YEAR(B2196),MONTH(B2196),1)</f>
        <v/>
      </c>
    </row>
    <row r="2197">
      <c r="A2197" t="inlineStr">
        <is>
          <t>EM002196</t>
        </is>
      </c>
      <c r="B2197" s="7" t="n">
        <v>46188</v>
      </c>
      <c r="C2197" t="inlineStr">
        <is>
          <t>CR-201</t>
        </is>
      </c>
      <c r="D2197" t="inlineStr">
        <is>
          <t>ISO 8</t>
        </is>
      </c>
      <c r="E2197" t="inlineStr">
        <is>
          <t>Compressed air</t>
        </is>
      </c>
      <c r="F2197" t="n">
        <v>0</v>
      </c>
      <c r="G2197" t="inlineStr">
        <is>
          <t>Tech C</t>
        </is>
      </c>
      <c r="H2197">
        <f>INDEX(Limits!$B$2:$B$5,MATCH(E2197,Limits!$A$2:$A$5,0))</f>
        <v/>
      </c>
      <c r="I2197">
        <f>INDEX(Limits!$C$2:$C$5,MATCH(E2197,Limits!$A$2:$A$5,0))</f>
        <v/>
      </c>
      <c r="J2197">
        <f>IF(F2197&gt;=I2197,"Action",IF(F2197&gt;=H2197,"Alert","Pass"))</f>
        <v/>
      </c>
      <c r="K2197" s="4">
        <f>DATE(YEAR(B2197),MONTH(B2197),1)</f>
        <v/>
      </c>
    </row>
    <row r="2198">
      <c r="A2198" t="inlineStr">
        <is>
          <t>EM002197</t>
        </is>
      </c>
      <c r="B2198" s="7" t="n">
        <v>46188</v>
      </c>
      <c r="C2198" t="inlineStr">
        <is>
          <t>CR-201</t>
        </is>
      </c>
      <c r="D2198" t="inlineStr">
        <is>
          <t>ISO 8</t>
        </is>
      </c>
      <c r="E2198" t="inlineStr">
        <is>
          <t>Personnel glove</t>
        </is>
      </c>
      <c r="F2198" t="n">
        <v>0</v>
      </c>
      <c r="G2198" t="inlineStr">
        <is>
          <t>Tech D</t>
        </is>
      </c>
      <c r="H2198">
        <f>INDEX(Limits!$B$2:$B$5,MATCH(E2198,Limits!$A$2:$A$5,0))</f>
        <v/>
      </c>
      <c r="I2198">
        <f>INDEX(Limits!$C$2:$C$5,MATCH(E2198,Limits!$A$2:$A$5,0))</f>
        <v/>
      </c>
      <c r="J2198">
        <f>IF(F2198&gt;=I2198,"Action",IF(F2198&gt;=H2198,"Alert","Pass"))</f>
        <v/>
      </c>
      <c r="K2198" s="4">
        <f>DATE(YEAR(B2198),MONTH(B2198),1)</f>
        <v/>
      </c>
    </row>
    <row r="2199">
      <c r="A2199" t="inlineStr">
        <is>
          <t>EM002198</t>
        </is>
      </c>
      <c r="B2199" s="7" t="n">
        <v>46188</v>
      </c>
      <c r="C2199" t="inlineStr">
        <is>
          <t>CR-202</t>
        </is>
      </c>
      <c r="D2199" t="inlineStr">
        <is>
          <t>ISO 8</t>
        </is>
      </c>
      <c r="E2199" t="inlineStr">
        <is>
          <t>Active air</t>
        </is>
      </c>
      <c r="F2199" t="n">
        <v>2</v>
      </c>
      <c r="G2199" t="inlineStr">
        <is>
          <t>Tech A</t>
        </is>
      </c>
      <c r="H2199">
        <f>INDEX(Limits!$B$2:$B$5,MATCH(E2199,Limits!$A$2:$A$5,0))</f>
        <v/>
      </c>
      <c r="I2199">
        <f>INDEX(Limits!$C$2:$C$5,MATCH(E2199,Limits!$A$2:$A$5,0))</f>
        <v/>
      </c>
      <c r="J2199">
        <f>IF(F2199&gt;=I2199,"Action",IF(F2199&gt;=H2199,"Alert","Pass"))</f>
        <v/>
      </c>
      <c r="K2199" s="4">
        <f>DATE(YEAR(B2199),MONTH(B2199),1)</f>
        <v/>
      </c>
    </row>
    <row r="2200">
      <c r="A2200" t="inlineStr">
        <is>
          <t>EM002199</t>
        </is>
      </c>
      <c r="B2200" s="7" t="n">
        <v>46188</v>
      </c>
      <c r="C2200" t="inlineStr">
        <is>
          <t>CR-202</t>
        </is>
      </c>
      <c r="D2200" t="inlineStr">
        <is>
          <t>ISO 8</t>
        </is>
      </c>
      <c r="E2200" t="inlineStr">
        <is>
          <t>Surface contact</t>
        </is>
      </c>
      <c r="F2200" t="n">
        <v>0</v>
      </c>
      <c r="G2200" t="inlineStr">
        <is>
          <t>Tech A</t>
        </is>
      </c>
      <c r="H2200">
        <f>INDEX(Limits!$B$2:$B$5,MATCH(E2200,Limits!$A$2:$A$5,0))</f>
        <v/>
      </c>
      <c r="I2200">
        <f>INDEX(Limits!$C$2:$C$5,MATCH(E2200,Limits!$A$2:$A$5,0))</f>
        <v/>
      </c>
      <c r="J2200">
        <f>IF(F2200&gt;=I2200,"Action",IF(F2200&gt;=H2200,"Alert","Pass"))</f>
        <v/>
      </c>
      <c r="K2200" s="4">
        <f>DATE(YEAR(B2200),MONTH(B2200),1)</f>
        <v/>
      </c>
    </row>
    <row r="2201">
      <c r="A2201" t="inlineStr">
        <is>
          <t>EM002200</t>
        </is>
      </c>
      <c r="B2201" s="7" t="n">
        <v>46188</v>
      </c>
      <c r="C2201" t="inlineStr">
        <is>
          <t>CR-202</t>
        </is>
      </c>
      <c r="D2201" t="inlineStr">
        <is>
          <t>ISO 8</t>
        </is>
      </c>
      <c r="E2201" t="inlineStr">
        <is>
          <t>Compressed air</t>
        </is>
      </c>
      <c r="F2201" t="n">
        <v>0</v>
      </c>
      <c r="G2201" t="inlineStr">
        <is>
          <t>Tech A</t>
        </is>
      </c>
      <c r="H2201">
        <f>INDEX(Limits!$B$2:$B$5,MATCH(E2201,Limits!$A$2:$A$5,0))</f>
        <v/>
      </c>
      <c r="I2201">
        <f>INDEX(Limits!$C$2:$C$5,MATCH(E2201,Limits!$A$2:$A$5,0))</f>
        <v/>
      </c>
      <c r="J2201">
        <f>IF(F2201&gt;=I2201,"Action",IF(F2201&gt;=H2201,"Alert","Pass"))</f>
        <v/>
      </c>
      <c r="K2201" s="4">
        <f>DATE(YEAR(B2201),MONTH(B2201),1)</f>
        <v/>
      </c>
    </row>
    <row r="2202">
      <c r="A2202" t="inlineStr">
        <is>
          <t>EM002201</t>
        </is>
      </c>
      <c r="B2202" s="7" t="n">
        <v>46188</v>
      </c>
      <c r="C2202" t="inlineStr">
        <is>
          <t>CR-202</t>
        </is>
      </c>
      <c r="D2202" t="inlineStr">
        <is>
          <t>ISO 8</t>
        </is>
      </c>
      <c r="E2202" t="inlineStr">
        <is>
          <t>Personnel glove</t>
        </is>
      </c>
      <c r="F2202" t="n">
        <v>0</v>
      </c>
      <c r="G2202" t="inlineStr">
        <is>
          <t>Tech D</t>
        </is>
      </c>
      <c r="H2202">
        <f>INDEX(Limits!$B$2:$B$5,MATCH(E2202,Limits!$A$2:$A$5,0))</f>
        <v/>
      </c>
      <c r="I2202">
        <f>INDEX(Limits!$C$2:$C$5,MATCH(E2202,Limits!$A$2:$A$5,0))</f>
        <v/>
      </c>
      <c r="J2202">
        <f>IF(F2202&gt;=I2202,"Action",IF(F2202&gt;=H2202,"Alert","Pass"))</f>
        <v/>
      </c>
      <c r="K2202" s="4">
        <f>DATE(YEAR(B2202),MONTH(B2202),1)</f>
        <v/>
      </c>
    </row>
    <row r="2203">
      <c r="A2203" t="inlineStr">
        <is>
          <t>EM002202</t>
        </is>
      </c>
      <c r="B2203" s="7" t="n">
        <v>46188</v>
      </c>
      <c r="C2203" t="inlineStr">
        <is>
          <t>Gowning</t>
        </is>
      </c>
      <c r="D2203" t="inlineStr">
        <is>
          <t>ISO 8</t>
        </is>
      </c>
      <c r="E2203" t="inlineStr">
        <is>
          <t>Active air</t>
        </is>
      </c>
      <c r="F2203" t="n">
        <v>0</v>
      </c>
      <c r="G2203" t="inlineStr">
        <is>
          <t>Tech B</t>
        </is>
      </c>
      <c r="H2203">
        <f>INDEX(Limits!$B$2:$B$5,MATCH(E2203,Limits!$A$2:$A$5,0))</f>
        <v/>
      </c>
      <c r="I2203">
        <f>INDEX(Limits!$C$2:$C$5,MATCH(E2203,Limits!$A$2:$A$5,0))</f>
        <v/>
      </c>
      <c r="J2203">
        <f>IF(F2203&gt;=I2203,"Action",IF(F2203&gt;=H2203,"Alert","Pass"))</f>
        <v/>
      </c>
      <c r="K2203" s="4">
        <f>DATE(YEAR(B2203),MONTH(B2203),1)</f>
        <v/>
      </c>
    </row>
    <row r="2204">
      <c r="A2204" t="inlineStr">
        <is>
          <t>EM002203</t>
        </is>
      </c>
      <c r="B2204" s="7" t="n">
        <v>46188</v>
      </c>
      <c r="C2204" t="inlineStr">
        <is>
          <t>Gowning</t>
        </is>
      </c>
      <c r="D2204" t="inlineStr">
        <is>
          <t>ISO 8</t>
        </is>
      </c>
      <c r="E2204" t="inlineStr">
        <is>
          <t>Surface contact</t>
        </is>
      </c>
      <c r="F2204" t="n">
        <v>1</v>
      </c>
      <c r="G2204" t="inlineStr">
        <is>
          <t>Tech C</t>
        </is>
      </c>
      <c r="H2204">
        <f>INDEX(Limits!$B$2:$B$5,MATCH(E2204,Limits!$A$2:$A$5,0))</f>
        <v/>
      </c>
      <c r="I2204">
        <f>INDEX(Limits!$C$2:$C$5,MATCH(E2204,Limits!$A$2:$A$5,0))</f>
        <v/>
      </c>
      <c r="J2204">
        <f>IF(F2204&gt;=I2204,"Action",IF(F2204&gt;=H2204,"Alert","Pass"))</f>
        <v/>
      </c>
      <c r="K2204" s="4">
        <f>DATE(YEAR(B2204),MONTH(B2204),1)</f>
        <v/>
      </c>
    </row>
    <row r="2205">
      <c r="A2205" t="inlineStr">
        <is>
          <t>EM002204</t>
        </is>
      </c>
      <c r="B2205" s="7" t="n">
        <v>46188</v>
      </c>
      <c r="C2205" t="inlineStr">
        <is>
          <t>Gowning</t>
        </is>
      </c>
      <c r="D2205" t="inlineStr">
        <is>
          <t>ISO 8</t>
        </is>
      </c>
      <c r="E2205" t="inlineStr">
        <is>
          <t>Personnel glove</t>
        </is>
      </c>
      <c r="F2205" t="n">
        <v>0</v>
      </c>
      <c r="G2205" t="inlineStr">
        <is>
          <t>Tech C</t>
        </is>
      </c>
      <c r="H2205">
        <f>INDEX(Limits!$B$2:$B$5,MATCH(E2205,Limits!$A$2:$A$5,0))</f>
        <v/>
      </c>
      <c r="I2205">
        <f>INDEX(Limits!$C$2:$C$5,MATCH(E2205,Limits!$A$2:$A$5,0))</f>
        <v/>
      </c>
      <c r="J2205">
        <f>IF(F2205&gt;=I2205,"Action",IF(F2205&gt;=H2205,"Alert","Pass"))</f>
        <v/>
      </c>
      <c r="K2205" s="4">
        <f>DATE(YEAR(B2205),MONTH(B2205),1)</f>
        <v/>
      </c>
    </row>
    <row r="2206">
      <c r="A2206" t="inlineStr">
        <is>
          <t>EM002205</t>
        </is>
      </c>
      <c r="B2206" s="7" t="n">
        <v>46189</v>
      </c>
      <c r="C2206" t="inlineStr">
        <is>
          <t>CR-101</t>
        </is>
      </c>
      <c r="D2206" t="inlineStr">
        <is>
          <t>ISO 7</t>
        </is>
      </c>
      <c r="E2206" t="inlineStr">
        <is>
          <t>Active air</t>
        </is>
      </c>
      <c r="F2206" t="n">
        <v>1</v>
      </c>
      <c r="G2206" t="inlineStr">
        <is>
          <t>Tech B</t>
        </is>
      </c>
      <c r="H2206">
        <f>INDEX(Limits!$B$2:$B$5,MATCH(E2206,Limits!$A$2:$A$5,0))</f>
        <v/>
      </c>
      <c r="I2206">
        <f>INDEX(Limits!$C$2:$C$5,MATCH(E2206,Limits!$A$2:$A$5,0))</f>
        <v/>
      </c>
      <c r="J2206">
        <f>IF(F2206&gt;=I2206,"Action",IF(F2206&gt;=H2206,"Alert","Pass"))</f>
        <v/>
      </c>
      <c r="K2206" s="4">
        <f>DATE(YEAR(B2206),MONTH(B2206),1)</f>
        <v/>
      </c>
    </row>
    <row r="2207">
      <c r="A2207" t="inlineStr">
        <is>
          <t>EM002206</t>
        </is>
      </c>
      <c r="B2207" s="7" t="n">
        <v>46189</v>
      </c>
      <c r="C2207" t="inlineStr">
        <is>
          <t>CR-101</t>
        </is>
      </c>
      <c r="D2207" t="inlineStr">
        <is>
          <t>ISO 7</t>
        </is>
      </c>
      <c r="E2207" t="inlineStr">
        <is>
          <t>Surface contact</t>
        </is>
      </c>
      <c r="F2207" t="n">
        <v>0</v>
      </c>
      <c r="G2207" t="inlineStr">
        <is>
          <t>Tech C</t>
        </is>
      </c>
      <c r="H2207">
        <f>INDEX(Limits!$B$2:$B$5,MATCH(E2207,Limits!$A$2:$A$5,0))</f>
        <v/>
      </c>
      <c r="I2207">
        <f>INDEX(Limits!$C$2:$C$5,MATCH(E2207,Limits!$A$2:$A$5,0))</f>
        <v/>
      </c>
      <c r="J2207">
        <f>IF(F2207&gt;=I2207,"Action",IF(F2207&gt;=H2207,"Alert","Pass"))</f>
        <v/>
      </c>
      <c r="K2207" s="4">
        <f>DATE(YEAR(B2207),MONTH(B2207),1)</f>
        <v/>
      </c>
    </row>
    <row r="2208">
      <c r="A2208" t="inlineStr">
        <is>
          <t>EM002207</t>
        </is>
      </c>
      <c r="B2208" s="7" t="n">
        <v>46189</v>
      </c>
      <c r="C2208" t="inlineStr">
        <is>
          <t>CR-101</t>
        </is>
      </c>
      <c r="D2208" t="inlineStr">
        <is>
          <t>ISO 7</t>
        </is>
      </c>
      <c r="E2208" t="inlineStr">
        <is>
          <t>Compressed air</t>
        </is>
      </c>
      <c r="F2208" t="n">
        <v>0</v>
      </c>
      <c r="G2208" t="inlineStr">
        <is>
          <t>Tech C</t>
        </is>
      </c>
      <c r="H2208">
        <f>INDEX(Limits!$B$2:$B$5,MATCH(E2208,Limits!$A$2:$A$5,0))</f>
        <v/>
      </c>
      <c r="I2208">
        <f>INDEX(Limits!$C$2:$C$5,MATCH(E2208,Limits!$A$2:$A$5,0))</f>
        <v/>
      </c>
      <c r="J2208">
        <f>IF(F2208&gt;=I2208,"Action",IF(F2208&gt;=H2208,"Alert","Pass"))</f>
        <v/>
      </c>
      <c r="K2208" s="4">
        <f>DATE(YEAR(B2208),MONTH(B2208),1)</f>
        <v/>
      </c>
    </row>
    <row r="2209">
      <c r="A2209" t="inlineStr">
        <is>
          <t>EM002208</t>
        </is>
      </c>
      <c r="B2209" s="7" t="n">
        <v>46189</v>
      </c>
      <c r="C2209" t="inlineStr">
        <is>
          <t>CR-101</t>
        </is>
      </c>
      <c r="D2209" t="inlineStr">
        <is>
          <t>ISO 7</t>
        </is>
      </c>
      <c r="E2209" t="inlineStr">
        <is>
          <t>Personnel glove</t>
        </is>
      </c>
      <c r="F2209" t="n">
        <v>0</v>
      </c>
      <c r="G2209" t="inlineStr">
        <is>
          <t>Tech D</t>
        </is>
      </c>
      <c r="H2209">
        <f>INDEX(Limits!$B$2:$B$5,MATCH(E2209,Limits!$A$2:$A$5,0))</f>
        <v/>
      </c>
      <c r="I2209">
        <f>INDEX(Limits!$C$2:$C$5,MATCH(E2209,Limits!$A$2:$A$5,0))</f>
        <v/>
      </c>
      <c r="J2209">
        <f>IF(F2209&gt;=I2209,"Action",IF(F2209&gt;=H2209,"Alert","Pass"))</f>
        <v/>
      </c>
      <c r="K2209" s="4">
        <f>DATE(YEAR(B2209),MONTH(B2209),1)</f>
        <v/>
      </c>
    </row>
    <row r="2210">
      <c r="A2210" t="inlineStr">
        <is>
          <t>EM002209</t>
        </is>
      </c>
      <c r="B2210" s="7" t="n">
        <v>46189</v>
      </c>
      <c r="C2210" t="inlineStr">
        <is>
          <t>CR-102</t>
        </is>
      </c>
      <c r="D2210" t="inlineStr">
        <is>
          <t>ISO 7</t>
        </is>
      </c>
      <c r="E2210" t="inlineStr">
        <is>
          <t>Active air</t>
        </is>
      </c>
      <c r="F2210" t="n">
        <v>0</v>
      </c>
      <c r="G2210" t="inlineStr">
        <is>
          <t>Tech D</t>
        </is>
      </c>
      <c r="H2210">
        <f>INDEX(Limits!$B$2:$B$5,MATCH(E2210,Limits!$A$2:$A$5,0))</f>
        <v/>
      </c>
      <c r="I2210">
        <f>INDEX(Limits!$C$2:$C$5,MATCH(E2210,Limits!$A$2:$A$5,0))</f>
        <v/>
      </c>
      <c r="J2210">
        <f>IF(F2210&gt;=I2210,"Action",IF(F2210&gt;=H2210,"Alert","Pass"))</f>
        <v/>
      </c>
      <c r="K2210" s="4">
        <f>DATE(YEAR(B2210),MONTH(B2210),1)</f>
        <v/>
      </c>
    </row>
    <row r="2211">
      <c r="A2211" t="inlineStr">
        <is>
          <t>EM002210</t>
        </is>
      </c>
      <c r="B2211" s="7" t="n">
        <v>46189</v>
      </c>
      <c r="C2211" t="inlineStr">
        <is>
          <t>CR-102</t>
        </is>
      </c>
      <c r="D2211" t="inlineStr">
        <is>
          <t>ISO 7</t>
        </is>
      </c>
      <c r="E2211" t="inlineStr">
        <is>
          <t>Surface contact</t>
        </is>
      </c>
      <c r="F2211" t="n">
        <v>0</v>
      </c>
      <c r="G2211" t="inlineStr">
        <is>
          <t>Tech D</t>
        </is>
      </c>
      <c r="H2211">
        <f>INDEX(Limits!$B$2:$B$5,MATCH(E2211,Limits!$A$2:$A$5,0))</f>
        <v/>
      </c>
      <c r="I2211">
        <f>INDEX(Limits!$C$2:$C$5,MATCH(E2211,Limits!$A$2:$A$5,0))</f>
        <v/>
      </c>
      <c r="J2211">
        <f>IF(F2211&gt;=I2211,"Action",IF(F2211&gt;=H2211,"Alert","Pass"))</f>
        <v/>
      </c>
      <c r="K2211" s="4">
        <f>DATE(YEAR(B2211),MONTH(B2211),1)</f>
        <v/>
      </c>
    </row>
    <row r="2212">
      <c r="A2212" t="inlineStr">
        <is>
          <t>EM002211</t>
        </is>
      </c>
      <c r="B2212" s="7" t="n">
        <v>46189</v>
      </c>
      <c r="C2212" t="inlineStr">
        <is>
          <t>CR-102</t>
        </is>
      </c>
      <c r="D2212" t="inlineStr">
        <is>
          <t>ISO 7</t>
        </is>
      </c>
      <c r="E2212" t="inlineStr">
        <is>
          <t>Compressed air</t>
        </is>
      </c>
      <c r="F2212" t="n">
        <v>0</v>
      </c>
      <c r="G2212" t="inlineStr">
        <is>
          <t>Tech D</t>
        </is>
      </c>
      <c r="H2212">
        <f>INDEX(Limits!$B$2:$B$5,MATCH(E2212,Limits!$A$2:$A$5,0))</f>
        <v/>
      </c>
      <c r="I2212">
        <f>INDEX(Limits!$C$2:$C$5,MATCH(E2212,Limits!$A$2:$A$5,0))</f>
        <v/>
      </c>
      <c r="J2212">
        <f>IF(F2212&gt;=I2212,"Action",IF(F2212&gt;=H2212,"Alert","Pass"))</f>
        <v/>
      </c>
      <c r="K2212" s="4">
        <f>DATE(YEAR(B2212),MONTH(B2212),1)</f>
        <v/>
      </c>
    </row>
    <row r="2213">
      <c r="A2213" t="inlineStr">
        <is>
          <t>EM002212</t>
        </is>
      </c>
      <c r="B2213" s="7" t="n">
        <v>46189</v>
      </c>
      <c r="C2213" t="inlineStr">
        <is>
          <t>CR-102</t>
        </is>
      </c>
      <c r="D2213" t="inlineStr">
        <is>
          <t>ISO 7</t>
        </is>
      </c>
      <c r="E2213" t="inlineStr">
        <is>
          <t>Personnel glove</t>
        </is>
      </c>
      <c r="F2213" t="n">
        <v>0</v>
      </c>
      <c r="G2213" t="inlineStr">
        <is>
          <t>Tech B</t>
        </is>
      </c>
      <c r="H2213">
        <f>INDEX(Limits!$B$2:$B$5,MATCH(E2213,Limits!$A$2:$A$5,0))</f>
        <v/>
      </c>
      <c r="I2213">
        <f>INDEX(Limits!$C$2:$C$5,MATCH(E2213,Limits!$A$2:$A$5,0))</f>
        <v/>
      </c>
      <c r="J2213">
        <f>IF(F2213&gt;=I2213,"Action",IF(F2213&gt;=H2213,"Alert","Pass"))</f>
        <v/>
      </c>
      <c r="K2213" s="4">
        <f>DATE(YEAR(B2213),MONTH(B2213),1)</f>
        <v/>
      </c>
    </row>
    <row r="2214">
      <c r="A2214" t="inlineStr">
        <is>
          <t>EM002213</t>
        </is>
      </c>
      <c r="B2214" s="7" t="n">
        <v>46189</v>
      </c>
      <c r="C2214" t="inlineStr">
        <is>
          <t>CR-201</t>
        </is>
      </c>
      <c r="D2214" t="inlineStr">
        <is>
          <t>ISO 8</t>
        </is>
      </c>
      <c r="E2214" t="inlineStr">
        <is>
          <t>Active air</t>
        </is>
      </c>
      <c r="F2214" t="n">
        <v>1</v>
      </c>
      <c r="G2214" t="inlineStr">
        <is>
          <t>Tech D</t>
        </is>
      </c>
      <c r="H2214">
        <f>INDEX(Limits!$B$2:$B$5,MATCH(E2214,Limits!$A$2:$A$5,0))</f>
        <v/>
      </c>
      <c r="I2214">
        <f>INDEX(Limits!$C$2:$C$5,MATCH(E2214,Limits!$A$2:$A$5,0))</f>
        <v/>
      </c>
      <c r="J2214">
        <f>IF(F2214&gt;=I2214,"Action",IF(F2214&gt;=H2214,"Alert","Pass"))</f>
        <v/>
      </c>
      <c r="K2214" s="4">
        <f>DATE(YEAR(B2214),MONTH(B2214),1)</f>
        <v/>
      </c>
    </row>
    <row r="2215">
      <c r="A2215" t="inlineStr">
        <is>
          <t>EM002214</t>
        </is>
      </c>
      <c r="B2215" s="7" t="n">
        <v>46189</v>
      </c>
      <c r="C2215" t="inlineStr">
        <is>
          <t>CR-201</t>
        </is>
      </c>
      <c r="D2215" t="inlineStr">
        <is>
          <t>ISO 8</t>
        </is>
      </c>
      <c r="E2215" t="inlineStr">
        <is>
          <t>Surface contact</t>
        </is>
      </c>
      <c r="F2215" t="n">
        <v>0</v>
      </c>
      <c r="G2215" t="inlineStr">
        <is>
          <t>Tech B</t>
        </is>
      </c>
      <c r="H2215">
        <f>INDEX(Limits!$B$2:$B$5,MATCH(E2215,Limits!$A$2:$A$5,0))</f>
        <v/>
      </c>
      <c r="I2215">
        <f>INDEX(Limits!$C$2:$C$5,MATCH(E2215,Limits!$A$2:$A$5,0))</f>
        <v/>
      </c>
      <c r="J2215">
        <f>IF(F2215&gt;=I2215,"Action",IF(F2215&gt;=H2215,"Alert","Pass"))</f>
        <v/>
      </c>
      <c r="K2215" s="4">
        <f>DATE(YEAR(B2215),MONTH(B2215),1)</f>
        <v/>
      </c>
    </row>
    <row r="2216">
      <c r="A2216" t="inlineStr">
        <is>
          <t>EM002215</t>
        </is>
      </c>
      <c r="B2216" s="7" t="n">
        <v>46189</v>
      </c>
      <c r="C2216" t="inlineStr">
        <is>
          <t>CR-201</t>
        </is>
      </c>
      <c r="D2216" t="inlineStr">
        <is>
          <t>ISO 8</t>
        </is>
      </c>
      <c r="E2216" t="inlineStr">
        <is>
          <t>Compressed air</t>
        </is>
      </c>
      <c r="F2216" t="n">
        <v>0</v>
      </c>
      <c r="G2216" t="inlineStr">
        <is>
          <t>Tech A</t>
        </is>
      </c>
      <c r="H2216">
        <f>INDEX(Limits!$B$2:$B$5,MATCH(E2216,Limits!$A$2:$A$5,0))</f>
        <v/>
      </c>
      <c r="I2216">
        <f>INDEX(Limits!$C$2:$C$5,MATCH(E2216,Limits!$A$2:$A$5,0))</f>
        <v/>
      </c>
      <c r="J2216">
        <f>IF(F2216&gt;=I2216,"Action",IF(F2216&gt;=H2216,"Alert","Pass"))</f>
        <v/>
      </c>
      <c r="K2216" s="4">
        <f>DATE(YEAR(B2216),MONTH(B2216),1)</f>
        <v/>
      </c>
    </row>
    <row r="2217">
      <c r="A2217" t="inlineStr">
        <is>
          <t>EM002216</t>
        </is>
      </c>
      <c r="B2217" s="7" t="n">
        <v>46189</v>
      </c>
      <c r="C2217" t="inlineStr">
        <is>
          <t>CR-201</t>
        </is>
      </c>
      <c r="D2217" t="inlineStr">
        <is>
          <t>ISO 8</t>
        </is>
      </c>
      <c r="E2217" t="inlineStr">
        <is>
          <t>Personnel glove</t>
        </is>
      </c>
      <c r="F2217" t="n">
        <v>0</v>
      </c>
      <c r="G2217" t="inlineStr">
        <is>
          <t>Tech A</t>
        </is>
      </c>
      <c r="H2217">
        <f>INDEX(Limits!$B$2:$B$5,MATCH(E2217,Limits!$A$2:$A$5,0))</f>
        <v/>
      </c>
      <c r="I2217">
        <f>INDEX(Limits!$C$2:$C$5,MATCH(E2217,Limits!$A$2:$A$5,0))</f>
        <v/>
      </c>
      <c r="J2217">
        <f>IF(F2217&gt;=I2217,"Action",IF(F2217&gt;=H2217,"Alert","Pass"))</f>
        <v/>
      </c>
      <c r="K2217" s="4">
        <f>DATE(YEAR(B2217),MONTH(B2217),1)</f>
        <v/>
      </c>
    </row>
    <row r="2218">
      <c r="A2218" t="inlineStr">
        <is>
          <t>EM002217</t>
        </is>
      </c>
      <c r="B2218" s="7" t="n">
        <v>46189</v>
      </c>
      <c r="C2218" t="inlineStr">
        <is>
          <t>CR-202</t>
        </is>
      </c>
      <c r="D2218" t="inlineStr">
        <is>
          <t>ISO 8</t>
        </is>
      </c>
      <c r="E2218" t="inlineStr">
        <is>
          <t>Active air</t>
        </is>
      </c>
      <c r="F2218" t="n">
        <v>3</v>
      </c>
      <c r="G2218" t="inlineStr">
        <is>
          <t>Tech B</t>
        </is>
      </c>
      <c r="H2218">
        <f>INDEX(Limits!$B$2:$B$5,MATCH(E2218,Limits!$A$2:$A$5,0))</f>
        <v/>
      </c>
      <c r="I2218">
        <f>INDEX(Limits!$C$2:$C$5,MATCH(E2218,Limits!$A$2:$A$5,0))</f>
        <v/>
      </c>
      <c r="J2218">
        <f>IF(F2218&gt;=I2218,"Action",IF(F2218&gt;=H2218,"Alert","Pass"))</f>
        <v/>
      </c>
      <c r="K2218" s="4">
        <f>DATE(YEAR(B2218),MONTH(B2218),1)</f>
        <v/>
      </c>
    </row>
    <row r="2219">
      <c r="A2219" t="inlineStr">
        <is>
          <t>EM002218</t>
        </is>
      </c>
      <c r="B2219" s="7" t="n">
        <v>46189</v>
      </c>
      <c r="C2219" t="inlineStr">
        <is>
          <t>CR-202</t>
        </is>
      </c>
      <c r="D2219" t="inlineStr">
        <is>
          <t>ISO 8</t>
        </is>
      </c>
      <c r="E2219" t="inlineStr">
        <is>
          <t>Surface contact</t>
        </is>
      </c>
      <c r="F2219" t="n">
        <v>0</v>
      </c>
      <c r="G2219" t="inlineStr">
        <is>
          <t>Tech C</t>
        </is>
      </c>
      <c r="H2219">
        <f>INDEX(Limits!$B$2:$B$5,MATCH(E2219,Limits!$A$2:$A$5,0))</f>
        <v/>
      </c>
      <c r="I2219">
        <f>INDEX(Limits!$C$2:$C$5,MATCH(E2219,Limits!$A$2:$A$5,0))</f>
        <v/>
      </c>
      <c r="J2219">
        <f>IF(F2219&gt;=I2219,"Action",IF(F2219&gt;=H2219,"Alert","Pass"))</f>
        <v/>
      </c>
      <c r="K2219" s="4">
        <f>DATE(YEAR(B2219),MONTH(B2219),1)</f>
        <v/>
      </c>
    </row>
    <row r="2220">
      <c r="A2220" t="inlineStr">
        <is>
          <t>EM002219</t>
        </is>
      </c>
      <c r="B2220" s="7" t="n">
        <v>46189</v>
      </c>
      <c r="C2220" t="inlineStr">
        <is>
          <t>CR-202</t>
        </is>
      </c>
      <c r="D2220" t="inlineStr">
        <is>
          <t>ISO 8</t>
        </is>
      </c>
      <c r="E2220" t="inlineStr">
        <is>
          <t>Compressed air</t>
        </is>
      </c>
      <c r="F2220" t="n">
        <v>0</v>
      </c>
      <c r="G2220" t="inlineStr">
        <is>
          <t>Tech C</t>
        </is>
      </c>
      <c r="H2220">
        <f>INDEX(Limits!$B$2:$B$5,MATCH(E2220,Limits!$A$2:$A$5,0))</f>
        <v/>
      </c>
      <c r="I2220">
        <f>INDEX(Limits!$C$2:$C$5,MATCH(E2220,Limits!$A$2:$A$5,0))</f>
        <v/>
      </c>
      <c r="J2220">
        <f>IF(F2220&gt;=I2220,"Action",IF(F2220&gt;=H2220,"Alert","Pass"))</f>
        <v/>
      </c>
      <c r="K2220" s="4">
        <f>DATE(YEAR(B2220),MONTH(B2220),1)</f>
        <v/>
      </c>
    </row>
    <row r="2221">
      <c r="A2221" t="inlineStr">
        <is>
          <t>EM002220</t>
        </is>
      </c>
      <c r="B2221" s="7" t="n">
        <v>46189</v>
      </c>
      <c r="C2221" t="inlineStr">
        <is>
          <t>CR-202</t>
        </is>
      </c>
      <c r="D2221" t="inlineStr">
        <is>
          <t>ISO 8</t>
        </is>
      </c>
      <c r="E2221" t="inlineStr">
        <is>
          <t>Personnel glove</t>
        </is>
      </c>
      <c r="F2221" t="n">
        <v>0</v>
      </c>
      <c r="G2221" t="inlineStr">
        <is>
          <t>Tech A</t>
        </is>
      </c>
      <c r="H2221">
        <f>INDEX(Limits!$B$2:$B$5,MATCH(E2221,Limits!$A$2:$A$5,0))</f>
        <v/>
      </c>
      <c r="I2221">
        <f>INDEX(Limits!$C$2:$C$5,MATCH(E2221,Limits!$A$2:$A$5,0))</f>
        <v/>
      </c>
      <c r="J2221">
        <f>IF(F2221&gt;=I2221,"Action",IF(F2221&gt;=H2221,"Alert","Pass"))</f>
        <v/>
      </c>
      <c r="K2221" s="4">
        <f>DATE(YEAR(B2221),MONTH(B2221),1)</f>
        <v/>
      </c>
    </row>
    <row r="2222">
      <c r="A2222" t="inlineStr">
        <is>
          <t>EM002221</t>
        </is>
      </c>
      <c r="B2222" s="7" t="n">
        <v>46189</v>
      </c>
      <c r="C2222" t="inlineStr">
        <is>
          <t>Gowning</t>
        </is>
      </c>
      <c r="D2222" t="inlineStr">
        <is>
          <t>ISO 8</t>
        </is>
      </c>
      <c r="E2222" t="inlineStr">
        <is>
          <t>Active air</t>
        </is>
      </c>
      <c r="F2222" t="n">
        <v>1</v>
      </c>
      <c r="G2222" t="inlineStr">
        <is>
          <t>Tech B</t>
        </is>
      </c>
      <c r="H2222">
        <f>INDEX(Limits!$B$2:$B$5,MATCH(E2222,Limits!$A$2:$A$5,0))</f>
        <v/>
      </c>
      <c r="I2222">
        <f>INDEX(Limits!$C$2:$C$5,MATCH(E2222,Limits!$A$2:$A$5,0))</f>
        <v/>
      </c>
      <c r="J2222">
        <f>IF(F2222&gt;=I2222,"Action",IF(F2222&gt;=H2222,"Alert","Pass"))</f>
        <v/>
      </c>
      <c r="K2222" s="4">
        <f>DATE(YEAR(B2222),MONTH(B2222),1)</f>
        <v/>
      </c>
    </row>
    <row r="2223">
      <c r="A2223" t="inlineStr">
        <is>
          <t>EM002222</t>
        </is>
      </c>
      <c r="B2223" s="7" t="n">
        <v>46189</v>
      </c>
      <c r="C2223" t="inlineStr">
        <is>
          <t>Gowning</t>
        </is>
      </c>
      <c r="D2223" t="inlineStr">
        <is>
          <t>ISO 8</t>
        </is>
      </c>
      <c r="E2223" t="inlineStr">
        <is>
          <t>Surface contact</t>
        </is>
      </c>
      <c r="F2223" t="n">
        <v>0</v>
      </c>
      <c r="G2223" t="inlineStr">
        <is>
          <t>Tech B</t>
        </is>
      </c>
      <c r="H2223">
        <f>INDEX(Limits!$B$2:$B$5,MATCH(E2223,Limits!$A$2:$A$5,0))</f>
        <v/>
      </c>
      <c r="I2223">
        <f>INDEX(Limits!$C$2:$C$5,MATCH(E2223,Limits!$A$2:$A$5,0))</f>
        <v/>
      </c>
      <c r="J2223">
        <f>IF(F2223&gt;=I2223,"Action",IF(F2223&gt;=H2223,"Alert","Pass"))</f>
        <v/>
      </c>
      <c r="K2223" s="4">
        <f>DATE(YEAR(B2223),MONTH(B2223),1)</f>
        <v/>
      </c>
    </row>
    <row r="2224">
      <c r="A2224" t="inlineStr">
        <is>
          <t>EM002223</t>
        </is>
      </c>
      <c r="B2224" s="7" t="n">
        <v>46189</v>
      </c>
      <c r="C2224" t="inlineStr">
        <is>
          <t>Gowning</t>
        </is>
      </c>
      <c r="D2224" t="inlineStr">
        <is>
          <t>ISO 8</t>
        </is>
      </c>
      <c r="E2224" t="inlineStr">
        <is>
          <t>Personnel glove</t>
        </is>
      </c>
      <c r="F2224" t="n">
        <v>0</v>
      </c>
      <c r="G2224" t="inlineStr">
        <is>
          <t>Tech A</t>
        </is>
      </c>
      <c r="H2224">
        <f>INDEX(Limits!$B$2:$B$5,MATCH(E2224,Limits!$A$2:$A$5,0))</f>
        <v/>
      </c>
      <c r="I2224">
        <f>INDEX(Limits!$C$2:$C$5,MATCH(E2224,Limits!$A$2:$A$5,0))</f>
        <v/>
      </c>
      <c r="J2224">
        <f>IF(F2224&gt;=I2224,"Action",IF(F2224&gt;=H2224,"Alert","Pass"))</f>
        <v/>
      </c>
      <c r="K2224" s="4">
        <f>DATE(YEAR(B2224),MONTH(B2224),1)</f>
        <v/>
      </c>
    </row>
    <row r="2225">
      <c r="A2225" t="inlineStr">
        <is>
          <t>EM002224</t>
        </is>
      </c>
      <c r="B2225" s="7" t="n">
        <v>46190</v>
      </c>
      <c r="C2225" t="inlineStr">
        <is>
          <t>CR-101</t>
        </is>
      </c>
      <c r="D2225" t="inlineStr">
        <is>
          <t>ISO 7</t>
        </is>
      </c>
      <c r="E2225" t="inlineStr">
        <is>
          <t>Active air</t>
        </is>
      </c>
      <c r="F2225" t="n">
        <v>1</v>
      </c>
      <c r="G2225" t="inlineStr">
        <is>
          <t>Tech D</t>
        </is>
      </c>
      <c r="H2225">
        <f>INDEX(Limits!$B$2:$B$5,MATCH(E2225,Limits!$A$2:$A$5,0))</f>
        <v/>
      </c>
      <c r="I2225">
        <f>INDEX(Limits!$C$2:$C$5,MATCH(E2225,Limits!$A$2:$A$5,0))</f>
        <v/>
      </c>
      <c r="J2225">
        <f>IF(F2225&gt;=I2225,"Action",IF(F2225&gt;=H2225,"Alert","Pass"))</f>
        <v/>
      </c>
      <c r="K2225" s="4">
        <f>DATE(YEAR(B2225),MONTH(B2225),1)</f>
        <v/>
      </c>
    </row>
    <row r="2226">
      <c r="A2226" t="inlineStr">
        <is>
          <t>EM002225</t>
        </is>
      </c>
      <c r="B2226" s="7" t="n">
        <v>46190</v>
      </c>
      <c r="C2226" t="inlineStr">
        <is>
          <t>CR-101</t>
        </is>
      </c>
      <c r="D2226" t="inlineStr">
        <is>
          <t>ISO 7</t>
        </is>
      </c>
      <c r="E2226" t="inlineStr">
        <is>
          <t>Surface contact</t>
        </is>
      </c>
      <c r="F2226" t="n">
        <v>1</v>
      </c>
      <c r="G2226" t="inlineStr">
        <is>
          <t>Tech D</t>
        </is>
      </c>
      <c r="H2226">
        <f>INDEX(Limits!$B$2:$B$5,MATCH(E2226,Limits!$A$2:$A$5,0))</f>
        <v/>
      </c>
      <c r="I2226">
        <f>INDEX(Limits!$C$2:$C$5,MATCH(E2226,Limits!$A$2:$A$5,0))</f>
        <v/>
      </c>
      <c r="J2226">
        <f>IF(F2226&gt;=I2226,"Action",IF(F2226&gt;=H2226,"Alert","Pass"))</f>
        <v/>
      </c>
      <c r="K2226" s="4">
        <f>DATE(YEAR(B2226),MONTH(B2226),1)</f>
        <v/>
      </c>
    </row>
    <row r="2227">
      <c r="A2227" t="inlineStr">
        <is>
          <t>EM002226</t>
        </is>
      </c>
      <c r="B2227" s="7" t="n">
        <v>46190</v>
      </c>
      <c r="C2227" t="inlineStr">
        <is>
          <t>CR-101</t>
        </is>
      </c>
      <c r="D2227" t="inlineStr">
        <is>
          <t>ISO 7</t>
        </is>
      </c>
      <c r="E2227" t="inlineStr">
        <is>
          <t>Compressed air</t>
        </is>
      </c>
      <c r="F2227" t="n">
        <v>0</v>
      </c>
      <c r="G2227" t="inlineStr">
        <is>
          <t>Tech B</t>
        </is>
      </c>
      <c r="H2227">
        <f>INDEX(Limits!$B$2:$B$5,MATCH(E2227,Limits!$A$2:$A$5,0))</f>
        <v/>
      </c>
      <c r="I2227">
        <f>INDEX(Limits!$C$2:$C$5,MATCH(E2227,Limits!$A$2:$A$5,0))</f>
        <v/>
      </c>
      <c r="J2227">
        <f>IF(F2227&gt;=I2227,"Action",IF(F2227&gt;=H2227,"Alert","Pass"))</f>
        <v/>
      </c>
      <c r="K2227" s="4">
        <f>DATE(YEAR(B2227),MONTH(B2227),1)</f>
        <v/>
      </c>
    </row>
    <row r="2228">
      <c r="A2228" t="inlineStr">
        <is>
          <t>EM002227</t>
        </is>
      </c>
      <c r="B2228" s="7" t="n">
        <v>46190</v>
      </c>
      <c r="C2228" t="inlineStr">
        <is>
          <t>CR-101</t>
        </is>
      </c>
      <c r="D2228" t="inlineStr">
        <is>
          <t>ISO 7</t>
        </is>
      </c>
      <c r="E2228" t="inlineStr">
        <is>
          <t>Personnel glove</t>
        </is>
      </c>
      <c r="F2228" t="n">
        <v>0</v>
      </c>
      <c r="G2228" t="inlineStr">
        <is>
          <t>Tech C</t>
        </is>
      </c>
      <c r="H2228">
        <f>INDEX(Limits!$B$2:$B$5,MATCH(E2228,Limits!$A$2:$A$5,0))</f>
        <v/>
      </c>
      <c r="I2228">
        <f>INDEX(Limits!$C$2:$C$5,MATCH(E2228,Limits!$A$2:$A$5,0))</f>
        <v/>
      </c>
      <c r="J2228">
        <f>IF(F2228&gt;=I2228,"Action",IF(F2228&gt;=H2228,"Alert","Pass"))</f>
        <v/>
      </c>
      <c r="K2228" s="4">
        <f>DATE(YEAR(B2228),MONTH(B2228),1)</f>
        <v/>
      </c>
    </row>
    <row r="2229">
      <c r="A2229" t="inlineStr">
        <is>
          <t>EM002228</t>
        </is>
      </c>
      <c r="B2229" s="7" t="n">
        <v>46190</v>
      </c>
      <c r="C2229" t="inlineStr">
        <is>
          <t>CR-102</t>
        </is>
      </c>
      <c r="D2229" t="inlineStr">
        <is>
          <t>ISO 7</t>
        </is>
      </c>
      <c r="E2229" t="inlineStr">
        <is>
          <t>Active air</t>
        </is>
      </c>
      <c r="F2229" t="n">
        <v>0</v>
      </c>
      <c r="G2229" t="inlineStr">
        <is>
          <t>Tech B</t>
        </is>
      </c>
      <c r="H2229">
        <f>INDEX(Limits!$B$2:$B$5,MATCH(E2229,Limits!$A$2:$A$5,0))</f>
        <v/>
      </c>
      <c r="I2229">
        <f>INDEX(Limits!$C$2:$C$5,MATCH(E2229,Limits!$A$2:$A$5,0))</f>
        <v/>
      </c>
      <c r="J2229">
        <f>IF(F2229&gt;=I2229,"Action",IF(F2229&gt;=H2229,"Alert","Pass"))</f>
        <v/>
      </c>
      <c r="K2229" s="4">
        <f>DATE(YEAR(B2229),MONTH(B2229),1)</f>
        <v/>
      </c>
    </row>
    <row r="2230">
      <c r="A2230" t="inlineStr">
        <is>
          <t>EM002229</t>
        </is>
      </c>
      <c r="B2230" s="7" t="n">
        <v>46190</v>
      </c>
      <c r="C2230" t="inlineStr">
        <is>
          <t>CR-102</t>
        </is>
      </c>
      <c r="D2230" t="inlineStr">
        <is>
          <t>ISO 7</t>
        </is>
      </c>
      <c r="E2230" t="inlineStr">
        <is>
          <t>Surface contact</t>
        </is>
      </c>
      <c r="F2230" t="n">
        <v>0</v>
      </c>
      <c r="G2230" t="inlineStr">
        <is>
          <t>Tech D</t>
        </is>
      </c>
      <c r="H2230">
        <f>INDEX(Limits!$B$2:$B$5,MATCH(E2230,Limits!$A$2:$A$5,0))</f>
        <v/>
      </c>
      <c r="I2230">
        <f>INDEX(Limits!$C$2:$C$5,MATCH(E2230,Limits!$A$2:$A$5,0))</f>
        <v/>
      </c>
      <c r="J2230">
        <f>IF(F2230&gt;=I2230,"Action",IF(F2230&gt;=H2230,"Alert","Pass"))</f>
        <v/>
      </c>
      <c r="K2230" s="4">
        <f>DATE(YEAR(B2230),MONTH(B2230),1)</f>
        <v/>
      </c>
    </row>
    <row r="2231">
      <c r="A2231" t="inlineStr">
        <is>
          <t>EM002230</t>
        </is>
      </c>
      <c r="B2231" s="7" t="n">
        <v>46190</v>
      </c>
      <c r="C2231" t="inlineStr">
        <is>
          <t>CR-102</t>
        </is>
      </c>
      <c r="D2231" t="inlineStr">
        <is>
          <t>ISO 7</t>
        </is>
      </c>
      <c r="E2231" t="inlineStr">
        <is>
          <t>Compressed air</t>
        </is>
      </c>
      <c r="F2231" t="n">
        <v>0</v>
      </c>
      <c r="G2231" t="inlineStr">
        <is>
          <t>Tech C</t>
        </is>
      </c>
      <c r="H2231">
        <f>INDEX(Limits!$B$2:$B$5,MATCH(E2231,Limits!$A$2:$A$5,0))</f>
        <v/>
      </c>
      <c r="I2231">
        <f>INDEX(Limits!$C$2:$C$5,MATCH(E2231,Limits!$A$2:$A$5,0))</f>
        <v/>
      </c>
      <c r="J2231">
        <f>IF(F2231&gt;=I2231,"Action",IF(F2231&gt;=H2231,"Alert","Pass"))</f>
        <v/>
      </c>
      <c r="K2231" s="4">
        <f>DATE(YEAR(B2231),MONTH(B2231),1)</f>
        <v/>
      </c>
    </row>
    <row r="2232">
      <c r="A2232" t="inlineStr">
        <is>
          <t>EM002231</t>
        </is>
      </c>
      <c r="B2232" s="7" t="n">
        <v>46190</v>
      </c>
      <c r="C2232" t="inlineStr">
        <is>
          <t>CR-102</t>
        </is>
      </c>
      <c r="D2232" t="inlineStr">
        <is>
          <t>ISO 7</t>
        </is>
      </c>
      <c r="E2232" t="inlineStr">
        <is>
          <t>Personnel glove</t>
        </is>
      </c>
      <c r="F2232" t="n">
        <v>0</v>
      </c>
      <c r="G2232" t="inlineStr">
        <is>
          <t>Tech B</t>
        </is>
      </c>
      <c r="H2232">
        <f>INDEX(Limits!$B$2:$B$5,MATCH(E2232,Limits!$A$2:$A$5,0))</f>
        <v/>
      </c>
      <c r="I2232">
        <f>INDEX(Limits!$C$2:$C$5,MATCH(E2232,Limits!$A$2:$A$5,0))</f>
        <v/>
      </c>
      <c r="J2232">
        <f>IF(F2232&gt;=I2232,"Action",IF(F2232&gt;=H2232,"Alert","Pass"))</f>
        <v/>
      </c>
      <c r="K2232" s="4">
        <f>DATE(YEAR(B2232),MONTH(B2232),1)</f>
        <v/>
      </c>
    </row>
    <row r="2233">
      <c r="A2233" t="inlineStr">
        <is>
          <t>EM002232</t>
        </is>
      </c>
      <c r="B2233" s="7" t="n">
        <v>46190</v>
      </c>
      <c r="C2233" t="inlineStr">
        <is>
          <t>CR-201</t>
        </is>
      </c>
      <c r="D2233" t="inlineStr">
        <is>
          <t>ISO 8</t>
        </is>
      </c>
      <c r="E2233" t="inlineStr">
        <is>
          <t>Active air</t>
        </is>
      </c>
      <c r="F2233" t="n">
        <v>2</v>
      </c>
      <c r="G2233" t="inlineStr">
        <is>
          <t>Tech D</t>
        </is>
      </c>
      <c r="H2233">
        <f>INDEX(Limits!$B$2:$B$5,MATCH(E2233,Limits!$A$2:$A$5,0))</f>
        <v/>
      </c>
      <c r="I2233">
        <f>INDEX(Limits!$C$2:$C$5,MATCH(E2233,Limits!$A$2:$A$5,0))</f>
        <v/>
      </c>
      <c r="J2233">
        <f>IF(F2233&gt;=I2233,"Action",IF(F2233&gt;=H2233,"Alert","Pass"))</f>
        <v/>
      </c>
      <c r="K2233" s="4">
        <f>DATE(YEAR(B2233),MONTH(B2233),1)</f>
        <v/>
      </c>
    </row>
    <row r="2234">
      <c r="A2234" t="inlineStr">
        <is>
          <t>EM002233</t>
        </is>
      </c>
      <c r="B2234" s="7" t="n">
        <v>46190</v>
      </c>
      <c r="C2234" t="inlineStr">
        <is>
          <t>CR-201</t>
        </is>
      </c>
      <c r="D2234" t="inlineStr">
        <is>
          <t>ISO 8</t>
        </is>
      </c>
      <c r="E2234" t="inlineStr">
        <is>
          <t>Surface contact</t>
        </is>
      </c>
      <c r="F2234" t="n">
        <v>1</v>
      </c>
      <c r="G2234" t="inlineStr">
        <is>
          <t>Tech B</t>
        </is>
      </c>
      <c r="H2234">
        <f>INDEX(Limits!$B$2:$B$5,MATCH(E2234,Limits!$A$2:$A$5,0))</f>
        <v/>
      </c>
      <c r="I2234">
        <f>INDEX(Limits!$C$2:$C$5,MATCH(E2234,Limits!$A$2:$A$5,0))</f>
        <v/>
      </c>
      <c r="J2234">
        <f>IF(F2234&gt;=I2234,"Action",IF(F2234&gt;=H2234,"Alert","Pass"))</f>
        <v/>
      </c>
      <c r="K2234" s="4">
        <f>DATE(YEAR(B2234),MONTH(B2234),1)</f>
        <v/>
      </c>
    </row>
    <row r="2235">
      <c r="A2235" t="inlineStr">
        <is>
          <t>EM002234</t>
        </is>
      </c>
      <c r="B2235" s="7" t="n">
        <v>46190</v>
      </c>
      <c r="C2235" t="inlineStr">
        <is>
          <t>CR-201</t>
        </is>
      </c>
      <c r="D2235" t="inlineStr">
        <is>
          <t>ISO 8</t>
        </is>
      </c>
      <c r="E2235" t="inlineStr">
        <is>
          <t>Compressed air</t>
        </is>
      </c>
      <c r="F2235" t="n">
        <v>0</v>
      </c>
      <c r="G2235" t="inlineStr">
        <is>
          <t>Tech A</t>
        </is>
      </c>
      <c r="H2235">
        <f>INDEX(Limits!$B$2:$B$5,MATCH(E2235,Limits!$A$2:$A$5,0))</f>
        <v/>
      </c>
      <c r="I2235">
        <f>INDEX(Limits!$C$2:$C$5,MATCH(E2235,Limits!$A$2:$A$5,0))</f>
        <v/>
      </c>
      <c r="J2235">
        <f>IF(F2235&gt;=I2235,"Action",IF(F2235&gt;=H2235,"Alert","Pass"))</f>
        <v/>
      </c>
      <c r="K2235" s="4">
        <f>DATE(YEAR(B2235),MONTH(B2235),1)</f>
        <v/>
      </c>
    </row>
    <row r="2236">
      <c r="A2236" t="inlineStr">
        <is>
          <t>EM002235</t>
        </is>
      </c>
      <c r="B2236" s="7" t="n">
        <v>46190</v>
      </c>
      <c r="C2236" t="inlineStr">
        <is>
          <t>CR-201</t>
        </is>
      </c>
      <c r="D2236" t="inlineStr">
        <is>
          <t>ISO 8</t>
        </is>
      </c>
      <c r="E2236" t="inlineStr">
        <is>
          <t>Personnel glove</t>
        </is>
      </c>
      <c r="F2236" t="n">
        <v>0</v>
      </c>
      <c r="G2236" t="inlineStr">
        <is>
          <t>Tech A</t>
        </is>
      </c>
      <c r="H2236">
        <f>INDEX(Limits!$B$2:$B$5,MATCH(E2236,Limits!$A$2:$A$5,0))</f>
        <v/>
      </c>
      <c r="I2236">
        <f>INDEX(Limits!$C$2:$C$5,MATCH(E2236,Limits!$A$2:$A$5,0))</f>
        <v/>
      </c>
      <c r="J2236">
        <f>IF(F2236&gt;=I2236,"Action",IF(F2236&gt;=H2236,"Alert","Pass"))</f>
        <v/>
      </c>
      <c r="K2236" s="4">
        <f>DATE(YEAR(B2236),MONTH(B2236),1)</f>
        <v/>
      </c>
    </row>
    <row r="2237">
      <c r="A2237" t="inlineStr">
        <is>
          <t>EM002236</t>
        </is>
      </c>
      <c r="B2237" s="7" t="n">
        <v>46190</v>
      </c>
      <c r="C2237" t="inlineStr">
        <is>
          <t>CR-202</t>
        </is>
      </c>
      <c r="D2237" t="inlineStr">
        <is>
          <t>ISO 8</t>
        </is>
      </c>
      <c r="E2237" t="inlineStr">
        <is>
          <t>Active air</t>
        </is>
      </c>
      <c r="F2237" t="n">
        <v>0</v>
      </c>
      <c r="G2237" t="inlineStr">
        <is>
          <t>Tech D</t>
        </is>
      </c>
      <c r="H2237">
        <f>INDEX(Limits!$B$2:$B$5,MATCH(E2237,Limits!$A$2:$A$5,0))</f>
        <v/>
      </c>
      <c r="I2237">
        <f>INDEX(Limits!$C$2:$C$5,MATCH(E2237,Limits!$A$2:$A$5,0))</f>
        <v/>
      </c>
      <c r="J2237">
        <f>IF(F2237&gt;=I2237,"Action",IF(F2237&gt;=H2237,"Alert","Pass"))</f>
        <v/>
      </c>
      <c r="K2237" s="4">
        <f>DATE(YEAR(B2237),MONTH(B2237),1)</f>
        <v/>
      </c>
    </row>
    <row r="2238">
      <c r="A2238" t="inlineStr">
        <is>
          <t>EM002237</t>
        </is>
      </c>
      <c r="B2238" s="7" t="n">
        <v>46190</v>
      </c>
      <c r="C2238" t="inlineStr">
        <is>
          <t>CR-202</t>
        </is>
      </c>
      <c r="D2238" t="inlineStr">
        <is>
          <t>ISO 8</t>
        </is>
      </c>
      <c r="E2238" t="inlineStr">
        <is>
          <t>Surface contact</t>
        </is>
      </c>
      <c r="F2238" t="n">
        <v>1</v>
      </c>
      <c r="G2238" t="inlineStr">
        <is>
          <t>Tech C</t>
        </is>
      </c>
      <c r="H2238">
        <f>INDEX(Limits!$B$2:$B$5,MATCH(E2238,Limits!$A$2:$A$5,0))</f>
        <v/>
      </c>
      <c r="I2238">
        <f>INDEX(Limits!$C$2:$C$5,MATCH(E2238,Limits!$A$2:$A$5,0))</f>
        <v/>
      </c>
      <c r="J2238">
        <f>IF(F2238&gt;=I2238,"Action",IF(F2238&gt;=H2238,"Alert","Pass"))</f>
        <v/>
      </c>
      <c r="K2238" s="4">
        <f>DATE(YEAR(B2238),MONTH(B2238),1)</f>
        <v/>
      </c>
    </row>
    <row r="2239">
      <c r="A2239" t="inlineStr">
        <is>
          <t>EM002238</t>
        </is>
      </c>
      <c r="B2239" s="7" t="n">
        <v>46190</v>
      </c>
      <c r="C2239" t="inlineStr">
        <is>
          <t>CR-202</t>
        </is>
      </c>
      <c r="D2239" t="inlineStr">
        <is>
          <t>ISO 8</t>
        </is>
      </c>
      <c r="E2239" t="inlineStr">
        <is>
          <t>Compressed air</t>
        </is>
      </c>
      <c r="F2239" t="n">
        <v>0</v>
      </c>
      <c r="G2239" t="inlineStr">
        <is>
          <t>Tech A</t>
        </is>
      </c>
      <c r="H2239">
        <f>INDEX(Limits!$B$2:$B$5,MATCH(E2239,Limits!$A$2:$A$5,0))</f>
        <v/>
      </c>
      <c r="I2239">
        <f>INDEX(Limits!$C$2:$C$5,MATCH(E2239,Limits!$A$2:$A$5,0))</f>
        <v/>
      </c>
      <c r="J2239">
        <f>IF(F2239&gt;=I2239,"Action",IF(F2239&gt;=H2239,"Alert","Pass"))</f>
        <v/>
      </c>
      <c r="K2239" s="4">
        <f>DATE(YEAR(B2239),MONTH(B2239),1)</f>
        <v/>
      </c>
    </row>
    <row r="2240">
      <c r="A2240" t="inlineStr">
        <is>
          <t>EM002239</t>
        </is>
      </c>
      <c r="B2240" s="7" t="n">
        <v>46190</v>
      </c>
      <c r="C2240" t="inlineStr">
        <is>
          <t>CR-202</t>
        </is>
      </c>
      <c r="D2240" t="inlineStr">
        <is>
          <t>ISO 8</t>
        </is>
      </c>
      <c r="E2240" t="inlineStr">
        <is>
          <t>Personnel glove</t>
        </is>
      </c>
      <c r="F2240" t="n">
        <v>1</v>
      </c>
      <c r="G2240" t="inlineStr">
        <is>
          <t>Tech B</t>
        </is>
      </c>
      <c r="H2240">
        <f>INDEX(Limits!$B$2:$B$5,MATCH(E2240,Limits!$A$2:$A$5,0))</f>
        <v/>
      </c>
      <c r="I2240">
        <f>INDEX(Limits!$C$2:$C$5,MATCH(E2240,Limits!$A$2:$A$5,0))</f>
        <v/>
      </c>
      <c r="J2240">
        <f>IF(F2240&gt;=I2240,"Action",IF(F2240&gt;=H2240,"Alert","Pass"))</f>
        <v/>
      </c>
      <c r="K2240" s="4">
        <f>DATE(YEAR(B2240),MONTH(B2240),1)</f>
        <v/>
      </c>
    </row>
    <row r="2241">
      <c r="A2241" t="inlineStr">
        <is>
          <t>EM002240</t>
        </is>
      </c>
      <c r="B2241" s="7" t="n">
        <v>46190</v>
      </c>
      <c r="C2241" t="inlineStr">
        <is>
          <t>Gowning</t>
        </is>
      </c>
      <c r="D2241" t="inlineStr">
        <is>
          <t>ISO 8</t>
        </is>
      </c>
      <c r="E2241" t="inlineStr">
        <is>
          <t>Active air</t>
        </is>
      </c>
      <c r="F2241" t="n">
        <v>4</v>
      </c>
      <c r="G2241" t="inlineStr">
        <is>
          <t>Tech D</t>
        </is>
      </c>
      <c r="H2241">
        <f>INDEX(Limits!$B$2:$B$5,MATCH(E2241,Limits!$A$2:$A$5,0))</f>
        <v/>
      </c>
      <c r="I2241">
        <f>INDEX(Limits!$C$2:$C$5,MATCH(E2241,Limits!$A$2:$A$5,0))</f>
        <v/>
      </c>
      <c r="J2241">
        <f>IF(F2241&gt;=I2241,"Action",IF(F2241&gt;=H2241,"Alert","Pass"))</f>
        <v/>
      </c>
      <c r="K2241" s="4">
        <f>DATE(YEAR(B2241),MONTH(B2241),1)</f>
        <v/>
      </c>
    </row>
    <row r="2242">
      <c r="A2242" t="inlineStr">
        <is>
          <t>EM002241</t>
        </is>
      </c>
      <c r="B2242" s="7" t="n">
        <v>46190</v>
      </c>
      <c r="C2242" t="inlineStr">
        <is>
          <t>Gowning</t>
        </is>
      </c>
      <c r="D2242" t="inlineStr">
        <is>
          <t>ISO 8</t>
        </is>
      </c>
      <c r="E2242" t="inlineStr">
        <is>
          <t>Surface contact</t>
        </is>
      </c>
      <c r="F2242" t="n">
        <v>1</v>
      </c>
      <c r="G2242" t="inlineStr">
        <is>
          <t>Tech D</t>
        </is>
      </c>
      <c r="H2242">
        <f>INDEX(Limits!$B$2:$B$5,MATCH(E2242,Limits!$A$2:$A$5,0))</f>
        <v/>
      </c>
      <c r="I2242">
        <f>INDEX(Limits!$C$2:$C$5,MATCH(E2242,Limits!$A$2:$A$5,0))</f>
        <v/>
      </c>
      <c r="J2242">
        <f>IF(F2242&gt;=I2242,"Action",IF(F2242&gt;=H2242,"Alert","Pass"))</f>
        <v/>
      </c>
      <c r="K2242" s="4">
        <f>DATE(YEAR(B2242),MONTH(B2242),1)</f>
        <v/>
      </c>
    </row>
    <row r="2243">
      <c r="A2243" t="inlineStr">
        <is>
          <t>EM002242</t>
        </is>
      </c>
      <c r="B2243" s="7" t="n">
        <v>46190</v>
      </c>
      <c r="C2243" t="inlineStr">
        <is>
          <t>Gowning</t>
        </is>
      </c>
      <c r="D2243" t="inlineStr">
        <is>
          <t>ISO 8</t>
        </is>
      </c>
      <c r="E2243" t="inlineStr">
        <is>
          <t>Personnel glove</t>
        </is>
      </c>
      <c r="F2243" t="n">
        <v>1</v>
      </c>
      <c r="G2243" t="inlineStr">
        <is>
          <t>Tech C</t>
        </is>
      </c>
      <c r="H2243">
        <f>INDEX(Limits!$B$2:$B$5,MATCH(E2243,Limits!$A$2:$A$5,0))</f>
        <v/>
      </c>
      <c r="I2243">
        <f>INDEX(Limits!$C$2:$C$5,MATCH(E2243,Limits!$A$2:$A$5,0))</f>
        <v/>
      </c>
      <c r="J2243">
        <f>IF(F2243&gt;=I2243,"Action",IF(F2243&gt;=H2243,"Alert","Pass"))</f>
        <v/>
      </c>
      <c r="K2243" s="4">
        <f>DATE(YEAR(B2243),MONTH(B2243),1)</f>
        <v/>
      </c>
    </row>
    <row r="2244">
      <c r="A2244" t="inlineStr">
        <is>
          <t>EM002243</t>
        </is>
      </c>
      <c r="B2244" s="7" t="n">
        <v>46191</v>
      </c>
      <c r="C2244" t="inlineStr">
        <is>
          <t>CR-101</t>
        </is>
      </c>
      <c r="D2244" t="inlineStr">
        <is>
          <t>ISO 7</t>
        </is>
      </c>
      <c r="E2244" t="inlineStr">
        <is>
          <t>Active air</t>
        </is>
      </c>
      <c r="F2244" t="n">
        <v>0</v>
      </c>
      <c r="G2244" t="inlineStr">
        <is>
          <t>Tech D</t>
        </is>
      </c>
      <c r="H2244">
        <f>INDEX(Limits!$B$2:$B$5,MATCH(E2244,Limits!$A$2:$A$5,0))</f>
        <v/>
      </c>
      <c r="I2244">
        <f>INDEX(Limits!$C$2:$C$5,MATCH(E2244,Limits!$A$2:$A$5,0))</f>
        <v/>
      </c>
      <c r="J2244">
        <f>IF(F2244&gt;=I2244,"Action",IF(F2244&gt;=H2244,"Alert","Pass"))</f>
        <v/>
      </c>
      <c r="K2244" s="4">
        <f>DATE(YEAR(B2244),MONTH(B2244),1)</f>
        <v/>
      </c>
    </row>
    <row r="2245">
      <c r="A2245" t="inlineStr">
        <is>
          <t>EM002244</t>
        </is>
      </c>
      <c r="B2245" s="7" t="n">
        <v>46191</v>
      </c>
      <c r="C2245" t="inlineStr">
        <is>
          <t>CR-101</t>
        </is>
      </c>
      <c r="D2245" t="inlineStr">
        <is>
          <t>ISO 7</t>
        </is>
      </c>
      <c r="E2245" t="inlineStr">
        <is>
          <t>Surface contact</t>
        </is>
      </c>
      <c r="F2245" t="n">
        <v>1</v>
      </c>
      <c r="G2245" t="inlineStr">
        <is>
          <t>Tech C</t>
        </is>
      </c>
      <c r="H2245">
        <f>INDEX(Limits!$B$2:$B$5,MATCH(E2245,Limits!$A$2:$A$5,0))</f>
        <v/>
      </c>
      <c r="I2245">
        <f>INDEX(Limits!$C$2:$C$5,MATCH(E2245,Limits!$A$2:$A$5,0))</f>
        <v/>
      </c>
      <c r="J2245">
        <f>IF(F2245&gt;=I2245,"Action",IF(F2245&gt;=H2245,"Alert","Pass"))</f>
        <v/>
      </c>
      <c r="K2245" s="4">
        <f>DATE(YEAR(B2245),MONTH(B2245),1)</f>
        <v/>
      </c>
    </row>
    <row r="2246">
      <c r="A2246" t="inlineStr">
        <is>
          <t>EM002245</t>
        </is>
      </c>
      <c r="B2246" s="7" t="n">
        <v>46191</v>
      </c>
      <c r="C2246" t="inlineStr">
        <is>
          <t>CR-101</t>
        </is>
      </c>
      <c r="D2246" t="inlineStr">
        <is>
          <t>ISO 7</t>
        </is>
      </c>
      <c r="E2246" t="inlineStr">
        <is>
          <t>Compressed air</t>
        </is>
      </c>
      <c r="F2246" t="n">
        <v>0</v>
      </c>
      <c r="G2246" t="inlineStr">
        <is>
          <t>Tech A</t>
        </is>
      </c>
      <c r="H2246">
        <f>INDEX(Limits!$B$2:$B$5,MATCH(E2246,Limits!$A$2:$A$5,0))</f>
        <v/>
      </c>
      <c r="I2246">
        <f>INDEX(Limits!$C$2:$C$5,MATCH(E2246,Limits!$A$2:$A$5,0))</f>
        <v/>
      </c>
      <c r="J2246">
        <f>IF(F2246&gt;=I2246,"Action",IF(F2246&gt;=H2246,"Alert","Pass"))</f>
        <v/>
      </c>
      <c r="K2246" s="4">
        <f>DATE(YEAR(B2246),MONTH(B2246),1)</f>
        <v/>
      </c>
    </row>
    <row r="2247">
      <c r="A2247" t="inlineStr">
        <is>
          <t>EM002246</t>
        </is>
      </c>
      <c r="B2247" s="7" t="n">
        <v>46191</v>
      </c>
      <c r="C2247" t="inlineStr">
        <is>
          <t>CR-101</t>
        </is>
      </c>
      <c r="D2247" t="inlineStr">
        <is>
          <t>ISO 7</t>
        </is>
      </c>
      <c r="E2247" t="inlineStr">
        <is>
          <t>Personnel glove</t>
        </is>
      </c>
      <c r="F2247" t="n">
        <v>0</v>
      </c>
      <c r="G2247" t="inlineStr">
        <is>
          <t>Tech A</t>
        </is>
      </c>
      <c r="H2247">
        <f>INDEX(Limits!$B$2:$B$5,MATCH(E2247,Limits!$A$2:$A$5,0))</f>
        <v/>
      </c>
      <c r="I2247">
        <f>INDEX(Limits!$C$2:$C$5,MATCH(E2247,Limits!$A$2:$A$5,0))</f>
        <v/>
      </c>
      <c r="J2247">
        <f>IF(F2247&gt;=I2247,"Action",IF(F2247&gt;=H2247,"Alert","Pass"))</f>
        <v/>
      </c>
      <c r="K2247" s="4">
        <f>DATE(YEAR(B2247),MONTH(B2247),1)</f>
        <v/>
      </c>
    </row>
    <row r="2248">
      <c r="A2248" t="inlineStr">
        <is>
          <t>EM002247</t>
        </is>
      </c>
      <c r="B2248" s="7" t="n">
        <v>46191</v>
      </c>
      <c r="C2248" t="inlineStr">
        <is>
          <t>CR-102</t>
        </is>
      </c>
      <c r="D2248" t="inlineStr">
        <is>
          <t>ISO 7</t>
        </is>
      </c>
      <c r="E2248" t="inlineStr">
        <is>
          <t>Active air</t>
        </is>
      </c>
      <c r="F2248" t="n">
        <v>2</v>
      </c>
      <c r="G2248" t="inlineStr">
        <is>
          <t>Tech B</t>
        </is>
      </c>
      <c r="H2248">
        <f>INDEX(Limits!$B$2:$B$5,MATCH(E2248,Limits!$A$2:$A$5,0))</f>
        <v/>
      </c>
      <c r="I2248">
        <f>INDEX(Limits!$C$2:$C$5,MATCH(E2248,Limits!$A$2:$A$5,0))</f>
        <v/>
      </c>
      <c r="J2248">
        <f>IF(F2248&gt;=I2248,"Action",IF(F2248&gt;=H2248,"Alert","Pass"))</f>
        <v/>
      </c>
      <c r="K2248" s="4">
        <f>DATE(YEAR(B2248),MONTH(B2248),1)</f>
        <v/>
      </c>
    </row>
    <row r="2249">
      <c r="A2249" t="inlineStr">
        <is>
          <t>EM002248</t>
        </is>
      </c>
      <c r="B2249" s="7" t="n">
        <v>46191</v>
      </c>
      <c r="C2249" t="inlineStr">
        <is>
          <t>CR-102</t>
        </is>
      </c>
      <c r="D2249" t="inlineStr">
        <is>
          <t>ISO 7</t>
        </is>
      </c>
      <c r="E2249" t="inlineStr">
        <is>
          <t>Surface contact</t>
        </is>
      </c>
      <c r="F2249" t="n">
        <v>1</v>
      </c>
      <c r="G2249" t="inlineStr">
        <is>
          <t>Tech B</t>
        </is>
      </c>
      <c r="H2249">
        <f>INDEX(Limits!$B$2:$B$5,MATCH(E2249,Limits!$A$2:$A$5,0))</f>
        <v/>
      </c>
      <c r="I2249">
        <f>INDEX(Limits!$C$2:$C$5,MATCH(E2249,Limits!$A$2:$A$5,0))</f>
        <v/>
      </c>
      <c r="J2249">
        <f>IF(F2249&gt;=I2249,"Action",IF(F2249&gt;=H2249,"Alert","Pass"))</f>
        <v/>
      </c>
      <c r="K2249" s="4">
        <f>DATE(YEAR(B2249),MONTH(B2249),1)</f>
        <v/>
      </c>
    </row>
    <row r="2250">
      <c r="A2250" t="inlineStr">
        <is>
          <t>EM002249</t>
        </is>
      </c>
      <c r="B2250" s="7" t="n">
        <v>46191</v>
      </c>
      <c r="C2250" t="inlineStr">
        <is>
          <t>CR-102</t>
        </is>
      </c>
      <c r="D2250" t="inlineStr">
        <is>
          <t>ISO 7</t>
        </is>
      </c>
      <c r="E2250" t="inlineStr">
        <is>
          <t>Compressed air</t>
        </is>
      </c>
      <c r="F2250" t="n">
        <v>0</v>
      </c>
      <c r="G2250" t="inlineStr">
        <is>
          <t>Tech D</t>
        </is>
      </c>
      <c r="H2250">
        <f>INDEX(Limits!$B$2:$B$5,MATCH(E2250,Limits!$A$2:$A$5,0))</f>
        <v/>
      </c>
      <c r="I2250">
        <f>INDEX(Limits!$C$2:$C$5,MATCH(E2250,Limits!$A$2:$A$5,0))</f>
        <v/>
      </c>
      <c r="J2250">
        <f>IF(F2250&gt;=I2250,"Action",IF(F2250&gt;=H2250,"Alert","Pass"))</f>
        <v/>
      </c>
      <c r="K2250" s="4">
        <f>DATE(YEAR(B2250),MONTH(B2250),1)</f>
        <v/>
      </c>
    </row>
    <row r="2251">
      <c r="A2251" t="inlineStr">
        <is>
          <t>EM002250</t>
        </is>
      </c>
      <c r="B2251" s="7" t="n">
        <v>46191</v>
      </c>
      <c r="C2251" t="inlineStr">
        <is>
          <t>CR-102</t>
        </is>
      </c>
      <c r="D2251" t="inlineStr">
        <is>
          <t>ISO 7</t>
        </is>
      </c>
      <c r="E2251" t="inlineStr">
        <is>
          <t>Personnel glove</t>
        </is>
      </c>
      <c r="F2251" t="n">
        <v>0</v>
      </c>
      <c r="G2251" t="inlineStr">
        <is>
          <t>Tech D</t>
        </is>
      </c>
      <c r="H2251">
        <f>INDEX(Limits!$B$2:$B$5,MATCH(E2251,Limits!$A$2:$A$5,0))</f>
        <v/>
      </c>
      <c r="I2251">
        <f>INDEX(Limits!$C$2:$C$5,MATCH(E2251,Limits!$A$2:$A$5,0))</f>
        <v/>
      </c>
      <c r="J2251">
        <f>IF(F2251&gt;=I2251,"Action",IF(F2251&gt;=H2251,"Alert","Pass"))</f>
        <v/>
      </c>
      <c r="K2251" s="4">
        <f>DATE(YEAR(B2251),MONTH(B2251),1)</f>
        <v/>
      </c>
    </row>
    <row r="2252">
      <c r="A2252" t="inlineStr">
        <is>
          <t>EM002251</t>
        </is>
      </c>
      <c r="B2252" s="7" t="n">
        <v>46191</v>
      </c>
      <c r="C2252" t="inlineStr">
        <is>
          <t>CR-201</t>
        </is>
      </c>
      <c r="D2252" t="inlineStr">
        <is>
          <t>ISO 8</t>
        </is>
      </c>
      <c r="E2252" t="inlineStr">
        <is>
          <t>Active air</t>
        </is>
      </c>
      <c r="F2252" t="n">
        <v>1</v>
      </c>
      <c r="G2252" t="inlineStr">
        <is>
          <t>Tech A</t>
        </is>
      </c>
      <c r="H2252">
        <f>INDEX(Limits!$B$2:$B$5,MATCH(E2252,Limits!$A$2:$A$5,0))</f>
        <v/>
      </c>
      <c r="I2252">
        <f>INDEX(Limits!$C$2:$C$5,MATCH(E2252,Limits!$A$2:$A$5,0))</f>
        <v/>
      </c>
      <c r="J2252">
        <f>IF(F2252&gt;=I2252,"Action",IF(F2252&gt;=H2252,"Alert","Pass"))</f>
        <v/>
      </c>
      <c r="K2252" s="4">
        <f>DATE(YEAR(B2252),MONTH(B2252),1)</f>
        <v/>
      </c>
    </row>
    <row r="2253">
      <c r="A2253" t="inlineStr">
        <is>
          <t>EM002252</t>
        </is>
      </c>
      <c r="B2253" s="7" t="n">
        <v>46191</v>
      </c>
      <c r="C2253" t="inlineStr">
        <is>
          <t>CR-201</t>
        </is>
      </c>
      <c r="D2253" t="inlineStr">
        <is>
          <t>ISO 8</t>
        </is>
      </c>
      <c r="E2253" t="inlineStr">
        <is>
          <t>Surface contact</t>
        </is>
      </c>
      <c r="F2253" t="n">
        <v>0</v>
      </c>
      <c r="G2253" t="inlineStr">
        <is>
          <t>Tech C</t>
        </is>
      </c>
      <c r="H2253">
        <f>INDEX(Limits!$B$2:$B$5,MATCH(E2253,Limits!$A$2:$A$5,0))</f>
        <v/>
      </c>
      <c r="I2253">
        <f>INDEX(Limits!$C$2:$C$5,MATCH(E2253,Limits!$A$2:$A$5,0))</f>
        <v/>
      </c>
      <c r="J2253">
        <f>IF(F2253&gt;=I2253,"Action",IF(F2253&gt;=H2253,"Alert","Pass"))</f>
        <v/>
      </c>
      <c r="K2253" s="4">
        <f>DATE(YEAR(B2253),MONTH(B2253),1)</f>
        <v/>
      </c>
    </row>
    <row r="2254">
      <c r="A2254" t="inlineStr">
        <is>
          <t>EM002253</t>
        </is>
      </c>
      <c r="B2254" s="7" t="n">
        <v>46191</v>
      </c>
      <c r="C2254" t="inlineStr">
        <is>
          <t>CR-201</t>
        </is>
      </c>
      <c r="D2254" t="inlineStr">
        <is>
          <t>ISO 8</t>
        </is>
      </c>
      <c r="E2254" t="inlineStr">
        <is>
          <t>Compressed air</t>
        </is>
      </c>
      <c r="F2254" t="n">
        <v>0</v>
      </c>
      <c r="G2254" t="inlineStr">
        <is>
          <t>Tech B</t>
        </is>
      </c>
      <c r="H2254">
        <f>INDEX(Limits!$B$2:$B$5,MATCH(E2254,Limits!$A$2:$A$5,0))</f>
        <v/>
      </c>
      <c r="I2254">
        <f>INDEX(Limits!$C$2:$C$5,MATCH(E2254,Limits!$A$2:$A$5,0))</f>
        <v/>
      </c>
      <c r="J2254">
        <f>IF(F2254&gt;=I2254,"Action",IF(F2254&gt;=H2254,"Alert","Pass"))</f>
        <v/>
      </c>
      <c r="K2254" s="4">
        <f>DATE(YEAR(B2254),MONTH(B2254),1)</f>
        <v/>
      </c>
    </row>
    <row r="2255">
      <c r="A2255" t="inlineStr">
        <is>
          <t>EM002254</t>
        </is>
      </c>
      <c r="B2255" s="7" t="n">
        <v>46191</v>
      </c>
      <c r="C2255" t="inlineStr">
        <is>
          <t>CR-201</t>
        </is>
      </c>
      <c r="D2255" t="inlineStr">
        <is>
          <t>ISO 8</t>
        </is>
      </c>
      <c r="E2255" t="inlineStr">
        <is>
          <t>Personnel glove</t>
        </is>
      </c>
      <c r="F2255" t="n">
        <v>0</v>
      </c>
      <c r="G2255" t="inlineStr">
        <is>
          <t>Tech D</t>
        </is>
      </c>
      <c r="H2255">
        <f>INDEX(Limits!$B$2:$B$5,MATCH(E2255,Limits!$A$2:$A$5,0))</f>
        <v/>
      </c>
      <c r="I2255">
        <f>INDEX(Limits!$C$2:$C$5,MATCH(E2255,Limits!$A$2:$A$5,0))</f>
        <v/>
      </c>
      <c r="J2255">
        <f>IF(F2255&gt;=I2255,"Action",IF(F2255&gt;=H2255,"Alert","Pass"))</f>
        <v/>
      </c>
      <c r="K2255" s="4">
        <f>DATE(YEAR(B2255),MONTH(B2255),1)</f>
        <v/>
      </c>
    </row>
    <row r="2256">
      <c r="A2256" t="inlineStr">
        <is>
          <t>EM002255</t>
        </is>
      </c>
      <c r="B2256" s="7" t="n">
        <v>46191</v>
      </c>
      <c r="C2256" t="inlineStr">
        <is>
          <t>CR-202</t>
        </is>
      </c>
      <c r="D2256" t="inlineStr">
        <is>
          <t>ISO 8</t>
        </is>
      </c>
      <c r="E2256" t="inlineStr">
        <is>
          <t>Active air</t>
        </is>
      </c>
      <c r="F2256" t="n">
        <v>2</v>
      </c>
      <c r="G2256" t="inlineStr">
        <is>
          <t>Tech B</t>
        </is>
      </c>
      <c r="H2256">
        <f>INDEX(Limits!$B$2:$B$5,MATCH(E2256,Limits!$A$2:$A$5,0))</f>
        <v/>
      </c>
      <c r="I2256">
        <f>INDEX(Limits!$C$2:$C$5,MATCH(E2256,Limits!$A$2:$A$5,0))</f>
        <v/>
      </c>
      <c r="J2256">
        <f>IF(F2256&gt;=I2256,"Action",IF(F2256&gt;=H2256,"Alert","Pass"))</f>
        <v/>
      </c>
      <c r="K2256" s="4">
        <f>DATE(YEAR(B2256),MONTH(B2256),1)</f>
        <v/>
      </c>
    </row>
    <row r="2257">
      <c r="A2257" t="inlineStr">
        <is>
          <t>EM002256</t>
        </is>
      </c>
      <c r="B2257" s="7" t="n">
        <v>46191</v>
      </c>
      <c r="C2257" t="inlineStr">
        <is>
          <t>CR-202</t>
        </is>
      </c>
      <c r="D2257" t="inlineStr">
        <is>
          <t>ISO 8</t>
        </is>
      </c>
      <c r="E2257" t="inlineStr">
        <is>
          <t>Surface contact</t>
        </is>
      </c>
      <c r="F2257" t="n">
        <v>0</v>
      </c>
      <c r="G2257" t="inlineStr">
        <is>
          <t>Tech C</t>
        </is>
      </c>
      <c r="H2257">
        <f>INDEX(Limits!$B$2:$B$5,MATCH(E2257,Limits!$A$2:$A$5,0))</f>
        <v/>
      </c>
      <c r="I2257">
        <f>INDEX(Limits!$C$2:$C$5,MATCH(E2257,Limits!$A$2:$A$5,0))</f>
        <v/>
      </c>
      <c r="J2257">
        <f>IF(F2257&gt;=I2257,"Action",IF(F2257&gt;=H2257,"Alert","Pass"))</f>
        <v/>
      </c>
      <c r="K2257" s="4">
        <f>DATE(YEAR(B2257),MONTH(B2257),1)</f>
        <v/>
      </c>
    </row>
    <row r="2258">
      <c r="A2258" t="inlineStr">
        <is>
          <t>EM002257</t>
        </is>
      </c>
      <c r="B2258" s="7" t="n">
        <v>46191</v>
      </c>
      <c r="C2258" t="inlineStr">
        <is>
          <t>CR-202</t>
        </is>
      </c>
      <c r="D2258" t="inlineStr">
        <is>
          <t>ISO 8</t>
        </is>
      </c>
      <c r="E2258" t="inlineStr">
        <is>
          <t>Compressed air</t>
        </is>
      </c>
      <c r="F2258" t="n">
        <v>1</v>
      </c>
      <c r="G2258" t="inlineStr">
        <is>
          <t>Tech A</t>
        </is>
      </c>
      <c r="H2258">
        <f>INDEX(Limits!$B$2:$B$5,MATCH(E2258,Limits!$A$2:$A$5,0))</f>
        <v/>
      </c>
      <c r="I2258">
        <f>INDEX(Limits!$C$2:$C$5,MATCH(E2258,Limits!$A$2:$A$5,0))</f>
        <v/>
      </c>
      <c r="J2258">
        <f>IF(F2258&gt;=I2258,"Action",IF(F2258&gt;=H2258,"Alert","Pass"))</f>
        <v/>
      </c>
      <c r="K2258" s="4">
        <f>DATE(YEAR(B2258),MONTH(B2258),1)</f>
        <v/>
      </c>
    </row>
    <row r="2259">
      <c r="A2259" t="inlineStr">
        <is>
          <t>EM002258</t>
        </is>
      </c>
      <c r="B2259" s="7" t="n">
        <v>46191</v>
      </c>
      <c r="C2259" t="inlineStr">
        <is>
          <t>CR-202</t>
        </is>
      </c>
      <c r="D2259" t="inlineStr">
        <is>
          <t>ISO 8</t>
        </is>
      </c>
      <c r="E2259" t="inlineStr">
        <is>
          <t>Personnel glove</t>
        </is>
      </c>
      <c r="F2259" t="n">
        <v>0</v>
      </c>
      <c r="G2259" t="inlineStr">
        <is>
          <t>Tech C</t>
        </is>
      </c>
      <c r="H2259">
        <f>INDEX(Limits!$B$2:$B$5,MATCH(E2259,Limits!$A$2:$A$5,0))</f>
        <v/>
      </c>
      <c r="I2259">
        <f>INDEX(Limits!$C$2:$C$5,MATCH(E2259,Limits!$A$2:$A$5,0))</f>
        <v/>
      </c>
      <c r="J2259">
        <f>IF(F2259&gt;=I2259,"Action",IF(F2259&gt;=H2259,"Alert","Pass"))</f>
        <v/>
      </c>
      <c r="K2259" s="4">
        <f>DATE(YEAR(B2259),MONTH(B2259),1)</f>
        <v/>
      </c>
    </row>
    <row r="2260">
      <c r="A2260" t="inlineStr">
        <is>
          <t>EM002259</t>
        </is>
      </c>
      <c r="B2260" s="7" t="n">
        <v>46191</v>
      </c>
      <c r="C2260" t="inlineStr">
        <is>
          <t>Gowning</t>
        </is>
      </c>
      <c r="D2260" t="inlineStr">
        <is>
          <t>ISO 8</t>
        </is>
      </c>
      <c r="E2260" t="inlineStr">
        <is>
          <t>Active air</t>
        </is>
      </c>
      <c r="F2260" t="n">
        <v>0</v>
      </c>
      <c r="G2260" t="inlineStr">
        <is>
          <t>Tech B</t>
        </is>
      </c>
      <c r="H2260">
        <f>INDEX(Limits!$B$2:$B$5,MATCH(E2260,Limits!$A$2:$A$5,0))</f>
        <v/>
      </c>
      <c r="I2260">
        <f>INDEX(Limits!$C$2:$C$5,MATCH(E2260,Limits!$A$2:$A$5,0))</f>
        <v/>
      </c>
      <c r="J2260">
        <f>IF(F2260&gt;=I2260,"Action",IF(F2260&gt;=H2260,"Alert","Pass"))</f>
        <v/>
      </c>
      <c r="K2260" s="4">
        <f>DATE(YEAR(B2260),MONTH(B2260),1)</f>
        <v/>
      </c>
    </row>
    <row r="2261">
      <c r="A2261" t="inlineStr">
        <is>
          <t>EM002260</t>
        </is>
      </c>
      <c r="B2261" s="7" t="n">
        <v>46191</v>
      </c>
      <c r="C2261" t="inlineStr">
        <is>
          <t>Gowning</t>
        </is>
      </c>
      <c r="D2261" t="inlineStr">
        <is>
          <t>ISO 8</t>
        </is>
      </c>
      <c r="E2261" t="inlineStr">
        <is>
          <t>Surface contact</t>
        </is>
      </c>
      <c r="F2261" t="n">
        <v>2</v>
      </c>
      <c r="G2261" t="inlineStr">
        <is>
          <t>Tech B</t>
        </is>
      </c>
      <c r="H2261">
        <f>INDEX(Limits!$B$2:$B$5,MATCH(E2261,Limits!$A$2:$A$5,0))</f>
        <v/>
      </c>
      <c r="I2261">
        <f>INDEX(Limits!$C$2:$C$5,MATCH(E2261,Limits!$A$2:$A$5,0))</f>
        <v/>
      </c>
      <c r="J2261">
        <f>IF(F2261&gt;=I2261,"Action",IF(F2261&gt;=H2261,"Alert","Pass"))</f>
        <v/>
      </c>
      <c r="K2261" s="4">
        <f>DATE(YEAR(B2261),MONTH(B2261),1)</f>
        <v/>
      </c>
    </row>
    <row r="2262">
      <c r="A2262" t="inlineStr">
        <is>
          <t>EM002261</t>
        </is>
      </c>
      <c r="B2262" s="7" t="n">
        <v>46191</v>
      </c>
      <c r="C2262" t="inlineStr">
        <is>
          <t>Gowning</t>
        </is>
      </c>
      <c r="D2262" t="inlineStr">
        <is>
          <t>ISO 8</t>
        </is>
      </c>
      <c r="E2262" t="inlineStr">
        <is>
          <t>Personnel glove</t>
        </is>
      </c>
      <c r="F2262" t="n">
        <v>0</v>
      </c>
      <c r="G2262" t="inlineStr">
        <is>
          <t>Tech C</t>
        </is>
      </c>
      <c r="H2262">
        <f>INDEX(Limits!$B$2:$B$5,MATCH(E2262,Limits!$A$2:$A$5,0))</f>
        <v/>
      </c>
      <c r="I2262">
        <f>INDEX(Limits!$C$2:$C$5,MATCH(E2262,Limits!$A$2:$A$5,0))</f>
        <v/>
      </c>
      <c r="J2262">
        <f>IF(F2262&gt;=I2262,"Action",IF(F2262&gt;=H2262,"Alert","Pass"))</f>
        <v/>
      </c>
      <c r="K2262" s="4">
        <f>DATE(YEAR(B2262),MONTH(B2262),1)</f>
        <v/>
      </c>
    </row>
    <row r="2263">
      <c r="A2263" t="inlineStr">
        <is>
          <t>EM002262</t>
        </is>
      </c>
      <c r="B2263" s="7" t="n">
        <v>46192</v>
      </c>
      <c r="C2263" t="inlineStr">
        <is>
          <t>CR-101</t>
        </is>
      </c>
      <c r="D2263" t="inlineStr">
        <is>
          <t>ISO 7</t>
        </is>
      </c>
      <c r="E2263" t="inlineStr">
        <is>
          <t>Active air</t>
        </is>
      </c>
      <c r="F2263" t="n">
        <v>2</v>
      </c>
      <c r="G2263" t="inlineStr">
        <is>
          <t>Tech D</t>
        </is>
      </c>
      <c r="H2263">
        <f>INDEX(Limits!$B$2:$B$5,MATCH(E2263,Limits!$A$2:$A$5,0))</f>
        <v/>
      </c>
      <c r="I2263">
        <f>INDEX(Limits!$C$2:$C$5,MATCH(E2263,Limits!$A$2:$A$5,0))</f>
        <v/>
      </c>
      <c r="J2263">
        <f>IF(F2263&gt;=I2263,"Action",IF(F2263&gt;=H2263,"Alert","Pass"))</f>
        <v/>
      </c>
      <c r="K2263" s="4">
        <f>DATE(YEAR(B2263),MONTH(B2263),1)</f>
        <v/>
      </c>
    </row>
    <row r="2264">
      <c r="A2264" t="inlineStr">
        <is>
          <t>EM002263</t>
        </is>
      </c>
      <c r="B2264" s="7" t="n">
        <v>46192</v>
      </c>
      <c r="C2264" t="inlineStr">
        <is>
          <t>CR-101</t>
        </is>
      </c>
      <c r="D2264" t="inlineStr">
        <is>
          <t>ISO 7</t>
        </is>
      </c>
      <c r="E2264" t="inlineStr">
        <is>
          <t>Surface contact</t>
        </is>
      </c>
      <c r="F2264" t="n">
        <v>0</v>
      </c>
      <c r="G2264" t="inlineStr">
        <is>
          <t>Tech A</t>
        </is>
      </c>
      <c r="H2264">
        <f>INDEX(Limits!$B$2:$B$5,MATCH(E2264,Limits!$A$2:$A$5,0))</f>
        <v/>
      </c>
      <c r="I2264">
        <f>INDEX(Limits!$C$2:$C$5,MATCH(E2264,Limits!$A$2:$A$5,0))</f>
        <v/>
      </c>
      <c r="J2264">
        <f>IF(F2264&gt;=I2264,"Action",IF(F2264&gt;=H2264,"Alert","Pass"))</f>
        <v/>
      </c>
      <c r="K2264" s="4">
        <f>DATE(YEAR(B2264),MONTH(B2264),1)</f>
        <v/>
      </c>
    </row>
    <row r="2265">
      <c r="A2265" t="inlineStr">
        <is>
          <t>EM002264</t>
        </is>
      </c>
      <c r="B2265" s="7" t="n">
        <v>46192</v>
      </c>
      <c r="C2265" t="inlineStr">
        <is>
          <t>CR-101</t>
        </is>
      </c>
      <c r="D2265" t="inlineStr">
        <is>
          <t>ISO 7</t>
        </is>
      </c>
      <c r="E2265" t="inlineStr">
        <is>
          <t>Compressed air</t>
        </is>
      </c>
      <c r="F2265" t="n">
        <v>0</v>
      </c>
      <c r="G2265" t="inlineStr">
        <is>
          <t>Tech D</t>
        </is>
      </c>
      <c r="H2265">
        <f>INDEX(Limits!$B$2:$B$5,MATCH(E2265,Limits!$A$2:$A$5,0))</f>
        <v/>
      </c>
      <c r="I2265">
        <f>INDEX(Limits!$C$2:$C$5,MATCH(E2265,Limits!$A$2:$A$5,0))</f>
        <v/>
      </c>
      <c r="J2265">
        <f>IF(F2265&gt;=I2265,"Action",IF(F2265&gt;=H2265,"Alert","Pass"))</f>
        <v/>
      </c>
      <c r="K2265" s="4">
        <f>DATE(YEAR(B2265),MONTH(B2265),1)</f>
        <v/>
      </c>
    </row>
    <row r="2266">
      <c r="A2266" t="inlineStr">
        <is>
          <t>EM002265</t>
        </is>
      </c>
      <c r="B2266" s="7" t="n">
        <v>46192</v>
      </c>
      <c r="C2266" t="inlineStr">
        <is>
          <t>CR-101</t>
        </is>
      </c>
      <c r="D2266" t="inlineStr">
        <is>
          <t>ISO 7</t>
        </is>
      </c>
      <c r="E2266" t="inlineStr">
        <is>
          <t>Personnel glove</t>
        </is>
      </c>
      <c r="F2266" t="n">
        <v>0</v>
      </c>
      <c r="G2266" t="inlineStr">
        <is>
          <t>Tech C</t>
        </is>
      </c>
      <c r="H2266">
        <f>INDEX(Limits!$B$2:$B$5,MATCH(E2266,Limits!$A$2:$A$5,0))</f>
        <v/>
      </c>
      <c r="I2266">
        <f>INDEX(Limits!$C$2:$C$5,MATCH(E2266,Limits!$A$2:$A$5,0))</f>
        <v/>
      </c>
      <c r="J2266">
        <f>IF(F2266&gt;=I2266,"Action",IF(F2266&gt;=H2266,"Alert","Pass"))</f>
        <v/>
      </c>
      <c r="K2266" s="4">
        <f>DATE(YEAR(B2266),MONTH(B2266),1)</f>
        <v/>
      </c>
    </row>
    <row r="2267">
      <c r="A2267" t="inlineStr">
        <is>
          <t>EM002266</t>
        </is>
      </c>
      <c r="B2267" s="7" t="n">
        <v>46192</v>
      </c>
      <c r="C2267" t="inlineStr">
        <is>
          <t>CR-102</t>
        </is>
      </c>
      <c r="D2267" t="inlineStr">
        <is>
          <t>ISO 7</t>
        </is>
      </c>
      <c r="E2267" t="inlineStr">
        <is>
          <t>Active air</t>
        </is>
      </c>
      <c r="F2267" t="n">
        <v>3</v>
      </c>
      <c r="G2267" t="inlineStr">
        <is>
          <t>Tech C</t>
        </is>
      </c>
      <c r="H2267">
        <f>INDEX(Limits!$B$2:$B$5,MATCH(E2267,Limits!$A$2:$A$5,0))</f>
        <v/>
      </c>
      <c r="I2267">
        <f>INDEX(Limits!$C$2:$C$5,MATCH(E2267,Limits!$A$2:$A$5,0))</f>
        <v/>
      </c>
      <c r="J2267">
        <f>IF(F2267&gt;=I2267,"Action",IF(F2267&gt;=H2267,"Alert","Pass"))</f>
        <v/>
      </c>
      <c r="K2267" s="4">
        <f>DATE(YEAR(B2267),MONTH(B2267),1)</f>
        <v/>
      </c>
    </row>
    <row r="2268">
      <c r="A2268" t="inlineStr">
        <is>
          <t>EM002267</t>
        </is>
      </c>
      <c r="B2268" s="7" t="n">
        <v>46192</v>
      </c>
      <c r="C2268" t="inlineStr">
        <is>
          <t>CR-102</t>
        </is>
      </c>
      <c r="D2268" t="inlineStr">
        <is>
          <t>ISO 7</t>
        </is>
      </c>
      <c r="E2268" t="inlineStr">
        <is>
          <t>Surface contact</t>
        </is>
      </c>
      <c r="F2268" t="n">
        <v>1</v>
      </c>
      <c r="G2268" t="inlineStr">
        <is>
          <t>Tech D</t>
        </is>
      </c>
      <c r="H2268">
        <f>INDEX(Limits!$B$2:$B$5,MATCH(E2268,Limits!$A$2:$A$5,0))</f>
        <v/>
      </c>
      <c r="I2268">
        <f>INDEX(Limits!$C$2:$C$5,MATCH(E2268,Limits!$A$2:$A$5,0))</f>
        <v/>
      </c>
      <c r="J2268">
        <f>IF(F2268&gt;=I2268,"Action",IF(F2268&gt;=H2268,"Alert","Pass"))</f>
        <v/>
      </c>
      <c r="K2268" s="4">
        <f>DATE(YEAR(B2268),MONTH(B2268),1)</f>
        <v/>
      </c>
    </row>
    <row r="2269">
      <c r="A2269" t="inlineStr">
        <is>
          <t>EM002268</t>
        </is>
      </c>
      <c r="B2269" s="7" t="n">
        <v>46192</v>
      </c>
      <c r="C2269" t="inlineStr">
        <is>
          <t>CR-102</t>
        </is>
      </c>
      <c r="D2269" t="inlineStr">
        <is>
          <t>ISO 7</t>
        </is>
      </c>
      <c r="E2269" t="inlineStr">
        <is>
          <t>Compressed air</t>
        </is>
      </c>
      <c r="F2269" t="n">
        <v>0</v>
      </c>
      <c r="G2269" t="inlineStr">
        <is>
          <t>Tech C</t>
        </is>
      </c>
      <c r="H2269">
        <f>INDEX(Limits!$B$2:$B$5,MATCH(E2269,Limits!$A$2:$A$5,0))</f>
        <v/>
      </c>
      <c r="I2269">
        <f>INDEX(Limits!$C$2:$C$5,MATCH(E2269,Limits!$A$2:$A$5,0))</f>
        <v/>
      </c>
      <c r="J2269">
        <f>IF(F2269&gt;=I2269,"Action",IF(F2269&gt;=H2269,"Alert","Pass"))</f>
        <v/>
      </c>
      <c r="K2269" s="4">
        <f>DATE(YEAR(B2269),MONTH(B2269),1)</f>
        <v/>
      </c>
    </row>
    <row r="2270">
      <c r="A2270" t="inlineStr">
        <is>
          <t>EM002269</t>
        </is>
      </c>
      <c r="B2270" s="7" t="n">
        <v>46192</v>
      </c>
      <c r="C2270" t="inlineStr">
        <is>
          <t>CR-102</t>
        </is>
      </c>
      <c r="D2270" t="inlineStr">
        <is>
          <t>ISO 7</t>
        </is>
      </c>
      <c r="E2270" t="inlineStr">
        <is>
          <t>Personnel glove</t>
        </is>
      </c>
      <c r="F2270" t="n">
        <v>0</v>
      </c>
      <c r="G2270" t="inlineStr">
        <is>
          <t>Tech C</t>
        </is>
      </c>
      <c r="H2270">
        <f>INDEX(Limits!$B$2:$B$5,MATCH(E2270,Limits!$A$2:$A$5,0))</f>
        <v/>
      </c>
      <c r="I2270">
        <f>INDEX(Limits!$C$2:$C$5,MATCH(E2270,Limits!$A$2:$A$5,0))</f>
        <v/>
      </c>
      <c r="J2270">
        <f>IF(F2270&gt;=I2270,"Action",IF(F2270&gt;=H2270,"Alert","Pass"))</f>
        <v/>
      </c>
      <c r="K2270" s="4">
        <f>DATE(YEAR(B2270),MONTH(B2270),1)</f>
        <v/>
      </c>
    </row>
    <row r="2271">
      <c r="A2271" t="inlineStr">
        <is>
          <t>EM002270</t>
        </is>
      </c>
      <c r="B2271" s="7" t="n">
        <v>46192</v>
      </c>
      <c r="C2271" t="inlineStr">
        <is>
          <t>CR-201</t>
        </is>
      </c>
      <c r="D2271" t="inlineStr">
        <is>
          <t>ISO 8</t>
        </is>
      </c>
      <c r="E2271" t="inlineStr">
        <is>
          <t>Active air</t>
        </is>
      </c>
      <c r="F2271" t="n">
        <v>1</v>
      </c>
      <c r="G2271" t="inlineStr">
        <is>
          <t>Tech D</t>
        </is>
      </c>
      <c r="H2271">
        <f>INDEX(Limits!$B$2:$B$5,MATCH(E2271,Limits!$A$2:$A$5,0))</f>
        <v/>
      </c>
      <c r="I2271">
        <f>INDEX(Limits!$C$2:$C$5,MATCH(E2271,Limits!$A$2:$A$5,0))</f>
        <v/>
      </c>
      <c r="J2271">
        <f>IF(F2271&gt;=I2271,"Action",IF(F2271&gt;=H2271,"Alert","Pass"))</f>
        <v/>
      </c>
      <c r="K2271" s="4">
        <f>DATE(YEAR(B2271),MONTH(B2271),1)</f>
        <v/>
      </c>
    </row>
    <row r="2272">
      <c r="A2272" t="inlineStr">
        <is>
          <t>EM002271</t>
        </is>
      </c>
      <c r="B2272" s="7" t="n">
        <v>46192</v>
      </c>
      <c r="C2272" t="inlineStr">
        <is>
          <t>CR-201</t>
        </is>
      </c>
      <c r="D2272" t="inlineStr">
        <is>
          <t>ISO 8</t>
        </is>
      </c>
      <c r="E2272" t="inlineStr">
        <is>
          <t>Surface contact</t>
        </is>
      </c>
      <c r="F2272" t="n">
        <v>0</v>
      </c>
      <c r="G2272" t="inlineStr">
        <is>
          <t>Tech C</t>
        </is>
      </c>
      <c r="H2272">
        <f>INDEX(Limits!$B$2:$B$5,MATCH(E2272,Limits!$A$2:$A$5,0))</f>
        <v/>
      </c>
      <c r="I2272">
        <f>INDEX(Limits!$C$2:$C$5,MATCH(E2272,Limits!$A$2:$A$5,0))</f>
        <v/>
      </c>
      <c r="J2272">
        <f>IF(F2272&gt;=I2272,"Action",IF(F2272&gt;=H2272,"Alert","Pass"))</f>
        <v/>
      </c>
      <c r="K2272" s="4">
        <f>DATE(YEAR(B2272),MONTH(B2272),1)</f>
        <v/>
      </c>
    </row>
    <row r="2273">
      <c r="A2273" t="inlineStr">
        <is>
          <t>EM002272</t>
        </is>
      </c>
      <c r="B2273" s="7" t="n">
        <v>46192</v>
      </c>
      <c r="C2273" t="inlineStr">
        <is>
          <t>CR-201</t>
        </is>
      </c>
      <c r="D2273" t="inlineStr">
        <is>
          <t>ISO 8</t>
        </is>
      </c>
      <c r="E2273" t="inlineStr">
        <is>
          <t>Compressed air</t>
        </is>
      </c>
      <c r="F2273" t="n">
        <v>0</v>
      </c>
      <c r="G2273" t="inlineStr">
        <is>
          <t>Tech D</t>
        </is>
      </c>
      <c r="H2273">
        <f>INDEX(Limits!$B$2:$B$5,MATCH(E2273,Limits!$A$2:$A$5,0))</f>
        <v/>
      </c>
      <c r="I2273">
        <f>INDEX(Limits!$C$2:$C$5,MATCH(E2273,Limits!$A$2:$A$5,0))</f>
        <v/>
      </c>
      <c r="J2273">
        <f>IF(F2273&gt;=I2273,"Action",IF(F2273&gt;=H2273,"Alert","Pass"))</f>
        <v/>
      </c>
      <c r="K2273" s="4">
        <f>DATE(YEAR(B2273),MONTH(B2273),1)</f>
        <v/>
      </c>
    </row>
    <row r="2274">
      <c r="A2274" t="inlineStr">
        <is>
          <t>EM002273</t>
        </is>
      </c>
      <c r="B2274" s="7" t="n">
        <v>46192</v>
      </c>
      <c r="C2274" t="inlineStr">
        <is>
          <t>CR-201</t>
        </is>
      </c>
      <c r="D2274" t="inlineStr">
        <is>
          <t>ISO 8</t>
        </is>
      </c>
      <c r="E2274" t="inlineStr">
        <is>
          <t>Personnel glove</t>
        </is>
      </c>
      <c r="F2274" t="n">
        <v>0</v>
      </c>
      <c r="G2274" t="inlineStr">
        <is>
          <t>Tech C</t>
        </is>
      </c>
      <c r="H2274">
        <f>INDEX(Limits!$B$2:$B$5,MATCH(E2274,Limits!$A$2:$A$5,0))</f>
        <v/>
      </c>
      <c r="I2274">
        <f>INDEX(Limits!$C$2:$C$5,MATCH(E2274,Limits!$A$2:$A$5,0))</f>
        <v/>
      </c>
      <c r="J2274">
        <f>IF(F2274&gt;=I2274,"Action",IF(F2274&gt;=H2274,"Alert","Pass"))</f>
        <v/>
      </c>
      <c r="K2274" s="4">
        <f>DATE(YEAR(B2274),MONTH(B2274),1)</f>
        <v/>
      </c>
    </row>
    <row r="2275">
      <c r="A2275" t="inlineStr">
        <is>
          <t>EM002274</t>
        </is>
      </c>
      <c r="B2275" s="7" t="n">
        <v>46192</v>
      </c>
      <c r="C2275" t="inlineStr">
        <is>
          <t>CR-202</t>
        </is>
      </c>
      <c r="D2275" t="inlineStr">
        <is>
          <t>ISO 8</t>
        </is>
      </c>
      <c r="E2275" t="inlineStr">
        <is>
          <t>Active air</t>
        </is>
      </c>
      <c r="F2275" t="n">
        <v>3</v>
      </c>
      <c r="G2275" t="inlineStr">
        <is>
          <t>Tech C</t>
        </is>
      </c>
      <c r="H2275">
        <f>INDEX(Limits!$B$2:$B$5,MATCH(E2275,Limits!$A$2:$A$5,0))</f>
        <v/>
      </c>
      <c r="I2275">
        <f>INDEX(Limits!$C$2:$C$5,MATCH(E2275,Limits!$A$2:$A$5,0))</f>
        <v/>
      </c>
      <c r="J2275">
        <f>IF(F2275&gt;=I2275,"Action",IF(F2275&gt;=H2275,"Alert","Pass"))</f>
        <v/>
      </c>
      <c r="K2275" s="4">
        <f>DATE(YEAR(B2275),MONTH(B2275),1)</f>
        <v/>
      </c>
    </row>
    <row r="2276">
      <c r="A2276" t="inlineStr">
        <is>
          <t>EM002275</t>
        </is>
      </c>
      <c r="B2276" s="7" t="n">
        <v>46192</v>
      </c>
      <c r="C2276" t="inlineStr">
        <is>
          <t>CR-202</t>
        </is>
      </c>
      <c r="D2276" t="inlineStr">
        <is>
          <t>ISO 8</t>
        </is>
      </c>
      <c r="E2276" t="inlineStr">
        <is>
          <t>Surface contact</t>
        </is>
      </c>
      <c r="F2276" t="n">
        <v>0</v>
      </c>
      <c r="G2276" t="inlineStr">
        <is>
          <t>Tech D</t>
        </is>
      </c>
      <c r="H2276">
        <f>INDEX(Limits!$B$2:$B$5,MATCH(E2276,Limits!$A$2:$A$5,0))</f>
        <v/>
      </c>
      <c r="I2276">
        <f>INDEX(Limits!$C$2:$C$5,MATCH(E2276,Limits!$A$2:$A$5,0))</f>
        <v/>
      </c>
      <c r="J2276">
        <f>IF(F2276&gt;=I2276,"Action",IF(F2276&gt;=H2276,"Alert","Pass"))</f>
        <v/>
      </c>
      <c r="K2276" s="4">
        <f>DATE(YEAR(B2276),MONTH(B2276),1)</f>
        <v/>
      </c>
    </row>
    <row r="2277">
      <c r="A2277" t="inlineStr">
        <is>
          <t>EM002276</t>
        </is>
      </c>
      <c r="B2277" s="7" t="n">
        <v>46192</v>
      </c>
      <c r="C2277" t="inlineStr">
        <is>
          <t>CR-202</t>
        </is>
      </c>
      <c r="D2277" t="inlineStr">
        <is>
          <t>ISO 8</t>
        </is>
      </c>
      <c r="E2277" t="inlineStr">
        <is>
          <t>Compressed air</t>
        </is>
      </c>
      <c r="F2277" t="n">
        <v>0</v>
      </c>
      <c r="G2277" t="inlineStr">
        <is>
          <t>Tech B</t>
        </is>
      </c>
      <c r="H2277">
        <f>INDEX(Limits!$B$2:$B$5,MATCH(E2277,Limits!$A$2:$A$5,0))</f>
        <v/>
      </c>
      <c r="I2277">
        <f>INDEX(Limits!$C$2:$C$5,MATCH(E2277,Limits!$A$2:$A$5,0))</f>
        <v/>
      </c>
      <c r="J2277">
        <f>IF(F2277&gt;=I2277,"Action",IF(F2277&gt;=H2277,"Alert","Pass"))</f>
        <v/>
      </c>
      <c r="K2277" s="4">
        <f>DATE(YEAR(B2277),MONTH(B2277),1)</f>
        <v/>
      </c>
    </row>
    <row r="2278">
      <c r="A2278" t="inlineStr">
        <is>
          <t>EM002277</t>
        </is>
      </c>
      <c r="B2278" s="7" t="n">
        <v>46192</v>
      </c>
      <c r="C2278" t="inlineStr">
        <is>
          <t>CR-202</t>
        </is>
      </c>
      <c r="D2278" t="inlineStr">
        <is>
          <t>ISO 8</t>
        </is>
      </c>
      <c r="E2278" t="inlineStr">
        <is>
          <t>Personnel glove</t>
        </is>
      </c>
      <c r="F2278" t="n">
        <v>0</v>
      </c>
      <c r="G2278" t="inlineStr">
        <is>
          <t>Tech B</t>
        </is>
      </c>
      <c r="H2278">
        <f>INDEX(Limits!$B$2:$B$5,MATCH(E2278,Limits!$A$2:$A$5,0))</f>
        <v/>
      </c>
      <c r="I2278">
        <f>INDEX(Limits!$C$2:$C$5,MATCH(E2278,Limits!$A$2:$A$5,0))</f>
        <v/>
      </c>
      <c r="J2278">
        <f>IF(F2278&gt;=I2278,"Action",IF(F2278&gt;=H2278,"Alert","Pass"))</f>
        <v/>
      </c>
      <c r="K2278" s="4">
        <f>DATE(YEAR(B2278),MONTH(B2278),1)</f>
        <v/>
      </c>
    </row>
    <row r="2279">
      <c r="A2279" t="inlineStr">
        <is>
          <t>EM002278</t>
        </is>
      </c>
      <c r="B2279" s="7" t="n">
        <v>46192</v>
      </c>
      <c r="C2279" t="inlineStr">
        <is>
          <t>Gowning</t>
        </is>
      </c>
      <c r="D2279" t="inlineStr">
        <is>
          <t>ISO 8</t>
        </is>
      </c>
      <c r="E2279" t="inlineStr">
        <is>
          <t>Active air</t>
        </is>
      </c>
      <c r="F2279" t="n">
        <v>3</v>
      </c>
      <c r="G2279" t="inlineStr">
        <is>
          <t>Tech A</t>
        </is>
      </c>
      <c r="H2279">
        <f>INDEX(Limits!$B$2:$B$5,MATCH(E2279,Limits!$A$2:$A$5,0))</f>
        <v/>
      </c>
      <c r="I2279">
        <f>INDEX(Limits!$C$2:$C$5,MATCH(E2279,Limits!$A$2:$A$5,0))</f>
        <v/>
      </c>
      <c r="J2279">
        <f>IF(F2279&gt;=I2279,"Action",IF(F2279&gt;=H2279,"Alert","Pass"))</f>
        <v/>
      </c>
      <c r="K2279" s="4">
        <f>DATE(YEAR(B2279),MONTH(B2279),1)</f>
        <v/>
      </c>
    </row>
    <row r="2280">
      <c r="A2280" t="inlineStr">
        <is>
          <t>EM002279</t>
        </is>
      </c>
      <c r="B2280" s="7" t="n">
        <v>46192</v>
      </c>
      <c r="C2280" t="inlineStr">
        <is>
          <t>Gowning</t>
        </is>
      </c>
      <c r="D2280" t="inlineStr">
        <is>
          <t>ISO 8</t>
        </is>
      </c>
      <c r="E2280" t="inlineStr">
        <is>
          <t>Surface contact</t>
        </is>
      </c>
      <c r="F2280" t="n">
        <v>1</v>
      </c>
      <c r="G2280" t="inlineStr">
        <is>
          <t>Tech B</t>
        </is>
      </c>
      <c r="H2280">
        <f>INDEX(Limits!$B$2:$B$5,MATCH(E2280,Limits!$A$2:$A$5,0))</f>
        <v/>
      </c>
      <c r="I2280">
        <f>INDEX(Limits!$C$2:$C$5,MATCH(E2280,Limits!$A$2:$A$5,0))</f>
        <v/>
      </c>
      <c r="J2280">
        <f>IF(F2280&gt;=I2280,"Action",IF(F2280&gt;=H2280,"Alert","Pass"))</f>
        <v/>
      </c>
      <c r="K2280" s="4">
        <f>DATE(YEAR(B2280),MONTH(B2280),1)</f>
        <v/>
      </c>
    </row>
    <row r="2281">
      <c r="A2281" t="inlineStr">
        <is>
          <t>EM002280</t>
        </is>
      </c>
      <c r="B2281" s="7" t="n">
        <v>46192</v>
      </c>
      <c r="C2281" t="inlineStr">
        <is>
          <t>Gowning</t>
        </is>
      </c>
      <c r="D2281" t="inlineStr">
        <is>
          <t>ISO 8</t>
        </is>
      </c>
      <c r="E2281" t="inlineStr">
        <is>
          <t>Personnel glove</t>
        </is>
      </c>
      <c r="F2281" t="n">
        <v>0</v>
      </c>
      <c r="G2281" t="inlineStr">
        <is>
          <t>Tech A</t>
        </is>
      </c>
      <c r="H2281">
        <f>INDEX(Limits!$B$2:$B$5,MATCH(E2281,Limits!$A$2:$A$5,0))</f>
        <v/>
      </c>
      <c r="I2281">
        <f>INDEX(Limits!$C$2:$C$5,MATCH(E2281,Limits!$A$2:$A$5,0))</f>
        <v/>
      </c>
      <c r="J2281">
        <f>IF(F2281&gt;=I2281,"Action",IF(F2281&gt;=H2281,"Alert","Pass"))</f>
        <v/>
      </c>
      <c r="K2281" s="4">
        <f>DATE(YEAR(B2281),MONTH(B2281),1)</f>
        <v/>
      </c>
    </row>
    <row r="2282">
      <c r="A2282" t="inlineStr">
        <is>
          <t>EM002281</t>
        </is>
      </c>
      <c r="B2282" s="7" t="n">
        <v>46195</v>
      </c>
      <c r="C2282" t="inlineStr">
        <is>
          <t>CR-101</t>
        </is>
      </c>
      <c r="D2282" t="inlineStr">
        <is>
          <t>ISO 7</t>
        </is>
      </c>
      <c r="E2282" t="inlineStr">
        <is>
          <t>Active air</t>
        </is>
      </c>
      <c r="F2282" t="n">
        <v>0</v>
      </c>
      <c r="G2282" t="inlineStr">
        <is>
          <t>Tech C</t>
        </is>
      </c>
      <c r="H2282">
        <f>INDEX(Limits!$B$2:$B$5,MATCH(E2282,Limits!$A$2:$A$5,0))</f>
        <v/>
      </c>
      <c r="I2282">
        <f>INDEX(Limits!$C$2:$C$5,MATCH(E2282,Limits!$A$2:$A$5,0))</f>
        <v/>
      </c>
      <c r="J2282">
        <f>IF(F2282&gt;=I2282,"Action",IF(F2282&gt;=H2282,"Alert","Pass"))</f>
        <v/>
      </c>
      <c r="K2282" s="4">
        <f>DATE(YEAR(B2282),MONTH(B2282),1)</f>
        <v/>
      </c>
    </row>
    <row r="2283">
      <c r="A2283" t="inlineStr">
        <is>
          <t>EM002282</t>
        </is>
      </c>
      <c r="B2283" s="7" t="n">
        <v>46195</v>
      </c>
      <c r="C2283" t="inlineStr">
        <is>
          <t>CR-101</t>
        </is>
      </c>
      <c r="D2283" t="inlineStr">
        <is>
          <t>ISO 7</t>
        </is>
      </c>
      <c r="E2283" t="inlineStr">
        <is>
          <t>Surface contact</t>
        </is>
      </c>
      <c r="F2283" t="n">
        <v>1</v>
      </c>
      <c r="G2283" t="inlineStr">
        <is>
          <t>Tech C</t>
        </is>
      </c>
      <c r="H2283">
        <f>INDEX(Limits!$B$2:$B$5,MATCH(E2283,Limits!$A$2:$A$5,0))</f>
        <v/>
      </c>
      <c r="I2283">
        <f>INDEX(Limits!$C$2:$C$5,MATCH(E2283,Limits!$A$2:$A$5,0))</f>
        <v/>
      </c>
      <c r="J2283">
        <f>IF(F2283&gt;=I2283,"Action",IF(F2283&gt;=H2283,"Alert","Pass"))</f>
        <v/>
      </c>
      <c r="K2283" s="4">
        <f>DATE(YEAR(B2283),MONTH(B2283),1)</f>
        <v/>
      </c>
    </row>
    <row r="2284">
      <c r="A2284" t="inlineStr">
        <is>
          <t>EM002283</t>
        </is>
      </c>
      <c r="B2284" s="7" t="n">
        <v>46195</v>
      </c>
      <c r="C2284" t="inlineStr">
        <is>
          <t>CR-101</t>
        </is>
      </c>
      <c r="D2284" t="inlineStr">
        <is>
          <t>ISO 7</t>
        </is>
      </c>
      <c r="E2284" t="inlineStr">
        <is>
          <t>Compressed air</t>
        </is>
      </c>
      <c r="F2284" t="n">
        <v>0</v>
      </c>
      <c r="G2284" t="inlineStr">
        <is>
          <t>Tech C</t>
        </is>
      </c>
      <c r="H2284">
        <f>INDEX(Limits!$B$2:$B$5,MATCH(E2284,Limits!$A$2:$A$5,0))</f>
        <v/>
      </c>
      <c r="I2284">
        <f>INDEX(Limits!$C$2:$C$5,MATCH(E2284,Limits!$A$2:$A$5,0))</f>
        <v/>
      </c>
      <c r="J2284">
        <f>IF(F2284&gt;=I2284,"Action",IF(F2284&gt;=H2284,"Alert","Pass"))</f>
        <v/>
      </c>
      <c r="K2284" s="4">
        <f>DATE(YEAR(B2284),MONTH(B2284),1)</f>
        <v/>
      </c>
    </row>
    <row r="2285">
      <c r="A2285" t="inlineStr">
        <is>
          <t>EM002284</t>
        </is>
      </c>
      <c r="B2285" s="7" t="n">
        <v>46195</v>
      </c>
      <c r="C2285" t="inlineStr">
        <is>
          <t>CR-101</t>
        </is>
      </c>
      <c r="D2285" t="inlineStr">
        <is>
          <t>ISO 7</t>
        </is>
      </c>
      <c r="E2285" t="inlineStr">
        <is>
          <t>Personnel glove</t>
        </is>
      </c>
      <c r="F2285" t="n">
        <v>0</v>
      </c>
      <c r="G2285" t="inlineStr">
        <is>
          <t>Tech A</t>
        </is>
      </c>
      <c r="H2285">
        <f>INDEX(Limits!$B$2:$B$5,MATCH(E2285,Limits!$A$2:$A$5,0))</f>
        <v/>
      </c>
      <c r="I2285">
        <f>INDEX(Limits!$C$2:$C$5,MATCH(E2285,Limits!$A$2:$A$5,0))</f>
        <v/>
      </c>
      <c r="J2285">
        <f>IF(F2285&gt;=I2285,"Action",IF(F2285&gt;=H2285,"Alert","Pass"))</f>
        <v/>
      </c>
      <c r="K2285" s="4">
        <f>DATE(YEAR(B2285),MONTH(B2285),1)</f>
        <v/>
      </c>
    </row>
    <row r="2286">
      <c r="A2286" t="inlineStr">
        <is>
          <t>EM002285</t>
        </is>
      </c>
      <c r="B2286" s="7" t="n">
        <v>46195</v>
      </c>
      <c r="C2286" t="inlineStr">
        <is>
          <t>CR-102</t>
        </is>
      </c>
      <c r="D2286" t="inlineStr">
        <is>
          <t>ISO 7</t>
        </is>
      </c>
      <c r="E2286" t="inlineStr">
        <is>
          <t>Active air</t>
        </is>
      </c>
      <c r="F2286" t="n">
        <v>1</v>
      </c>
      <c r="G2286" t="inlineStr">
        <is>
          <t>Tech D</t>
        </is>
      </c>
      <c r="H2286">
        <f>INDEX(Limits!$B$2:$B$5,MATCH(E2286,Limits!$A$2:$A$5,0))</f>
        <v/>
      </c>
      <c r="I2286">
        <f>INDEX(Limits!$C$2:$C$5,MATCH(E2286,Limits!$A$2:$A$5,0))</f>
        <v/>
      </c>
      <c r="J2286">
        <f>IF(F2286&gt;=I2286,"Action",IF(F2286&gt;=H2286,"Alert","Pass"))</f>
        <v/>
      </c>
      <c r="K2286" s="4">
        <f>DATE(YEAR(B2286),MONTH(B2286),1)</f>
        <v/>
      </c>
    </row>
    <row r="2287">
      <c r="A2287" t="inlineStr">
        <is>
          <t>EM002286</t>
        </is>
      </c>
      <c r="B2287" s="7" t="n">
        <v>46195</v>
      </c>
      <c r="C2287" t="inlineStr">
        <is>
          <t>CR-102</t>
        </is>
      </c>
      <c r="D2287" t="inlineStr">
        <is>
          <t>ISO 7</t>
        </is>
      </c>
      <c r="E2287" t="inlineStr">
        <is>
          <t>Surface contact</t>
        </is>
      </c>
      <c r="F2287" t="n">
        <v>0</v>
      </c>
      <c r="G2287" t="inlineStr">
        <is>
          <t>Tech B</t>
        </is>
      </c>
      <c r="H2287">
        <f>INDEX(Limits!$B$2:$B$5,MATCH(E2287,Limits!$A$2:$A$5,0))</f>
        <v/>
      </c>
      <c r="I2287">
        <f>INDEX(Limits!$C$2:$C$5,MATCH(E2287,Limits!$A$2:$A$5,0))</f>
        <v/>
      </c>
      <c r="J2287">
        <f>IF(F2287&gt;=I2287,"Action",IF(F2287&gt;=H2287,"Alert","Pass"))</f>
        <v/>
      </c>
      <c r="K2287" s="4">
        <f>DATE(YEAR(B2287),MONTH(B2287),1)</f>
        <v/>
      </c>
    </row>
    <row r="2288">
      <c r="A2288" t="inlineStr">
        <is>
          <t>EM002287</t>
        </is>
      </c>
      <c r="B2288" s="7" t="n">
        <v>46195</v>
      </c>
      <c r="C2288" t="inlineStr">
        <is>
          <t>CR-102</t>
        </is>
      </c>
      <c r="D2288" t="inlineStr">
        <is>
          <t>ISO 7</t>
        </is>
      </c>
      <c r="E2288" t="inlineStr">
        <is>
          <t>Compressed air</t>
        </is>
      </c>
      <c r="F2288" t="n">
        <v>0</v>
      </c>
      <c r="G2288" t="inlineStr">
        <is>
          <t>Tech D</t>
        </is>
      </c>
      <c r="H2288">
        <f>INDEX(Limits!$B$2:$B$5,MATCH(E2288,Limits!$A$2:$A$5,0))</f>
        <v/>
      </c>
      <c r="I2288">
        <f>INDEX(Limits!$C$2:$C$5,MATCH(E2288,Limits!$A$2:$A$5,0))</f>
        <v/>
      </c>
      <c r="J2288">
        <f>IF(F2288&gt;=I2288,"Action",IF(F2288&gt;=H2288,"Alert","Pass"))</f>
        <v/>
      </c>
      <c r="K2288" s="4">
        <f>DATE(YEAR(B2288),MONTH(B2288),1)</f>
        <v/>
      </c>
    </row>
    <row r="2289">
      <c r="A2289" t="inlineStr">
        <is>
          <t>EM002288</t>
        </is>
      </c>
      <c r="B2289" s="7" t="n">
        <v>46195</v>
      </c>
      <c r="C2289" t="inlineStr">
        <is>
          <t>CR-102</t>
        </is>
      </c>
      <c r="D2289" t="inlineStr">
        <is>
          <t>ISO 7</t>
        </is>
      </c>
      <c r="E2289" t="inlineStr">
        <is>
          <t>Personnel glove</t>
        </is>
      </c>
      <c r="F2289" t="n">
        <v>0</v>
      </c>
      <c r="G2289" t="inlineStr">
        <is>
          <t>Tech C</t>
        </is>
      </c>
      <c r="H2289">
        <f>INDEX(Limits!$B$2:$B$5,MATCH(E2289,Limits!$A$2:$A$5,0))</f>
        <v/>
      </c>
      <c r="I2289">
        <f>INDEX(Limits!$C$2:$C$5,MATCH(E2289,Limits!$A$2:$A$5,0))</f>
        <v/>
      </c>
      <c r="J2289">
        <f>IF(F2289&gt;=I2289,"Action",IF(F2289&gt;=H2289,"Alert","Pass"))</f>
        <v/>
      </c>
      <c r="K2289" s="4">
        <f>DATE(YEAR(B2289),MONTH(B2289),1)</f>
        <v/>
      </c>
    </row>
    <row r="2290">
      <c r="A2290" t="inlineStr">
        <is>
          <t>EM002289</t>
        </is>
      </c>
      <c r="B2290" s="7" t="n">
        <v>46195</v>
      </c>
      <c r="C2290" t="inlineStr">
        <is>
          <t>CR-201</t>
        </is>
      </c>
      <c r="D2290" t="inlineStr">
        <is>
          <t>ISO 8</t>
        </is>
      </c>
      <c r="E2290" t="inlineStr">
        <is>
          <t>Active air</t>
        </is>
      </c>
      <c r="F2290" t="n">
        <v>1</v>
      </c>
      <c r="G2290" t="inlineStr">
        <is>
          <t>Tech D</t>
        </is>
      </c>
      <c r="H2290">
        <f>INDEX(Limits!$B$2:$B$5,MATCH(E2290,Limits!$A$2:$A$5,0))</f>
        <v/>
      </c>
      <c r="I2290">
        <f>INDEX(Limits!$C$2:$C$5,MATCH(E2290,Limits!$A$2:$A$5,0))</f>
        <v/>
      </c>
      <c r="J2290">
        <f>IF(F2290&gt;=I2290,"Action",IF(F2290&gt;=H2290,"Alert","Pass"))</f>
        <v/>
      </c>
      <c r="K2290" s="4">
        <f>DATE(YEAR(B2290),MONTH(B2290),1)</f>
        <v/>
      </c>
    </row>
    <row r="2291">
      <c r="A2291" t="inlineStr">
        <is>
          <t>EM002290</t>
        </is>
      </c>
      <c r="B2291" s="7" t="n">
        <v>46195</v>
      </c>
      <c r="C2291" t="inlineStr">
        <is>
          <t>CR-201</t>
        </is>
      </c>
      <c r="D2291" t="inlineStr">
        <is>
          <t>ISO 8</t>
        </is>
      </c>
      <c r="E2291" t="inlineStr">
        <is>
          <t>Surface contact</t>
        </is>
      </c>
      <c r="F2291" t="n">
        <v>0</v>
      </c>
      <c r="G2291" t="inlineStr">
        <is>
          <t>Tech C</t>
        </is>
      </c>
      <c r="H2291">
        <f>INDEX(Limits!$B$2:$B$5,MATCH(E2291,Limits!$A$2:$A$5,0))</f>
        <v/>
      </c>
      <c r="I2291">
        <f>INDEX(Limits!$C$2:$C$5,MATCH(E2291,Limits!$A$2:$A$5,0))</f>
        <v/>
      </c>
      <c r="J2291">
        <f>IF(F2291&gt;=I2291,"Action",IF(F2291&gt;=H2291,"Alert","Pass"))</f>
        <v/>
      </c>
      <c r="K2291" s="4">
        <f>DATE(YEAR(B2291),MONTH(B2291),1)</f>
        <v/>
      </c>
    </row>
    <row r="2292">
      <c r="A2292" t="inlineStr">
        <is>
          <t>EM002291</t>
        </is>
      </c>
      <c r="B2292" s="7" t="n">
        <v>46195</v>
      </c>
      <c r="C2292" t="inlineStr">
        <is>
          <t>CR-201</t>
        </is>
      </c>
      <c r="D2292" t="inlineStr">
        <is>
          <t>ISO 8</t>
        </is>
      </c>
      <c r="E2292" t="inlineStr">
        <is>
          <t>Compressed air</t>
        </is>
      </c>
      <c r="F2292" t="n">
        <v>0</v>
      </c>
      <c r="G2292" t="inlineStr">
        <is>
          <t>Tech B</t>
        </is>
      </c>
      <c r="H2292">
        <f>INDEX(Limits!$B$2:$B$5,MATCH(E2292,Limits!$A$2:$A$5,0))</f>
        <v/>
      </c>
      <c r="I2292">
        <f>INDEX(Limits!$C$2:$C$5,MATCH(E2292,Limits!$A$2:$A$5,0))</f>
        <v/>
      </c>
      <c r="J2292">
        <f>IF(F2292&gt;=I2292,"Action",IF(F2292&gt;=H2292,"Alert","Pass"))</f>
        <v/>
      </c>
      <c r="K2292" s="4">
        <f>DATE(YEAR(B2292),MONTH(B2292),1)</f>
        <v/>
      </c>
    </row>
    <row r="2293">
      <c r="A2293" t="inlineStr">
        <is>
          <t>EM002292</t>
        </is>
      </c>
      <c r="B2293" s="7" t="n">
        <v>46195</v>
      </c>
      <c r="C2293" t="inlineStr">
        <is>
          <t>CR-201</t>
        </is>
      </c>
      <c r="D2293" t="inlineStr">
        <is>
          <t>ISO 8</t>
        </is>
      </c>
      <c r="E2293" t="inlineStr">
        <is>
          <t>Personnel glove</t>
        </is>
      </c>
      <c r="F2293" t="n">
        <v>0</v>
      </c>
      <c r="G2293" t="inlineStr">
        <is>
          <t>Tech B</t>
        </is>
      </c>
      <c r="H2293">
        <f>INDEX(Limits!$B$2:$B$5,MATCH(E2293,Limits!$A$2:$A$5,0))</f>
        <v/>
      </c>
      <c r="I2293">
        <f>INDEX(Limits!$C$2:$C$5,MATCH(E2293,Limits!$A$2:$A$5,0))</f>
        <v/>
      </c>
      <c r="J2293">
        <f>IF(F2293&gt;=I2293,"Action",IF(F2293&gt;=H2293,"Alert","Pass"))</f>
        <v/>
      </c>
      <c r="K2293" s="4">
        <f>DATE(YEAR(B2293),MONTH(B2293),1)</f>
        <v/>
      </c>
    </row>
    <row r="2294">
      <c r="A2294" t="inlineStr">
        <is>
          <t>EM002293</t>
        </is>
      </c>
      <c r="B2294" s="7" t="n">
        <v>46195</v>
      </c>
      <c r="C2294" t="inlineStr">
        <is>
          <t>CR-202</t>
        </is>
      </c>
      <c r="D2294" t="inlineStr">
        <is>
          <t>ISO 8</t>
        </is>
      </c>
      <c r="E2294" t="inlineStr">
        <is>
          <t>Active air</t>
        </is>
      </c>
      <c r="F2294" t="n">
        <v>2</v>
      </c>
      <c r="G2294" t="inlineStr">
        <is>
          <t>Tech B</t>
        </is>
      </c>
      <c r="H2294">
        <f>INDEX(Limits!$B$2:$B$5,MATCH(E2294,Limits!$A$2:$A$5,0))</f>
        <v/>
      </c>
      <c r="I2294">
        <f>INDEX(Limits!$C$2:$C$5,MATCH(E2294,Limits!$A$2:$A$5,0))</f>
        <v/>
      </c>
      <c r="J2294">
        <f>IF(F2294&gt;=I2294,"Action",IF(F2294&gt;=H2294,"Alert","Pass"))</f>
        <v/>
      </c>
      <c r="K2294" s="4">
        <f>DATE(YEAR(B2294),MONTH(B2294),1)</f>
        <v/>
      </c>
    </row>
    <row r="2295">
      <c r="A2295" t="inlineStr">
        <is>
          <t>EM002294</t>
        </is>
      </c>
      <c r="B2295" s="7" t="n">
        <v>46195</v>
      </c>
      <c r="C2295" t="inlineStr">
        <is>
          <t>CR-202</t>
        </is>
      </c>
      <c r="D2295" t="inlineStr">
        <is>
          <t>ISO 8</t>
        </is>
      </c>
      <c r="E2295" t="inlineStr">
        <is>
          <t>Surface contact</t>
        </is>
      </c>
      <c r="F2295" t="n">
        <v>1</v>
      </c>
      <c r="G2295" t="inlineStr">
        <is>
          <t>Tech A</t>
        </is>
      </c>
      <c r="H2295">
        <f>INDEX(Limits!$B$2:$B$5,MATCH(E2295,Limits!$A$2:$A$5,0))</f>
        <v/>
      </c>
      <c r="I2295">
        <f>INDEX(Limits!$C$2:$C$5,MATCH(E2295,Limits!$A$2:$A$5,0))</f>
        <v/>
      </c>
      <c r="J2295">
        <f>IF(F2295&gt;=I2295,"Action",IF(F2295&gt;=H2295,"Alert","Pass"))</f>
        <v/>
      </c>
      <c r="K2295" s="4">
        <f>DATE(YEAR(B2295),MONTH(B2295),1)</f>
        <v/>
      </c>
    </row>
    <row r="2296">
      <c r="A2296" t="inlineStr">
        <is>
          <t>EM002295</t>
        </is>
      </c>
      <c r="B2296" s="7" t="n">
        <v>46195</v>
      </c>
      <c r="C2296" t="inlineStr">
        <is>
          <t>CR-202</t>
        </is>
      </c>
      <c r="D2296" t="inlineStr">
        <is>
          <t>ISO 8</t>
        </is>
      </c>
      <c r="E2296" t="inlineStr">
        <is>
          <t>Compressed air</t>
        </is>
      </c>
      <c r="F2296" t="n">
        <v>0</v>
      </c>
      <c r="G2296" t="inlineStr">
        <is>
          <t>Tech B</t>
        </is>
      </c>
      <c r="H2296">
        <f>INDEX(Limits!$B$2:$B$5,MATCH(E2296,Limits!$A$2:$A$5,0))</f>
        <v/>
      </c>
      <c r="I2296">
        <f>INDEX(Limits!$C$2:$C$5,MATCH(E2296,Limits!$A$2:$A$5,0))</f>
        <v/>
      </c>
      <c r="J2296">
        <f>IF(F2296&gt;=I2296,"Action",IF(F2296&gt;=H2296,"Alert","Pass"))</f>
        <v/>
      </c>
      <c r="K2296" s="4">
        <f>DATE(YEAR(B2296),MONTH(B2296),1)</f>
        <v/>
      </c>
    </row>
    <row r="2297">
      <c r="A2297" t="inlineStr">
        <is>
          <t>EM002296</t>
        </is>
      </c>
      <c r="B2297" s="7" t="n">
        <v>46195</v>
      </c>
      <c r="C2297" t="inlineStr">
        <is>
          <t>CR-202</t>
        </is>
      </c>
      <c r="D2297" t="inlineStr">
        <is>
          <t>ISO 8</t>
        </is>
      </c>
      <c r="E2297" t="inlineStr">
        <is>
          <t>Personnel glove</t>
        </is>
      </c>
      <c r="F2297" t="n">
        <v>0</v>
      </c>
      <c r="G2297" t="inlineStr">
        <is>
          <t>Tech A</t>
        </is>
      </c>
      <c r="H2297">
        <f>INDEX(Limits!$B$2:$B$5,MATCH(E2297,Limits!$A$2:$A$5,0))</f>
        <v/>
      </c>
      <c r="I2297">
        <f>INDEX(Limits!$C$2:$C$5,MATCH(E2297,Limits!$A$2:$A$5,0))</f>
        <v/>
      </c>
      <c r="J2297">
        <f>IF(F2297&gt;=I2297,"Action",IF(F2297&gt;=H2297,"Alert","Pass"))</f>
        <v/>
      </c>
      <c r="K2297" s="4">
        <f>DATE(YEAR(B2297),MONTH(B2297),1)</f>
        <v/>
      </c>
    </row>
    <row r="2298">
      <c r="A2298" t="inlineStr">
        <is>
          <t>EM002297</t>
        </is>
      </c>
      <c r="B2298" s="7" t="n">
        <v>46195</v>
      </c>
      <c r="C2298" t="inlineStr">
        <is>
          <t>Gowning</t>
        </is>
      </c>
      <c r="D2298" t="inlineStr">
        <is>
          <t>ISO 8</t>
        </is>
      </c>
      <c r="E2298" t="inlineStr">
        <is>
          <t>Active air</t>
        </is>
      </c>
      <c r="F2298" t="n">
        <v>1</v>
      </c>
      <c r="G2298" t="inlineStr">
        <is>
          <t>Tech D</t>
        </is>
      </c>
      <c r="H2298">
        <f>INDEX(Limits!$B$2:$B$5,MATCH(E2298,Limits!$A$2:$A$5,0))</f>
        <v/>
      </c>
      <c r="I2298">
        <f>INDEX(Limits!$C$2:$C$5,MATCH(E2298,Limits!$A$2:$A$5,0))</f>
        <v/>
      </c>
      <c r="J2298">
        <f>IF(F2298&gt;=I2298,"Action",IF(F2298&gt;=H2298,"Alert","Pass"))</f>
        <v/>
      </c>
      <c r="K2298" s="4">
        <f>DATE(YEAR(B2298),MONTH(B2298),1)</f>
        <v/>
      </c>
    </row>
    <row r="2299">
      <c r="A2299" t="inlineStr">
        <is>
          <t>EM002298</t>
        </is>
      </c>
      <c r="B2299" s="7" t="n">
        <v>46195</v>
      </c>
      <c r="C2299" t="inlineStr">
        <is>
          <t>Gowning</t>
        </is>
      </c>
      <c r="D2299" t="inlineStr">
        <is>
          <t>ISO 8</t>
        </is>
      </c>
      <c r="E2299" t="inlineStr">
        <is>
          <t>Surface contact</t>
        </is>
      </c>
      <c r="F2299" t="n">
        <v>2</v>
      </c>
      <c r="G2299" t="inlineStr">
        <is>
          <t>Tech A</t>
        </is>
      </c>
      <c r="H2299">
        <f>INDEX(Limits!$B$2:$B$5,MATCH(E2299,Limits!$A$2:$A$5,0))</f>
        <v/>
      </c>
      <c r="I2299">
        <f>INDEX(Limits!$C$2:$C$5,MATCH(E2299,Limits!$A$2:$A$5,0))</f>
        <v/>
      </c>
      <c r="J2299">
        <f>IF(F2299&gt;=I2299,"Action",IF(F2299&gt;=H2299,"Alert","Pass"))</f>
        <v/>
      </c>
      <c r="K2299" s="4">
        <f>DATE(YEAR(B2299),MONTH(B2299),1)</f>
        <v/>
      </c>
    </row>
    <row r="2300">
      <c r="A2300" t="inlineStr">
        <is>
          <t>EM002299</t>
        </is>
      </c>
      <c r="B2300" s="7" t="n">
        <v>46195</v>
      </c>
      <c r="C2300" t="inlineStr">
        <is>
          <t>Gowning</t>
        </is>
      </c>
      <c r="D2300" t="inlineStr">
        <is>
          <t>ISO 8</t>
        </is>
      </c>
      <c r="E2300" t="inlineStr">
        <is>
          <t>Personnel glove</t>
        </is>
      </c>
      <c r="F2300" t="n">
        <v>0</v>
      </c>
      <c r="G2300" t="inlineStr">
        <is>
          <t>Tech A</t>
        </is>
      </c>
      <c r="H2300">
        <f>INDEX(Limits!$B$2:$B$5,MATCH(E2300,Limits!$A$2:$A$5,0))</f>
        <v/>
      </c>
      <c r="I2300">
        <f>INDEX(Limits!$C$2:$C$5,MATCH(E2300,Limits!$A$2:$A$5,0))</f>
        <v/>
      </c>
      <c r="J2300">
        <f>IF(F2300&gt;=I2300,"Action",IF(F2300&gt;=H2300,"Alert","Pass"))</f>
        <v/>
      </c>
      <c r="K2300" s="4">
        <f>DATE(YEAR(B2300),MONTH(B2300),1)</f>
        <v/>
      </c>
    </row>
    <row r="2301">
      <c r="A2301" t="inlineStr">
        <is>
          <t>EM002300</t>
        </is>
      </c>
      <c r="B2301" s="7" t="n">
        <v>46196</v>
      </c>
      <c r="C2301" t="inlineStr">
        <is>
          <t>CR-101</t>
        </is>
      </c>
      <c r="D2301" t="inlineStr">
        <is>
          <t>ISO 7</t>
        </is>
      </c>
      <c r="E2301" t="inlineStr">
        <is>
          <t>Active air</t>
        </is>
      </c>
      <c r="F2301" t="n">
        <v>2</v>
      </c>
      <c r="G2301" t="inlineStr">
        <is>
          <t>Tech C</t>
        </is>
      </c>
      <c r="H2301">
        <f>INDEX(Limits!$B$2:$B$5,MATCH(E2301,Limits!$A$2:$A$5,0))</f>
        <v/>
      </c>
      <c r="I2301">
        <f>INDEX(Limits!$C$2:$C$5,MATCH(E2301,Limits!$A$2:$A$5,0))</f>
        <v/>
      </c>
      <c r="J2301">
        <f>IF(F2301&gt;=I2301,"Action",IF(F2301&gt;=H2301,"Alert","Pass"))</f>
        <v/>
      </c>
      <c r="K2301" s="4">
        <f>DATE(YEAR(B2301),MONTH(B2301),1)</f>
        <v/>
      </c>
    </row>
    <row r="2302">
      <c r="A2302" t="inlineStr">
        <is>
          <t>EM002301</t>
        </is>
      </c>
      <c r="B2302" s="7" t="n">
        <v>46196</v>
      </c>
      <c r="C2302" t="inlineStr">
        <is>
          <t>CR-101</t>
        </is>
      </c>
      <c r="D2302" t="inlineStr">
        <is>
          <t>ISO 7</t>
        </is>
      </c>
      <c r="E2302" t="inlineStr">
        <is>
          <t>Surface contact</t>
        </is>
      </c>
      <c r="F2302" t="n">
        <v>1</v>
      </c>
      <c r="G2302" t="inlineStr">
        <is>
          <t>Tech D</t>
        </is>
      </c>
      <c r="H2302">
        <f>INDEX(Limits!$B$2:$B$5,MATCH(E2302,Limits!$A$2:$A$5,0))</f>
        <v/>
      </c>
      <c r="I2302">
        <f>INDEX(Limits!$C$2:$C$5,MATCH(E2302,Limits!$A$2:$A$5,0))</f>
        <v/>
      </c>
      <c r="J2302">
        <f>IF(F2302&gt;=I2302,"Action",IF(F2302&gt;=H2302,"Alert","Pass"))</f>
        <v/>
      </c>
      <c r="K2302" s="4">
        <f>DATE(YEAR(B2302),MONTH(B2302),1)</f>
        <v/>
      </c>
    </row>
    <row r="2303">
      <c r="A2303" t="inlineStr">
        <is>
          <t>EM002302</t>
        </is>
      </c>
      <c r="B2303" s="7" t="n">
        <v>46196</v>
      </c>
      <c r="C2303" t="inlineStr">
        <is>
          <t>CR-101</t>
        </is>
      </c>
      <c r="D2303" t="inlineStr">
        <is>
          <t>ISO 7</t>
        </is>
      </c>
      <c r="E2303" t="inlineStr">
        <is>
          <t>Compressed air</t>
        </is>
      </c>
      <c r="F2303" t="n">
        <v>0</v>
      </c>
      <c r="G2303" t="inlineStr">
        <is>
          <t>Tech D</t>
        </is>
      </c>
      <c r="H2303">
        <f>INDEX(Limits!$B$2:$B$5,MATCH(E2303,Limits!$A$2:$A$5,0))</f>
        <v/>
      </c>
      <c r="I2303">
        <f>INDEX(Limits!$C$2:$C$5,MATCH(E2303,Limits!$A$2:$A$5,0))</f>
        <v/>
      </c>
      <c r="J2303">
        <f>IF(F2303&gt;=I2303,"Action",IF(F2303&gt;=H2303,"Alert","Pass"))</f>
        <v/>
      </c>
      <c r="K2303" s="4">
        <f>DATE(YEAR(B2303),MONTH(B2303),1)</f>
        <v/>
      </c>
    </row>
    <row r="2304">
      <c r="A2304" t="inlineStr">
        <is>
          <t>EM002303</t>
        </is>
      </c>
      <c r="B2304" s="7" t="n">
        <v>46196</v>
      </c>
      <c r="C2304" t="inlineStr">
        <is>
          <t>CR-101</t>
        </is>
      </c>
      <c r="D2304" t="inlineStr">
        <is>
          <t>ISO 7</t>
        </is>
      </c>
      <c r="E2304" t="inlineStr">
        <is>
          <t>Personnel glove</t>
        </is>
      </c>
      <c r="F2304" t="n">
        <v>0</v>
      </c>
      <c r="G2304" t="inlineStr">
        <is>
          <t>Tech B</t>
        </is>
      </c>
      <c r="H2304">
        <f>INDEX(Limits!$B$2:$B$5,MATCH(E2304,Limits!$A$2:$A$5,0))</f>
        <v/>
      </c>
      <c r="I2304">
        <f>INDEX(Limits!$C$2:$C$5,MATCH(E2304,Limits!$A$2:$A$5,0))</f>
        <v/>
      </c>
      <c r="J2304">
        <f>IF(F2304&gt;=I2304,"Action",IF(F2304&gt;=H2304,"Alert","Pass"))</f>
        <v/>
      </c>
      <c r="K2304" s="4">
        <f>DATE(YEAR(B2304),MONTH(B2304),1)</f>
        <v/>
      </c>
    </row>
    <row r="2305">
      <c r="A2305" t="inlineStr">
        <is>
          <t>EM002304</t>
        </is>
      </c>
      <c r="B2305" s="7" t="n">
        <v>46196</v>
      </c>
      <c r="C2305" t="inlineStr">
        <is>
          <t>CR-102</t>
        </is>
      </c>
      <c r="D2305" t="inlineStr">
        <is>
          <t>ISO 7</t>
        </is>
      </c>
      <c r="E2305" t="inlineStr">
        <is>
          <t>Active air</t>
        </is>
      </c>
      <c r="F2305" t="n">
        <v>0</v>
      </c>
      <c r="G2305" t="inlineStr">
        <is>
          <t>Tech B</t>
        </is>
      </c>
      <c r="H2305">
        <f>INDEX(Limits!$B$2:$B$5,MATCH(E2305,Limits!$A$2:$A$5,0))</f>
        <v/>
      </c>
      <c r="I2305">
        <f>INDEX(Limits!$C$2:$C$5,MATCH(E2305,Limits!$A$2:$A$5,0))</f>
        <v/>
      </c>
      <c r="J2305">
        <f>IF(F2305&gt;=I2305,"Action",IF(F2305&gt;=H2305,"Alert","Pass"))</f>
        <v/>
      </c>
      <c r="K2305" s="4">
        <f>DATE(YEAR(B2305),MONTH(B2305),1)</f>
        <v/>
      </c>
    </row>
    <row r="2306">
      <c r="A2306" t="inlineStr">
        <is>
          <t>EM002305</t>
        </is>
      </c>
      <c r="B2306" s="7" t="n">
        <v>46196</v>
      </c>
      <c r="C2306" t="inlineStr">
        <is>
          <t>CR-102</t>
        </is>
      </c>
      <c r="D2306" t="inlineStr">
        <is>
          <t>ISO 7</t>
        </is>
      </c>
      <c r="E2306" t="inlineStr">
        <is>
          <t>Surface contact</t>
        </is>
      </c>
      <c r="F2306" t="n">
        <v>0</v>
      </c>
      <c r="G2306" t="inlineStr">
        <is>
          <t>Tech B</t>
        </is>
      </c>
      <c r="H2306">
        <f>INDEX(Limits!$B$2:$B$5,MATCH(E2306,Limits!$A$2:$A$5,0))</f>
        <v/>
      </c>
      <c r="I2306">
        <f>INDEX(Limits!$C$2:$C$5,MATCH(E2306,Limits!$A$2:$A$5,0))</f>
        <v/>
      </c>
      <c r="J2306">
        <f>IF(F2306&gt;=I2306,"Action",IF(F2306&gt;=H2306,"Alert","Pass"))</f>
        <v/>
      </c>
      <c r="K2306" s="4">
        <f>DATE(YEAR(B2306),MONTH(B2306),1)</f>
        <v/>
      </c>
    </row>
    <row r="2307">
      <c r="A2307" t="inlineStr">
        <is>
          <t>EM002306</t>
        </is>
      </c>
      <c r="B2307" s="7" t="n">
        <v>46196</v>
      </c>
      <c r="C2307" t="inlineStr">
        <is>
          <t>CR-102</t>
        </is>
      </c>
      <c r="D2307" t="inlineStr">
        <is>
          <t>ISO 7</t>
        </is>
      </c>
      <c r="E2307" t="inlineStr">
        <is>
          <t>Compressed air</t>
        </is>
      </c>
      <c r="F2307" t="n">
        <v>0</v>
      </c>
      <c r="G2307" t="inlineStr">
        <is>
          <t>Tech C</t>
        </is>
      </c>
      <c r="H2307">
        <f>INDEX(Limits!$B$2:$B$5,MATCH(E2307,Limits!$A$2:$A$5,0))</f>
        <v/>
      </c>
      <c r="I2307">
        <f>INDEX(Limits!$C$2:$C$5,MATCH(E2307,Limits!$A$2:$A$5,0))</f>
        <v/>
      </c>
      <c r="J2307">
        <f>IF(F2307&gt;=I2307,"Action",IF(F2307&gt;=H2307,"Alert","Pass"))</f>
        <v/>
      </c>
      <c r="K2307" s="4">
        <f>DATE(YEAR(B2307),MONTH(B2307),1)</f>
        <v/>
      </c>
    </row>
    <row r="2308">
      <c r="A2308" t="inlineStr">
        <is>
          <t>EM002307</t>
        </is>
      </c>
      <c r="B2308" s="7" t="n">
        <v>46196</v>
      </c>
      <c r="C2308" t="inlineStr">
        <is>
          <t>CR-102</t>
        </is>
      </c>
      <c r="D2308" t="inlineStr">
        <is>
          <t>ISO 7</t>
        </is>
      </c>
      <c r="E2308" t="inlineStr">
        <is>
          <t>Personnel glove</t>
        </is>
      </c>
      <c r="F2308" t="n">
        <v>0</v>
      </c>
      <c r="G2308" t="inlineStr">
        <is>
          <t>Tech A</t>
        </is>
      </c>
      <c r="H2308">
        <f>INDEX(Limits!$B$2:$B$5,MATCH(E2308,Limits!$A$2:$A$5,0))</f>
        <v/>
      </c>
      <c r="I2308">
        <f>INDEX(Limits!$C$2:$C$5,MATCH(E2308,Limits!$A$2:$A$5,0))</f>
        <v/>
      </c>
      <c r="J2308">
        <f>IF(F2308&gt;=I2308,"Action",IF(F2308&gt;=H2308,"Alert","Pass"))</f>
        <v/>
      </c>
      <c r="K2308" s="4">
        <f>DATE(YEAR(B2308),MONTH(B2308),1)</f>
        <v/>
      </c>
    </row>
    <row r="2309">
      <c r="A2309" t="inlineStr">
        <is>
          <t>EM002308</t>
        </is>
      </c>
      <c r="B2309" s="7" t="n">
        <v>46196</v>
      </c>
      <c r="C2309" t="inlineStr">
        <is>
          <t>CR-201</t>
        </is>
      </c>
      <c r="D2309" t="inlineStr">
        <is>
          <t>ISO 8</t>
        </is>
      </c>
      <c r="E2309" t="inlineStr">
        <is>
          <t>Active air</t>
        </is>
      </c>
      <c r="F2309" t="n">
        <v>1</v>
      </c>
      <c r="G2309" t="inlineStr">
        <is>
          <t>Tech A</t>
        </is>
      </c>
      <c r="H2309">
        <f>INDEX(Limits!$B$2:$B$5,MATCH(E2309,Limits!$A$2:$A$5,0))</f>
        <v/>
      </c>
      <c r="I2309">
        <f>INDEX(Limits!$C$2:$C$5,MATCH(E2309,Limits!$A$2:$A$5,0))</f>
        <v/>
      </c>
      <c r="J2309">
        <f>IF(F2309&gt;=I2309,"Action",IF(F2309&gt;=H2309,"Alert","Pass"))</f>
        <v/>
      </c>
      <c r="K2309" s="4">
        <f>DATE(YEAR(B2309),MONTH(B2309),1)</f>
        <v/>
      </c>
    </row>
    <row r="2310">
      <c r="A2310" t="inlineStr">
        <is>
          <t>EM002309</t>
        </is>
      </c>
      <c r="B2310" s="7" t="n">
        <v>46196</v>
      </c>
      <c r="C2310" t="inlineStr">
        <is>
          <t>CR-201</t>
        </is>
      </c>
      <c r="D2310" t="inlineStr">
        <is>
          <t>ISO 8</t>
        </is>
      </c>
      <c r="E2310" t="inlineStr">
        <is>
          <t>Surface contact</t>
        </is>
      </c>
      <c r="F2310" t="n">
        <v>2</v>
      </c>
      <c r="G2310" t="inlineStr">
        <is>
          <t>Tech A</t>
        </is>
      </c>
      <c r="H2310">
        <f>INDEX(Limits!$B$2:$B$5,MATCH(E2310,Limits!$A$2:$A$5,0))</f>
        <v/>
      </c>
      <c r="I2310">
        <f>INDEX(Limits!$C$2:$C$5,MATCH(E2310,Limits!$A$2:$A$5,0))</f>
        <v/>
      </c>
      <c r="J2310">
        <f>IF(F2310&gt;=I2310,"Action",IF(F2310&gt;=H2310,"Alert","Pass"))</f>
        <v/>
      </c>
      <c r="K2310" s="4">
        <f>DATE(YEAR(B2310),MONTH(B2310),1)</f>
        <v/>
      </c>
    </row>
    <row r="2311">
      <c r="A2311" t="inlineStr">
        <is>
          <t>EM002310</t>
        </is>
      </c>
      <c r="B2311" s="7" t="n">
        <v>46196</v>
      </c>
      <c r="C2311" t="inlineStr">
        <is>
          <t>CR-201</t>
        </is>
      </c>
      <c r="D2311" t="inlineStr">
        <is>
          <t>ISO 8</t>
        </is>
      </c>
      <c r="E2311" t="inlineStr">
        <is>
          <t>Compressed air</t>
        </is>
      </c>
      <c r="F2311" t="n">
        <v>0</v>
      </c>
      <c r="G2311" t="inlineStr">
        <is>
          <t>Tech C</t>
        </is>
      </c>
      <c r="H2311">
        <f>INDEX(Limits!$B$2:$B$5,MATCH(E2311,Limits!$A$2:$A$5,0))</f>
        <v/>
      </c>
      <c r="I2311">
        <f>INDEX(Limits!$C$2:$C$5,MATCH(E2311,Limits!$A$2:$A$5,0))</f>
        <v/>
      </c>
      <c r="J2311">
        <f>IF(F2311&gt;=I2311,"Action",IF(F2311&gt;=H2311,"Alert","Pass"))</f>
        <v/>
      </c>
      <c r="K2311" s="4">
        <f>DATE(YEAR(B2311),MONTH(B2311),1)</f>
        <v/>
      </c>
    </row>
    <row r="2312">
      <c r="A2312" t="inlineStr">
        <is>
          <t>EM002311</t>
        </is>
      </c>
      <c r="B2312" s="7" t="n">
        <v>46196</v>
      </c>
      <c r="C2312" t="inlineStr">
        <is>
          <t>CR-201</t>
        </is>
      </c>
      <c r="D2312" t="inlineStr">
        <is>
          <t>ISO 8</t>
        </is>
      </c>
      <c r="E2312" t="inlineStr">
        <is>
          <t>Personnel glove</t>
        </is>
      </c>
      <c r="F2312" t="n">
        <v>0</v>
      </c>
      <c r="G2312" t="inlineStr">
        <is>
          <t>Tech D</t>
        </is>
      </c>
      <c r="H2312">
        <f>INDEX(Limits!$B$2:$B$5,MATCH(E2312,Limits!$A$2:$A$5,0))</f>
        <v/>
      </c>
      <c r="I2312">
        <f>INDEX(Limits!$C$2:$C$5,MATCH(E2312,Limits!$A$2:$A$5,0))</f>
        <v/>
      </c>
      <c r="J2312">
        <f>IF(F2312&gt;=I2312,"Action",IF(F2312&gt;=H2312,"Alert","Pass"))</f>
        <v/>
      </c>
      <c r="K2312" s="4">
        <f>DATE(YEAR(B2312),MONTH(B2312),1)</f>
        <v/>
      </c>
    </row>
    <row r="2313">
      <c r="A2313" t="inlineStr">
        <is>
          <t>EM002312</t>
        </is>
      </c>
      <c r="B2313" s="7" t="n">
        <v>46196</v>
      </c>
      <c r="C2313" t="inlineStr">
        <is>
          <t>CR-202</t>
        </is>
      </c>
      <c r="D2313" t="inlineStr">
        <is>
          <t>ISO 8</t>
        </is>
      </c>
      <c r="E2313" t="inlineStr">
        <is>
          <t>Active air</t>
        </is>
      </c>
      <c r="F2313" t="n">
        <v>2</v>
      </c>
      <c r="G2313" t="inlineStr">
        <is>
          <t>Tech A</t>
        </is>
      </c>
      <c r="H2313">
        <f>INDEX(Limits!$B$2:$B$5,MATCH(E2313,Limits!$A$2:$A$5,0))</f>
        <v/>
      </c>
      <c r="I2313">
        <f>INDEX(Limits!$C$2:$C$5,MATCH(E2313,Limits!$A$2:$A$5,0))</f>
        <v/>
      </c>
      <c r="J2313">
        <f>IF(F2313&gt;=I2313,"Action",IF(F2313&gt;=H2313,"Alert","Pass"))</f>
        <v/>
      </c>
      <c r="K2313" s="4">
        <f>DATE(YEAR(B2313),MONTH(B2313),1)</f>
        <v/>
      </c>
    </row>
    <row r="2314">
      <c r="A2314" t="inlineStr">
        <is>
          <t>EM002313</t>
        </is>
      </c>
      <c r="B2314" s="7" t="n">
        <v>46196</v>
      </c>
      <c r="C2314" t="inlineStr">
        <is>
          <t>CR-202</t>
        </is>
      </c>
      <c r="D2314" t="inlineStr">
        <is>
          <t>ISO 8</t>
        </is>
      </c>
      <c r="E2314" t="inlineStr">
        <is>
          <t>Surface contact</t>
        </is>
      </c>
      <c r="F2314" t="n">
        <v>0</v>
      </c>
      <c r="G2314" t="inlineStr">
        <is>
          <t>Tech A</t>
        </is>
      </c>
      <c r="H2314">
        <f>INDEX(Limits!$B$2:$B$5,MATCH(E2314,Limits!$A$2:$A$5,0))</f>
        <v/>
      </c>
      <c r="I2314">
        <f>INDEX(Limits!$C$2:$C$5,MATCH(E2314,Limits!$A$2:$A$5,0))</f>
        <v/>
      </c>
      <c r="J2314">
        <f>IF(F2314&gt;=I2314,"Action",IF(F2314&gt;=H2314,"Alert","Pass"))</f>
        <v/>
      </c>
      <c r="K2314" s="4">
        <f>DATE(YEAR(B2314),MONTH(B2314),1)</f>
        <v/>
      </c>
    </row>
    <row r="2315">
      <c r="A2315" t="inlineStr">
        <is>
          <t>EM002314</t>
        </is>
      </c>
      <c r="B2315" s="7" t="n">
        <v>46196</v>
      </c>
      <c r="C2315" t="inlineStr">
        <is>
          <t>CR-202</t>
        </is>
      </c>
      <c r="D2315" t="inlineStr">
        <is>
          <t>ISO 8</t>
        </is>
      </c>
      <c r="E2315" t="inlineStr">
        <is>
          <t>Compressed air</t>
        </is>
      </c>
      <c r="F2315" t="n">
        <v>1</v>
      </c>
      <c r="G2315" t="inlineStr">
        <is>
          <t>Tech B</t>
        </is>
      </c>
      <c r="H2315">
        <f>INDEX(Limits!$B$2:$B$5,MATCH(E2315,Limits!$A$2:$A$5,0))</f>
        <v/>
      </c>
      <c r="I2315">
        <f>INDEX(Limits!$C$2:$C$5,MATCH(E2315,Limits!$A$2:$A$5,0))</f>
        <v/>
      </c>
      <c r="J2315">
        <f>IF(F2315&gt;=I2315,"Action",IF(F2315&gt;=H2315,"Alert","Pass"))</f>
        <v/>
      </c>
      <c r="K2315" s="4">
        <f>DATE(YEAR(B2315),MONTH(B2315),1)</f>
        <v/>
      </c>
    </row>
    <row r="2316">
      <c r="A2316" t="inlineStr">
        <is>
          <t>EM002315</t>
        </is>
      </c>
      <c r="B2316" s="7" t="n">
        <v>46196</v>
      </c>
      <c r="C2316" t="inlineStr">
        <is>
          <t>CR-202</t>
        </is>
      </c>
      <c r="D2316" t="inlineStr">
        <is>
          <t>ISO 8</t>
        </is>
      </c>
      <c r="E2316" t="inlineStr">
        <is>
          <t>Personnel glove</t>
        </is>
      </c>
      <c r="F2316" t="n">
        <v>0</v>
      </c>
      <c r="G2316" t="inlineStr">
        <is>
          <t>Tech C</t>
        </is>
      </c>
      <c r="H2316">
        <f>INDEX(Limits!$B$2:$B$5,MATCH(E2316,Limits!$A$2:$A$5,0))</f>
        <v/>
      </c>
      <c r="I2316">
        <f>INDEX(Limits!$C$2:$C$5,MATCH(E2316,Limits!$A$2:$A$5,0))</f>
        <v/>
      </c>
      <c r="J2316">
        <f>IF(F2316&gt;=I2316,"Action",IF(F2316&gt;=H2316,"Alert","Pass"))</f>
        <v/>
      </c>
      <c r="K2316" s="4">
        <f>DATE(YEAR(B2316),MONTH(B2316),1)</f>
        <v/>
      </c>
    </row>
    <row r="2317">
      <c r="A2317" t="inlineStr">
        <is>
          <t>EM002316</t>
        </is>
      </c>
      <c r="B2317" s="7" t="n">
        <v>46196</v>
      </c>
      <c r="C2317" t="inlineStr">
        <is>
          <t>Gowning</t>
        </is>
      </c>
      <c r="D2317" t="inlineStr">
        <is>
          <t>ISO 8</t>
        </is>
      </c>
      <c r="E2317" t="inlineStr">
        <is>
          <t>Active air</t>
        </is>
      </c>
      <c r="F2317" t="n">
        <v>2</v>
      </c>
      <c r="G2317" t="inlineStr">
        <is>
          <t>Tech A</t>
        </is>
      </c>
      <c r="H2317">
        <f>INDEX(Limits!$B$2:$B$5,MATCH(E2317,Limits!$A$2:$A$5,0))</f>
        <v/>
      </c>
      <c r="I2317">
        <f>INDEX(Limits!$C$2:$C$5,MATCH(E2317,Limits!$A$2:$A$5,0))</f>
        <v/>
      </c>
      <c r="J2317">
        <f>IF(F2317&gt;=I2317,"Action",IF(F2317&gt;=H2317,"Alert","Pass"))</f>
        <v/>
      </c>
      <c r="K2317" s="4">
        <f>DATE(YEAR(B2317),MONTH(B2317),1)</f>
        <v/>
      </c>
    </row>
    <row r="2318">
      <c r="A2318" t="inlineStr">
        <is>
          <t>EM002317</t>
        </is>
      </c>
      <c r="B2318" s="7" t="n">
        <v>46196</v>
      </c>
      <c r="C2318" t="inlineStr">
        <is>
          <t>Gowning</t>
        </is>
      </c>
      <c r="D2318" t="inlineStr">
        <is>
          <t>ISO 8</t>
        </is>
      </c>
      <c r="E2318" t="inlineStr">
        <is>
          <t>Surface contact</t>
        </is>
      </c>
      <c r="F2318" t="n">
        <v>0</v>
      </c>
      <c r="G2318" t="inlineStr">
        <is>
          <t>Tech A</t>
        </is>
      </c>
      <c r="H2318">
        <f>INDEX(Limits!$B$2:$B$5,MATCH(E2318,Limits!$A$2:$A$5,0))</f>
        <v/>
      </c>
      <c r="I2318">
        <f>INDEX(Limits!$C$2:$C$5,MATCH(E2318,Limits!$A$2:$A$5,0))</f>
        <v/>
      </c>
      <c r="J2318">
        <f>IF(F2318&gt;=I2318,"Action",IF(F2318&gt;=H2318,"Alert","Pass"))</f>
        <v/>
      </c>
      <c r="K2318" s="4">
        <f>DATE(YEAR(B2318),MONTH(B2318),1)</f>
        <v/>
      </c>
    </row>
    <row r="2319">
      <c r="A2319" t="inlineStr">
        <is>
          <t>EM002318</t>
        </is>
      </c>
      <c r="B2319" s="7" t="n">
        <v>46196</v>
      </c>
      <c r="C2319" t="inlineStr">
        <is>
          <t>Gowning</t>
        </is>
      </c>
      <c r="D2319" t="inlineStr">
        <is>
          <t>ISO 8</t>
        </is>
      </c>
      <c r="E2319" t="inlineStr">
        <is>
          <t>Personnel glove</t>
        </is>
      </c>
      <c r="F2319" t="n">
        <v>0</v>
      </c>
      <c r="G2319" t="inlineStr">
        <is>
          <t>Tech C</t>
        </is>
      </c>
      <c r="H2319">
        <f>INDEX(Limits!$B$2:$B$5,MATCH(E2319,Limits!$A$2:$A$5,0))</f>
        <v/>
      </c>
      <c r="I2319">
        <f>INDEX(Limits!$C$2:$C$5,MATCH(E2319,Limits!$A$2:$A$5,0))</f>
        <v/>
      </c>
      <c r="J2319">
        <f>IF(F2319&gt;=I2319,"Action",IF(F2319&gt;=H2319,"Alert","Pass"))</f>
        <v/>
      </c>
      <c r="K2319" s="4">
        <f>DATE(YEAR(B2319),MONTH(B2319),1)</f>
        <v/>
      </c>
    </row>
    <row r="2320">
      <c r="A2320" t="inlineStr">
        <is>
          <t>EM002319</t>
        </is>
      </c>
      <c r="B2320" s="7" t="n">
        <v>46197</v>
      </c>
      <c r="C2320" t="inlineStr">
        <is>
          <t>CR-101</t>
        </is>
      </c>
      <c r="D2320" t="inlineStr">
        <is>
          <t>ISO 7</t>
        </is>
      </c>
      <c r="E2320" t="inlineStr">
        <is>
          <t>Active air</t>
        </is>
      </c>
      <c r="F2320" t="n">
        <v>0</v>
      </c>
      <c r="G2320" t="inlineStr">
        <is>
          <t>Tech D</t>
        </is>
      </c>
      <c r="H2320">
        <f>INDEX(Limits!$B$2:$B$5,MATCH(E2320,Limits!$A$2:$A$5,0))</f>
        <v/>
      </c>
      <c r="I2320">
        <f>INDEX(Limits!$C$2:$C$5,MATCH(E2320,Limits!$A$2:$A$5,0))</f>
        <v/>
      </c>
      <c r="J2320">
        <f>IF(F2320&gt;=I2320,"Action",IF(F2320&gt;=H2320,"Alert","Pass"))</f>
        <v/>
      </c>
      <c r="K2320" s="4">
        <f>DATE(YEAR(B2320),MONTH(B2320),1)</f>
        <v/>
      </c>
    </row>
    <row r="2321">
      <c r="A2321" t="inlineStr">
        <is>
          <t>EM002320</t>
        </is>
      </c>
      <c r="B2321" s="7" t="n">
        <v>46197</v>
      </c>
      <c r="C2321" t="inlineStr">
        <is>
          <t>CR-101</t>
        </is>
      </c>
      <c r="D2321" t="inlineStr">
        <is>
          <t>ISO 7</t>
        </is>
      </c>
      <c r="E2321" t="inlineStr">
        <is>
          <t>Surface contact</t>
        </is>
      </c>
      <c r="F2321" t="n">
        <v>1</v>
      </c>
      <c r="G2321" t="inlineStr">
        <is>
          <t>Tech A</t>
        </is>
      </c>
      <c r="H2321">
        <f>INDEX(Limits!$B$2:$B$5,MATCH(E2321,Limits!$A$2:$A$5,0))</f>
        <v/>
      </c>
      <c r="I2321">
        <f>INDEX(Limits!$C$2:$C$5,MATCH(E2321,Limits!$A$2:$A$5,0))</f>
        <v/>
      </c>
      <c r="J2321">
        <f>IF(F2321&gt;=I2321,"Action",IF(F2321&gt;=H2321,"Alert","Pass"))</f>
        <v/>
      </c>
      <c r="K2321" s="4">
        <f>DATE(YEAR(B2321),MONTH(B2321),1)</f>
        <v/>
      </c>
    </row>
    <row r="2322">
      <c r="A2322" t="inlineStr">
        <is>
          <t>EM002321</t>
        </is>
      </c>
      <c r="B2322" s="7" t="n">
        <v>46197</v>
      </c>
      <c r="C2322" t="inlineStr">
        <is>
          <t>CR-101</t>
        </is>
      </c>
      <c r="D2322" t="inlineStr">
        <is>
          <t>ISO 7</t>
        </is>
      </c>
      <c r="E2322" t="inlineStr">
        <is>
          <t>Compressed air</t>
        </is>
      </c>
      <c r="F2322" t="n">
        <v>0</v>
      </c>
      <c r="G2322" t="inlineStr">
        <is>
          <t>Tech B</t>
        </is>
      </c>
      <c r="H2322">
        <f>INDEX(Limits!$B$2:$B$5,MATCH(E2322,Limits!$A$2:$A$5,0))</f>
        <v/>
      </c>
      <c r="I2322">
        <f>INDEX(Limits!$C$2:$C$5,MATCH(E2322,Limits!$A$2:$A$5,0))</f>
        <v/>
      </c>
      <c r="J2322">
        <f>IF(F2322&gt;=I2322,"Action",IF(F2322&gt;=H2322,"Alert","Pass"))</f>
        <v/>
      </c>
      <c r="K2322" s="4">
        <f>DATE(YEAR(B2322),MONTH(B2322),1)</f>
        <v/>
      </c>
    </row>
    <row r="2323">
      <c r="A2323" t="inlineStr">
        <is>
          <t>EM002322</t>
        </is>
      </c>
      <c r="B2323" s="7" t="n">
        <v>46197</v>
      </c>
      <c r="C2323" t="inlineStr">
        <is>
          <t>CR-101</t>
        </is>
      </c>
      <c r="D2323" t="inlineStr">
        <is>
          <t>ISO 7</t>
        </is>
      </c>
      <c r="E2323" t="inlineStr">
        <is>
          <t>Personnel glove</t>
        </is>
      </c>
      <c r="F2323" t="n">
        <v>0</v>
      </c>
      <c r="G2323" t="inlineStr">
        <is>
          <t>Tech B</t>
        </is>
      </c>
      <c r="H2323">
        <f>INDEX(Limits!$B$2:$B$5,MATCH(E2323,Limits!$A$2:$A$5,0))</f>
        <v/>
      </c>
      <c r="I2323">
        <f>INDEX(Limits!$C$2:$C$5,MATCH(E2323,Limits!$A$2:$A$5,0))</f>
        <v/>
      </c>
      <c r="J2323">
        <f>IF(F2323&gt;=I2323,"Action",IF(F2323&gt;=H2323,"Alert","Pass"))</f>
        <v/>
      </c>
      <c r="K2323" s="4">
        <f>DATE(YEAR(B2323),MONTH(B2323),1)</f>
        <v/>
      </c>
    </row>
    <row r="2324">
      <c r="A2324" t="inlineStr">
        <is>
          <t>EM002323</t>
        </is>
      </c>
      <c r="B2324" s="7" t="n">
        <v>46197</v>
      </c>
      <c r="C2324" t="inlineStr">
        <is>
          <t>CR-102</t>
        </is>
      </c>
      <c r="D2324" t="inlineStr">
        <is>
          <t>ISO 7</t>
        </is>
      </c>
      <c r="E2324" t="inlineStr">
        <is>
          <t>Active air</t>
        </is>
      </c>
      <c r="F2324" t="n">
        <v>2</v>
      </c>
      <c r="G2324" t="inlineStr">
        <is>
          <t>Tech B</t>
        </is>
      </c>
      <c r="H2324">
        <f>INDEX(Limits!$B$2:$B$5,MATCH(E2324,Limits!$A$2:$A$5,0))</f>
        <v/>
      </c>
      <c r="I2324">
        <f>INDEX(Limits!$C$2:$C$5,MATCH(E2324,Limits!$A$2:$A$5,0))</f>
        <v/>
      </c>
      <c r="J2324">
        <f>IF(F2324&gt;=I2324,"Action",IF(F2324&gt;=H2324,"Alert","Pass"))</f>
        <v/>
      </c>
      <c r="K2324" s="4">
        <f>DATE(YEAR(B2324),MONTH(B2324),1)</f>
        <v/>
      </c>
    </row>
    <row r="2325">
      <c r="A2325" t="inlineStr">
        <is>
          <t>EM002324</t>
        </is>
      </c>
      <c r="B2325" s="7" t="n">
        <v>46197</v>
      </c>
      <c r="C2325" t="inlineStr">
        <is>
          <t>CR-102</t>
        </is>
      </c>
      <c r="D2325" t="inlineStr">
        <is>
          <t>ISO 7</t>
        </is>
      </c>
      <c r="E2325" t="inlineStr">
        <is>
          <t>Surface contact</t>
        </is>
      </c>
      <c r="F2325" t="n">
        <v>0</v>
      </c>
      <c r="G2325" t="inlineStr">
        <is>
          <t>Tech D</t>
        </is>
      </c>
      <c r="H2325">
        <f>INDEX(Limits!$B$2:$B$5,MATCH(E2325,Limits!$A$2:$A$5,0))</f>
        <v/>
      </c>
      <c r="I2325">
        <f>INDEX(Limits!$C$2:$C$5,MATCH(E2325,Limits!$A$2:$A$5,0))</f>
        <v/>
      </c>
      <c r="J2325">
        <f>IF(F2325&gt;=I2325,"Action",IF(F2325&gt;=H2325,"Alert","Pass"))</f>
        <v/>
      </c>
      <c r="K2325" s="4">
        <f>DATE(YEAR(B2325),MONTH(B2325),1)</f>
        <v/>
      </c>
    </row>
    <row r="2326">
      <c r="A2326" t="inlineStr">
        <is>
          <t>EM002325</t>
        </is>
      </c>
      <c r="B2326" s="7" t="n">
        <v>46197</v>
      </c>
      <c r="C2326" t="inlineStr">
        <is>
          <t>CR-102</t>
        </is>
      </c>
      <c r="D2326" t="inlineStr">
        <is>
          <t>ISO 7</t>
        </is>
      </c>
      <c r="E2326" t="inlineStr">
        <is>
          <t>Compressed air</t>
        </is>
      </c>
      <c r="F2326" t="n">
        <v>0</v>
      </c>
      <c r="G2326" t="inlineStr">
        <is>
          <t>Tech A</t>
        </is>
      </c>
      <c r="H2326">
        <f>INDEX(Limits!$B$2:$B$5,MATCH(E2326,Limits!$A$2:$A$5,0))</f>
        <v/>
      </c>
      <c r="I2326">
        <f>INDEX(Limits!$C$2:$C$5,MATCH(E2326,Limits!$A$2:$A$5,0))</f>
        <v/>
      </c>
      <c r="J2326">
        <f>IF(F2326&gt;=I2326,"Action",IF(F2326&gt;=H2326,"Alert","Pass"))</f>
        <v/>
      </c>
      <c r="K2326" s="4">
        <f>DATE(YEAR(B2326),MONTH(B2326),1)</f>
        <v/>
      </c>
    </row>
    <row r="2327">
      <c r="A2327" t="inlineStr">
        <is>
          <t>EM002326</t>
        </is>
      </c>
      <c r="B2327" s="7" t="n">
        <v>46197</v>
      </c>
      <c r="C2327" t="inlineStr">
        <is>
          <t>CR-102</t>
        </is>
      </c>
      <c r="D2327" t="inlineStr">
        <is>
          <t>ISO 7</t>
        </is>
      </c>
      <c r="E2327" t="inlineStr">
        <is>
          <t>Personnel glove</t>
        </is>
      </c>
      <c r="F2327" t="n">
        <v>0</v>
      </c>
      <c r="G2327" t="inlineStr">
        <is>
          <t>Tech A</t>
        </is>
      </c>
      <c r="H2327">
        <f>INDEX(Limits!$B$2:$B$5,MATCH(E2327,Limits!$A$2:$A$5,0))</f>
        <v/>
      </c>
      <c r="I2327">
        <f>INDEX(Limits!$C$2:$C$5,MATCH(E2327,Limits!$A$2:$A$5,0))</f>
        <v/>
      </c>
      <c r="J2327">
        <f>IF(F2327&gt;=I2327,"Action",IF(F2327&gt;=H2327,"Alert","Pass"))</f>
        <v/>
      </c>
      <c r="K2327" s="4">
        <f>DATE(YEAR(B2327),MONTH(B2327),1)</f>
        <v/>
      </c>
    </row>
    <row r="2328">
      <c r="A2328" t="inlineStr">
        <is>
          <t>EM002327</t>
        </is>
      </c>
      <c r="B2328" s="7" t="n">
        <v>46197</v>
      </c>
      <c r="C2328" t="inlineStr">
        <is>
          <t>CR-201</t>
        </is>
      </c>
      <c r="D2328" t="inlineStr">
        <is>
          <t>ISO 8</t>
        </is>
      </c>
      <c r="E2328" t="inlineStr">
        <is>
          <t>Active air</t>
        </is>
      </c>
      <c r="F2328" t="n">
        <v>0</v>
      </c>
      <c r="G2328" t="inlineStr">
        <is>
          <t>Tech B</t>
        </is>
      </c>
      <c r="H2328">
        <f>INDEX(Limits!$B$2:$B$5,MATCH(E2328,Limits!$A$2:$A$5,0))</f>
        <v/>
      </c>
      <c r="I2328">
        <f>INDEX(Limits!$C$2:$C$5,MATCH(E2328,Limits!$A$2:$A$5,0))</f>
        <v/>
      </c>
      <c r="J2328">
        <f>IF(F2328&gt;=I2328,"Action",IF(F2328&gt;=H2328,"Alert","Pass"))</f>
        <v/>
      </c>
      <c r="K2328" s="4">
        <f>DATE(YEAR(B2328),MONTH(B2328),1)</f>
        <v/>
      </c>
    </row>
    <row r="2329">
      <c r="A2329" t="inlineStr">
        <is>
          <t>EM002328</t>
        </is>
      </c>
      <c r="B2329" s="7" t="n">
        <v>46197</v>
      </c>
      <c r="C2329" t="inlineStr">
        <is>
          <t>CR-201</t>
        </is>
      </c>
      <c r="D2329" t="inlineStr">
        <is>
          <t>ISO 8</t>
        </is>
      </c>
      <c r="E2329" t="inlineStr">
        <is>
          <t>Surface contact</t>
        </is>
      </c>
      <c r="F2329" t="n">
        <v>0</v>
      </c>
      <c r="G2329" t="inlineStr">
        <is>
          <t>Tech D</t>
        </is>
      </c>
      <c r="H2329">
        <f>INDEX(Limits!$B$2:$B$5,MATCH(E2329,Limits!$A$2:$A$5,0))</f>
        <v/>
      </c>
      <c r="I2329">
        <f>INDEX(Limits!$C$2:$C$5,MATCH(E2329,Limits!$A$2:$A$5,0))</f>
        <v/>
      </c>
      <c r="J2329">
        <f>IF(F2329&gt;=I2329,"Action",IF(F2329&gt;=H2329,"Alert","Pass"))</f>
        <v/>
      </c>
      <c r="K2329" s="4">
        <f>DATE(YEAR(B2329),MONTH(B2329),1)</f>
        <v/>
      </c>
    </row>
    <row r="2330">
      <c r="A2330" t="inlineStr">
        <is>
          <t>EM002329</t>
        </is>
      </c>
      <c r="B2330" s="7" t="n">
        <v>46197</v>
      </c>
      <c r="C2330" t="inlineStr">
        <is>
          <t>CR-201</t>
        </is>
      </c>
      <c r="D2330" t="inlineStr">
        <is>
          <t>ISO 8</t>
        </is>
      </c>
      <c r="E2330" t="inlineStr">
        <is>
          <t>Compressed air</t>
        </is>
      </c>
      <c r="F2330" t="n">
        <v>0</v>
      </c>
      <c r="G2330" t="inlineStr">
        <is>
          <t>Tech A</t>
        </is>
      </c>
      <c r="H2330">
        <f>INDEX(Limits!$B$2:$B$5,MATCH(E2330,Limits!$A$2:$A$5,0))</f>
        <v/>
      </c>
      <c r="I2330">
        <f>INDEX(Limits!$C$2:$C$5,MATCH(E2330,Limits!$A$2:$A$5,0))</f>
        <v/>
      </c>
      <c r="J2330">
        <f>IF(F2330&gt;=I2330,"Action",IF(F2330&gt;=H2330,"Alert","Pass"))</f>
        <v/>
      </c>
      <c r="K2330" s="4">
        <f>DATE(YEAR(B2330),MONTH(B2330),1)</f>
        <v/>
      </c>
    </row>
    <row r="2331">
      <c r="A2331" t="inlineStr">
        <is>
          <t>EM002330</t>
        </is>
      </c>
      <c r="B2331" s="7" t="n">
        <v>46197</v>
      </c>
      <c r="C2331" t="inlineStr">
        <is>
          <t>CR-201</t>
        </is>
      </c>
      <c r="D2331" t="inlineStr">
        <is>
          <t>ISO 8</t>
        </is>
      </c>
      <c r="E2331" t="inlineStr">
        <is>
          <t>Personnel glove</t>
        </is>
      </c>
      <c r="F2331" t="n">
        <v>1</v>
      </c>
      <c r="G2331" t="inlineStr">
        <is>
          <t>Tech D</t>
        </is>
      </c>
      <c r="H2331">
        <f>INDEX(Limits!$B$2:$B$5,MATCH(E2331,Limits!$A$2:$A$5,0))</f>
        <v/>
      </c>
      <c r="I2331">
        <f>INDEX(Limits!$C$2:$C$5,MATCH(E2331,Limits!$A$2:$A$5,0))</f>
        <v/>
      </c>
      <c r="J2331">
        <f>IF(F2331&gt;=I2331,"Action",IF(F2331&gt;=H2331,"Alert","Pass"))</f>
        <v/>
      </c>
      <c r="K2331" s="4">
        <f>DATE(YEAR(B2331),MONTH(B2331),1)</f>
        <v/>
      </c>
    </row>
    <row r="2332">
      <c r="A2332" t="inlineStr">
        <is>
          <t>EM002331</t>
        </is>
      </c>
      <c r="B2332" s="7" t="n">
        <v>46197</v>
      </c>
      <c r="C2332" t="inlineStr">
        <is>
          <t>CR-202</t>
        </is>
      </c>
      <c r="D2332" t="inlineStr">
        <is>
          <t>ISO 8</t>
        </is>
      </c>
      <c r="E2332" t="inlineStr">
        <is>
          <t>Active air</t>
        </is>
      </c>
      <c r="F2332" t="n">
        <v>2</v>
      </c>
      <c r="G2332" t="inlineStr">
        <is>
          <t>Tech A</t>
        </is>
      </c>
      <c r="H2332">
        <f>INDEX(Limits!$B$2:$B$5,MATCH(E2332,Limits!$A$2:$A$5,0))</f>
        <v/>
      </c>
      <c r="I2332">
        <f>INDEX(Limits!$C$2:$C$5,MATCH(E2332,Limits!$A$2:$A$5,0))</f>
        <v/>
      </c>
      <c r="J2332">
        <f>IF(F2332&gt;=I2332,"Action",IF(F2332&gt;=H2332,"Alert","Pass"))</f>
        <v/>
      </c>
      <c r="K2332" s="4">
        <f>DATE(YEAR(B2332),MONTH(B2332),1)</f>
        <v/>
      </c>
    </row>
    <row r="2333">
      <c r="A2333" t="inlineStr">
        <is>
          <t>EM002332</t>
        </is>
      </c>
      <c r="B2333" s="7" t="n">
        <v>46197</v>
      </c>
      <c r="C2333" t="inlineStr">
        <is>
          <t>CR-202</t>
        </is>
      </c>
      <c r="D2333" t="inlineStr">
        <is>
          <t>ISO 8</t>
        </is>
      </c>
      <c r="E2333" t="inlineStr">
        <is>
          <t>Surface contact</t>
        </is>
      </c>
      <c r="F2333" t="n">
        <v>0</v>
      </c>
      <c r="G2333" t="inlineStr">
        <is>
          <t>Tech A</t>
        </is>
      </c>
      <c r="H2333">
        <f>INDEX(Limits!$B$2:$B$5,MATCH(E2333,Limits!$A$2:$A$5,0))</f>
        <v/>
      </c>
      <c r="I2333">
        <f>INDEX(Limits!$C$2:$C$5,MATCH(E2333,Limits!$A$2:$A$5,0))</f>
        <v/>
      </c>
      <c r="J2333">
        <f>IF(F2333&gt;=I2333,"Action",IF(F2333&gt;=H2333,"Alert","Pass"))</f>
        <v/>
      </c>
      <c r="K2333" s="4">
        <f>DATE(YEAR(B2333),MONTH(B2333),1)</f>
        <v/>
      </c>
    </row>
    <row r="2334">
      <c r="A2334" t="inlineStr">
        <is>
          <t>EM002333</t>
        </is>
      </c>
      <c r="B2334" s="7" t="n">
        <v>46197</v>
      </c>
      <c r="C2334" t="inlineStr">
        <is>
          <t>CR-202</t>
        </is>
      </c>
      <c r="D2334" t="inlineStr">
        <is>
          <t>ISO 8</t>
        </is>
      </c>
      <c r="E2334" t="inlineStr">
        <is>
          <t>Compressed air</t>
        </is>
      </c>
      <c r="F2334" t="n">
        <v>0</v>
      </c>
      <c r="G2334" t="inlineStr">
        <is>
          <t>Tech A</t>
        </is>
      </c>
      <c r="H2334">
        <f>INDEX(Limits!$B$2:$B$5,MATCH(E2334,Limits!$A$2:$A$5,0))</f>
        <v/>
      </c>
      <c r="I2334">
        <f>INDEX(Limits!$C$2:$C$5,MATCH(E2334,Limits!$A$2:$A$5,0))</f>
        <v/>
      </c>
      <c r="J2334">
        <f>IF(F2334&gt;=I2334,"Action",IF(F2334&gt;=H2334,"Alert","Pass"))</f>
        <v/>
      </c>
      <c r="K2334" s="4">
        <f>DATE(YEAR(B2334),MONTH(B2334),1)</f>
        <v/>
      </c>
    </row>
    <row r="2335">
      <c r="A2335" t="inlineStr">
        <is>
          <t>EM002334</t>
        </is>
      </c>
      <c r="B2335" s="7" t="n">
        <v>46197</v>
      </c>
      <c r="C2335" t="inlineStr">
        <is>
          <t>CR-202</t>
        </is>
      </c>
      <c r="D2335" t="inlineStr">
        <is>
          <t>ISO 8</t>
        </is>
      </c>
      <c r="E2335" t="inlineStr">
        <is>
          <t>Personnel glove</t>
        </is>
      </c>
      <c r="F2335" t="n">
        <v>0</v>
      </c>
      <c r="G2335" t="inlineStr">
        <is>
          <t>Tech A</t>
        </is>
      </c>
      <c r="H2335">
        <f>INDEX(Limits!$B$2:$B$5,MATCH(E2335,Limits!$A$2:$A$5,0))</f>
        <v/>
      </c>
      <c r="I2335">
        <f>INDEX(Limits!$C$2:$C$5,MATCH(E2335,Limits!$A$2:$A$5,0))</f>
        <v/>
      </c>
      <c r="J2335">
        <f>IF(F2335&gt;=I2335,"Action",IF(F2335&gt;=H2335,"Alert","Pass"))</f>
        <v/>
      </c>
      <c r="K2335" s="4">
        <f>DATE(YEAR(B2335),MONTH(B2335),1)</f>
        <v/>
      </c>
    </row>
    <row r="2336">
      <c r="A2336" t="inlineStr">
        <is>
          <t>EM002335</t>
        </is>
      </c>
      <c r="B2336" s="7" t="n">
        <v>46197</v>
      </c>
      <c r="C2336" t="inlineStr">
        <is>
          <t>Gowning</t>
        </is>
      </c>
      <c r="D2336" t="inlineStr">
        <is>
          <t>ISO 8</t>
        </is>
      </c>
      <c r="E2336" t="inlineStr">
        <is>
          <t>Active air</t>
        </is>
      </c>
      <c r="F2336" t="n">
        <v>2</v>
      </c>
      <c r="G2336" t="inlineStr">
        <is>
          <t>Tech A</t>
        </is>
      </c>
      <c r="H2336">
        <f>INDEX(Limits!$B$2:$B$5,MATCH(E2336,Limits!$A$2:$A$5,0))</f>
        <v/>
      </c>
      <c r="I2336">
        <f>INDEX(Limits!$C$2:$C$5,MATCH(E2336,Limits!$A$2:$A$5,0))</f>
        <v/>
      </c>
      <c r="J2336">
        <f>IF(F2336&gt;=I2336,"Action",IF(F2336&gt;=H2336,"Alert","Pass"))</f>
        <v/>
      </c>
      <c r="K2336" s="4">
        <f>DATE(YEAR(B2336),MONTH(B2336),1)</f>
        <v/>
      </c>
    </row>
    <row r="2337">
      <c r="A2337" t="inlineStr">
        <is>
          <t>EM002336</t>
        </is>
      </c>
      <c r="B2337" s="7" t="n">
        <v>46197</v>
      </c>
      <c r="C2337" t="inlineStr">
        <is>
          <t>Gowning</t>
        </is>
      </c>
      <c r="D2337" t="inlineStr">
        <is>
          <t>ISO 8</t>
        </is>
      </c>
      <c r="E2337" t="inlineStr">
        <is>
          <t>Surface contact</t>
        </is>
      </c>
      <c r="F2337" t="n">
        <v>2</v>
      </c>
      <c r="G2337" t="inlineStr">
        <is>
          <t>Tech A</t>
        </is>
      </c>
      <c r="H2337">
        <f>INDEX(Limits!$B$2:$B$5,MATCH(E2337,Limits!$A$2:$A$5,0))</f>
        <v/>
      </c>
      <c r="I2337">
        <f>INDEX(Limits!$C$2:$C$5,MATCH(E2337,Limits!$A$2:$A$5,0))</f>
        <v/>
      </c>
      <c r="J2337">
        <f>IF(F2337&gt;=I2337,"Action",IF(F2337&gt;=H2337,"Alert","Pass"))</f>
        <v/>
      </c>
      <c r="K2337" s="4">
        <f>DATE(YEAR(B2337),MONTH(B2337),1)</f>
        <v/>
      </c>
    </row>
    <row r="2338">
      <c r="A2338" t="inlineStr">
        <is>
          <t>EM002337</t>
        </is>
      </c>
      <c r="B2338" s="7" t="n">
        <v>46197</v>
      </c>
      <c r="C2338" t="inlineStr">
        <is>
          <t>Gowning</t>
        </is>
      </c>
      <c r="D2338" t="inlineStr">
        <is>
          <t>ISO 8</t>
        </is>
      </c>
      <c r="E2338" t="inlineStr">
        <is>
          <t>Personnel glove</t>
        </is>
      </c>
      <c r="F2338" t="n">
        <v>0</v>
      </c>
      <c r="G2338" t="inlineStr">
        <is>
          <t>Tech D</t>
        </is>
      </c>
      <c r="H2338">
        <f>INDEX(Limits!$B$2:$B$5,MATCH(E2338,Limits!$A$2:$A$5,0))</f>
        <v/>
      </c>
      <c r="I2338">
        <f>INDEX(Limits!$C$2:$C$5,MATCH(E2338,Limits!$A$2:$A$5,0))</f>
        <v/>
      </c>
      <c r="J2338">
        <f>IF(F2338&gt;=I2338,"Action",IF(F2338&gt;=H2338,"Alert","Pass"))</f>
        <v/>
      </c>
      <c r="K2338" s="4">
        <f>DATE(YEAR(B2338),MONTH(B2338),1)</f>
        <v/>
      </c>
    </row>
    <row r="2339">
      <c r="A2339" t="inlineStr">
        <is>
          <t>EM002338</t>
        </is>
      </c>
      <c r="B2339" s="7" t="n">
        <v>46198</v>
      </c>
      <c r="C2339" t="inlineStr">
        <is>
          <t>CR-101</t>
        </is>
      </c>
      <c r="D2339" t="inlineStr">
        <is>
          <t>ISO 7</t>
        </is>
      </c>
      <c r="E2339" t="inlineStr">
        <is>
          <t>Active air</t>
        </is>
      </c>
      <c r="F2339" t="n">
        <v>1</v>
      </c>
      <c r="G2339" t="inlineStr">
        <is>
          <t>Tech A</t>
        </is>
      </c>
      <c r="H2339">
        <f>INDEX(Limits!$B$2:$B$5,MATCH(E2339,Limits!$A$2:$A$5,0))</f>
        <v/>
      </c>
      <c r="I2339">
        <f>INDEX(Limits!$C$2:$C$5,MATCH(E2339,Limits!$A$2:$A$5,0))</f>
        <v/>
      </c>
      <c r="J2339">
        <f>IF(F2339&gt;=I2339,"Action",IF(F2339&gt;=H2339,"Alert","Pass"))</f>
        <v/>
      </c>
      <c r="K2339" s="4">
        <f>DATE(YEAR(B2339),MONTH(B2339),1)</f>
        <v/>
      </c>
    </row>
    <row r="2340">
      <c r="A2340" t="inlineStr">
        <is>
          <t>EM002339</t>
        </is>
      </c>
      <c r="B2340" s="7" t="n">
        <v>46198</v>
      </c>
      <c r="C2340" t="inlineStr">
        <is>
          <t>CR-101</t>
        </is>
      </c>
      <c r="D2340" t="inlineStr">
        <is>
          <t>ISO 7</t>
        </is>
      </c>
      <c r="E2340" t="inlineStr">
        <is>
          <t>Surface contact</t>
        </is>
      </c>
      <c r="F2340" t="n">
        <v>0</v>
      </c>
      <c r="G2340" t="inlineStr">
        <is>
          <t>Tech D</t>
        </is>
      </c>
      <c r="H2340">
        <f>INDEX(Limits!$B$2:$B$5,MATCH(E2340,Limits!$A$2:$A$5,0))</f>
        <v/>
      </c>
      <c r="I2340">
        <f>INDEX(Limits!$C$2:$C$5,MATCH(E2340,Limits!$A$2:$A$5,0))</f>
        <v/>
      </c>
      <c r="J2340">
        <f>IF(F2340&gt;=I2340,"Action",IF(F2340&gt;=H2340,"Alert","Pass"))</f>
        <v/>
      </c>
      <c r="K2340" s="4">
        <f>DATE(YEAR(B2340),MONTH(B2340),1)</f>
        <v/>
      </c>
    </row>
    <row r="2341">
      <c r="A2341" t="inlineStr">
        <is>
          <t>EM002340</t>
        </is>
      </c>
      <c r="B2341" s="7" t="n">
        <v>46198</v>
      </c>
      <c r="C2341" t="inlineStr">
        <is>
          <t>CR-101</t>
        </is>
      </c>
      <c r="D2341" t="inlineStr">
        <is>
          <t>ISO 7</t>
        </is>
      </c>
      <c r="E2341" t="inlineStr">
        <is>
          <t>Compressed air</t>
        </is>
      </c>
      <c r="F2341" t="n">
        <v>0</v>
      </c>
      <c r="G2341" t="inlineStr">
        <is>
          <t>Tech D</t>
        </is>
      </c>
      <c r="H2341">
        <f>INDEX(Limits!$B$2:$B$5,MATCH(E2341,Limits!$A$2:$A$5,0))</f>
        <v/>
      </c>
      <c r="I2341">
        <f>INDEX(Limits!$C$2:$C$5,MATCH(E2341,Limits!$A$2:$A$5,0))</f>
        <v/>
      </c>
      <c r="J2341">
        <f>IF(F2341&gt;=I2341,"Action",IF(F2341&gt;=H2341,"Alert","Pass"))</f>
        <v/>
      </c>
      <c r="K2341" s="4">
        <f>DATE(YEAR(B2341),MONTH(B2341),1)</f>
        <v/>
      </c>
    </row>
    <row r="2342">
      <c r="A2342" t="inlineStr">
        <is>
          <t>EM002341</t>
        </is>
      </c>
      <c r="B2342" s="7" t="n">
        <v>46198</v>
      </c>
      <c r="C2342" t="inlineStr">
        <is>
          <t>CR-101</t>
        </is>
      </c>
      <c r="D2342" t="inlineStr">
        <is>
          <t>ISO 7</t>
        </is>
      </c>
      <c r="E2342" t="inlineStr">
        <is>
          <t>Personnel glove</t>
        </is>
      </c>
      <c r="F2342" t="n">
        <v>0</v>
      </c>
      <c r="G2342" t="inlineStr">
        <is>
          <t>Tech C</t>
        </is>
      </c>
      <c r="H2342">
        <f>INDEX(Limits!$B$2:$B$5,MATCH(E2342,Limits!$A$2:$A$5,0))</f>
        <v/>
      </c>
      <c r="I2342">
        <f>INDEX(Limits!$C$2:$C$5,MATCH(E2342,Limits!$A$2:$A$5,0))</f>
        <v/>
      </c>
      <c r="J2342">
        <f>IF(F2342&gt;=I2342,"Action",IF(F2342&gt;=H2342,"Alert","Pass"))</f>
        <v/>
      </c>
      <c r="K2342" s="4">
        <f>DATE(YEAR(B2342),MONTH(B2342),1)</f>
        <v/>
      </c>
    </row>
    <row r="2343">
      <c r="A2343" t="inlineStr">
        <is>
          <t>EM002342</t>
        </is>
      </c>
      <c r="B2343" s="7" t="n">
        <v>46198</v>
      </c>
      <c r="C2343" t="inlineStr">
        <is>
          <t>CR-102</t>
        </is>
      </c>
      <c r="D2343" t="inlineStr">
        <is>
          <t>ISO 7</t>
        </is>
      </c>
      <c r="E2343" t="inlineStr">
        <is>
          <t>Active air</t>
        </is>
      </c>
      <c r="F2343" t="n">
        <v>2</v>
      </c>
      <c r="G2343" t="inlineStr">
        <is>
          <t>Tech C</t>
        </is>
      </c>
      <c r="H2343">
        <f>INDEX(Limits!$B$2:$B$5,MATCH(E2343,Limits!$A$2:$A$5,0))</f>
        <v/>
      </c>
      <c r="I2343">
        <f>INDEX(Limits!$C$2:$C$5,MATCH(E2343,Limits!$A$2:$A$5,0))</f>
        <v/>
      </c>
      <c r="J2343">
        <f>IF(F2343&gt;=I2343,"Action",IF(F2343&gt;=H2343,"Alert","Pass"))</f>
        <v/>
      </c>
      <c r="K2343" s="4">
        <f>DATE(YEAR(B2343),MONTH(B2343),1)</f>
        <v/>
      </c>
    </row>
    <row r="2344">
      <c r="A2344" t="inlineStr">
        <is>
          <t>EM002343</t>
        </is>
      </c>
      <c r="B2344" s="7" t="n">
        <v>46198</v>
      </c>
      <c r="C2344" t="inlineStr">
        <is>
          <t>CR-102</t>
        </is>
      </c>
      <c r="D2344" t="inlineStr">
        <is>
          <t>ISO 7</t>
        </is>
      </c>
      <c r="E2344" t="inlineStr">
        <is>
          <t>Surface contact</t>
        </is>
      </c>
      <c r="F2344" t="n">
        <v>0</v>
      </c>
      <c r="G2344" t="inlineStr">
        <is>
          <t>Tech C</t>
        </is>
      </c>
      <c r="H2344">
        <f>INDEX(Limits!$B$2:$B$5,MATCH(E2344,Limits!$A$2:$A$5,0))</f>
        <v/>
      </c>
      <c r="I2344">
        <f>INDEX(Limits!$C$2:$C$5,MATCH(E2344,Limits!$A$2:$A$5,0))</f>
        <v/>
      </c>
      <c r="J2344">
        <f>IF(F2344&gt;=I2344,"Action",IF(F2344&gt;=H2344,"Alert","Pass"))</f>
        <v/>
      </c>
      <c r="K2344" s="4">
        <f>DATE(YEAR(B2344),MONTH(B2344),1)</f>
        <v/>
      </c>
    </row>
    <row r="2345">
      <c r="A2345" t="inlineStr">
        <is>
          <t>EM002344</t>
        </is>
      </c>
      <c r="B2345" s="7" t="n">
        <v>46198</v>
      </c>
      <c r="C2345" t="inlineStr">
        <is>
          <t>CR-102</t>
        </is>
      </c>
      <c r="D2345" t="inlineStr">
        <is>
          <t>ISO 7</t>
        </is>
      </c>
      <c r="E2345" t="inlineStr">
        <is>
          <t>Compressed air</t>
        </is>
      </c>
      <c r="F2345" t="n">
        <v>0</v>
      </c>
      <c r="G2345" t="inlineStr">
        <is>
          <t>Tech B</t>
        </is>
      </c>
      <c r="H2345">
        <f>INDEX(Limits!$B$2:$B$5,MATCH(E2345,Limits!$A$2:$A$5,0))</f>
        <v/>
      </c>
      <c r="I2345">
        <f>INDEX(Limits!$C$2:$C$5,MATCH(E2345,Limits!$A$2:$A$5,0))</f>
        <v/>
      </c>
      <c r="J2345">
        <f>IF(F2345&gt;=I2345,"Action",IF(F2345&gt;=H2345,"Alert","Pass"))</f>
        <v/>
      </c>
      <c r="K2345" s="4">
        <f>DATE(YEAR(B2345),MONTH(B2345),1)</f>
        <v/>
      </c>
    </row>
    <row r="2346">
      <c r="A2346" t="inlineStr">
        <is>
          <t>EM002345</t>
        </is>
      </c>
      <c r="B2346" s="7" t="n">
        <v>46198</v>
      </c>
      <c r="C2346" t="inlineStr">
        <is>
          <t>CR-102</t>
        </is>
      </c>
      <c r="D2346" t="inlineStr">
        <is>
          <t>ISO 7</t>
        </is>
      </c>
      <c r="E2346" t="inlineStr">
        <is>
          <t>Personnel glove</t>
        </is>
      </c>
      <c r="F2346" t="n">
        <v>0</v>
      </c>
      <c r="G2346" t="inlineStr">
        <is>
          <t>Tech C</t>
        </is>
      </c>
      <c r="H2346">
        <f>INDEX(Limits!$B$2:$B$5,MATCH(E2346,Limits!$A$2:$A$5,0))</f>
        <v/>
      </c>
      <c r="I2346">
        <f>INDEX(Limits!$C$2:$C$5,MATCH(E2346,Limits!$A$2:$A$5,0))</f>
        <v/>
      </c>
      <c r="J2346">
        <f>IF(F2346&gt;=I2346,"Action",IF(F2346&gt;=H2346,"Alert","Pass"))</f>
        <v/>
      </c>
      <c r="K2346" s="4">
        <f>DATE(YEAR(B2346),MONTH(B2346),1)</f>
        <v/>
      </c>
    </row>
    <row r="2347">
      <c r="A2347" t="inlineStr">
        <is>
          <t>EM002346</t>
        </is>
      </c>
      <c r="B2347" s="7" t="n">
        <v>46198</v>
      </c>
      <c r="C2347" t="inlineStr">
        <is>
          <t>CR-201</t>
        </is>
      </c>
      <c r="D2347" t="inlineStr">
        <is>
          <t>ISO 8</t>
        </is>
      </c>
      <c r="E2347" t="inlineStr">
        <is>
          <t>Active air</t>
        </is>
      </c>
      <c r="F2347" t="n">
        <v>3</v>
      </c>
      <c r="G2347" t="inlineStr">
        <is>
          <t>Tech C</t>
        </is>
      </c>
      <c r="H2347">
        <f>INDEX(Limits!$B$2:$B$5,MATCH(E2347,Limits!$A$2:$A$5,0))</f>
        <v/>
      </c>
      <c r="I2347">
        <f>INDEX(Limits!$C$2:$C$5,MATCH(E2347,Limits!$A$2:$A$5,0))</f>
        <v/>
      </c>
      <c r="J2347">
        <f>IF(F2347&gt;=I2347,"Action",IF(F2347&gt;=H2347,"Alert","Pass"))</f>
        <v/>
      </c>
      <c r="K2347" s="4">
        <f>DATE(YEAR(B2347),MONTH(B2347),1)</f>
        <v/>
      </c>
    </row>
    <row r="2348">
      <c r="A2348" t="inlineStr">
        <is>
          <t>EM002347</t>
        </is>
      </c>
      <c r="B2348" s="7" t="n">
        <v>46198</v>
      </c>
      <c r="C2348" t="inlineStr">
        <is>
          <t>CR-201</t>
        </is>
      </c>
      <c r="D2348" t="inlineStr">
        <is>
          <t>ISO 8</t>
        </is>
      </c>
      <c r="E2348" t="inlineStr">
        <is>
          <t>Surface contact</t>
        </is>
      </c>
      <c r="F2348" t="n">
        <v>0</v>
      </c>
      <c r="G2348" t="inlineStr">
        <is>
          <t>Tech A</t>
        </is>
      </c>
      <c r="H2348">
        <f>INDEX(Limits!$B$2:$B$5,MATCH(E2348,Limits!$A$2:$A$5,0))</f>
        <v/>
      </c>
      <c r="I2348">
        <f>INDEX(Limits!$C$2:$C$5,MATCH(E2348,Limits!$A$2:$A$5,0))</f>
        <v/>
      </c>
      <c r="J2348">
        <f>IF(F2348&gt;=I2348,"Action",IF(F2348&gt;=H2348,"Alert","Pass"))</f>
        <v/>
      </c>
      <c r="K2348" s="4">
        <f>DATE(YEAR(B2348),MONTH(B2348),1)</f>
        <v/>
      </c>
    </row>
    <row r="2349">
      <c r="A2349" t="inlineStr">
        <is>
          <t>EM002348</t>
        </is>
      </c>
      <c r="B2349" s="7" t="n">
        <v>46198</v>
      </c>
      <c r="C2349" t="inlineStr">
        <is>
          <t>CR-201</t>
        </is>
      </c>
      <c r="D2349" t="inlineStr">
        <is>
          <t>ISO 8</t>
        </is>
      </c>
      <c r="E2349" t="inlineStr">
        <is>
          <t>Compressed air</t>
        </is>
      </c>
      <c r="F2349" t="n">
        <v>0</v>
      </c>
      <c r="G2349" t="inlineStr">
        <is>
          <t>Tech B</t>
        </is>
      </c>
      <c r="H2349">
        <f>INDEX(Limits!$B$2:$B$5,MATCH(E2349,Limits!$A$2:$A$5,0))</f>
        <v/>
      </c>
      <c r="I2349">
        <f>INDEX(Limits!$C$2:$C$5,MATCH(E2349,Limits!$A$2:$A$5,0))</f>
        <v/>
      </c>
      <c r="J2349">
        <f>IF(F2349&gt;=I2349,"Action",IF(F2349&gt;=H2349,"Alert","Pass"))</f>
        <v/>
      </c>
      <c r="K2349" s="4">
        <f>DATE(YEAR(B2349),MONTH(B2349),1)</f>
        <v/>
      </c>
    </row>
    <row r="2350">
      <c r="A2350" t="inlineStr">
        <is>
          <t>EM002349</t>
        </is>
      </c>
      <c r="B2350" s="7" t="n">
        <v>46198</v>
      </c>
      <c r="C2350" t="inlineStr">
        <is>
          <t>CR-201</t>
        </is>
      </c>
      <c r="D2350" t="inlineStr">
        <is>
          <t>ISO 8</t>
        </is>
      </c>
      <c r="E2350" t="inlineStr">
        <is>
          <t>Personnel glove</t>
        </is>
      </c>
      <c r="F2350" t="n">
        <v>0</v>
      </c>
      <c r="G2350" t="inlineStr">
        <is>
          <t>Tech B</t>
        </is>
      </c>
      <c r="H2350">
        <f>INDEX(Limits!$B$2:$B$5,MATCH(E2350,Limits!$A$2:$A$5,0))</f>
        <v/>
      </c>
      <c r="I2350">
        <f>INDEX(Limits!$C$2:$C$5,MATCH(E2350,Limits!$A$2:$A$5,0))</f>
        <v/>
      </c>
      <c r="J2350">
        <f>IF(F2350&gt;=I2350,"Action",IF(F2350&gt;=H2350,"Alert","Pass"))</f>
        <v/>
      </c>
      <c r="K2350" s="4">
        <f>DATE(YEAR(B2350),MONTH(B2350),1)</f>
        <v/>
      </c>
    </row>
    <row r="2351">
      <c r="A2351" t="inlineStr">
        <is>
          <t>EM002350</t>
        </is>
      </c>
      <c r="B2351" s="7" t="n">
        <v>46198</v>
      </c>
      <c r="C2351" t="inlineStr">
        <is>
          <t>CR-202</t>
        </is>
      </c>
      <c r="D2351" t="inlineStr">
        <is>
          <t>ISO 8</t>
        </is>
      </c>
      <c r="E2351" t="inlineStr">
        <is>
          <t>Active air</t>
        </is>
      </c>
      <c r="F2351" t="n">
        <v>1</v>
      </c>
      <c r="G2351" t="inlineStr">
        <is>
          <t>Tech A</t>
        </is>
      </c>
      <c r="H2351">
        <f>INDEX(Limits!$B$2:$B$5,MATCH(E2351,Limits!$A$2:$A$5,0))</f>
        <v/>
      </c>
      <c r="I2351">
        <f>INDEX(Limits!$C$2:$C$5,MATCH(E2351,Limits!$A$2:$A$5,0))</f>
        <v/>
      </c>
      <c r="J2351">
        <f>IF(F2351&gt;=I2351,"Action",IF(F2351&gt;=H2351,"Alert","Pass"))</f>
        <v/>
      </c>
      <c r="K2351" s="4">
        <f>DATE(YEAR(B2351),MONTH(B2351),1)</f>
        <v/>
      </c>
    </row>
    <row r="2352">
      <c r="A2352" t="inlineStr">
        <is>
          <t>EM002351</t>
        </is>
      </c>
      <c r="B2352" s="7" t="n">
        <v>46198</v>
      </c>
      <c r="C2352" t="inlineStr">
        <is>
          <t>CR-202</t>
        </is>
      </c>
      <c r="D2352" t="inlineStr">
        <is>
          <t>ISO 8</t>
        </is>
      </c>
      <c r="E2352" t="inlineStr">
        <is>
          <t>Surface contact</t>
        </is>
      </c>
      <c r="F2352" t="n">
        <v>2</v>
      </c>
      <c r="G2352" t="inlineStr">
        <is>
          <t>Tech C</t>
        </is>
      </c>
      <c r="H2352">
        <f>INDEX(Limits!$B$2:$B$5,MATCH(E2352,Limits!$A$2:$A$5,0))</f>
        <v/>
      </c>
      <c r="I2352">
        <f>INDEX(Limits!$C$2:$C$5,MATCH(E2352,Limits!$A$2:$A$5,0))</f>
        <v/>
      </c>
      <c r="J2352">
        <f>IF(F2352&gt;=I2352,"Action",IF(F2352&gt;=H2352,"Alert","Pass"))</f>
        <v/>
      </c>
      <c r="K2352" s="4">
        <f>DATE(YEAR(B2352),MONTH(B2352),1)</f>
        <v/>
      </c>
    </row>
    <row r="2353">
      <c r="A2353" t="inlineStr">
        <is>
          <t>EM002352</t>
        </is>
      </c>
      <c r="B2353" s="7" t="n">
        <v>46198</v>
      </c>
      <c r="C2353" t="inlineStr">
        <is>
          <t>CR-202</t>
        </is>
      </c>
      <c r="D2353" t="inlineStr">
        <is>
          <t>ISO 8</t>
        </is>
      </c>
      <c r="E2353" t="inlineStr">
        <is>
          <t>Compressed air</t>
        </is>
      </c>
      <c r="F2353" t="n">
        <v>0</v>
      </c>
      <c r="G2353" t="inlineStr">
        <is>
          <t>Tech B</t>
        </is>
      </c>
      <c r="H2353">
        <f>INDEX(Limits!$B$2:$B$5,MATCH(E2353,Limits!$A$2:$A$5,0))</f>
        <v/>
      </c>
      <c r="I2353">
        <f>INDEX(Limits!$C$2:$C$5,MATCH(E2353,Limits!$A$2:$A$5,0))</f>
        <v/>
      </c>
      <c r="J2353">
        <f>IF(F2353&gt;=I2353,"Action",IF(F2353&gt;=H2353,"Alert","Pass"))</f>
        <v/>
      </c>
      <c r="K2353" s="4">
        <f>DATE(YEAR(B2353),MONTH(B2353),1)</f>
        <v/>
      </c>
    </row>
    <row r="2354">
      <c r="A2354" t="inlineStr">
        <is>
          <t>EM002353</t>
        </is>
      </c>
      <c r="B2354" s="7" t="n">
        <v>46198</v>
      </c>
      <c r="C2354" t="inlineStr">
        <is>
          <t>CR-202</t>
        </is>
      </c>
      <c r="D2354" t="inlineStr">
        <is>
          <t>ISO 8</t>
        </is>
      </c>
      <c r="E2354" t="inlineStr">
        <is>
          <t>Personnel glove</t>
        </is>
      </c>
      <c r="F2354" t="n">
        <v>0</v>
      </c>
      <c r="G2354" t="inlineStr">
        <is>
          <t>Tech A</t>
        </is>
      </c>
      <c r="H2354">
        <f>INDEX(Limits!$B$2:$B$5,MATCH(E2354,Limits!$A$2:$A$5,0))</f>
        <v/>
      </c>
      <c r="I2354">
        <f>INDEX(Limits!$C$2:$C$5,MATCH(E2354,Limits!$A$2:$A$5,0))</f>
        <v/>
      </c>
      <c r="J2354">
        <f>IF(F2354&gt;=I2354,"Action",IF(F2354&gt;=H2354,"Alert","Pass"))</f>
        <v/>
      </c>
      <c r="K2354" s="4">
        <f>DATE(YEAR(B2354),MONTH(B2354),1)</f>
        <v/>
      </c>
    </row>
    <row r="2355">
      <c r="A2355" t="inlineStr">
        <is>
          <t>EM002354</t>
        </is>
      </c>
      <c r="B2355" s="7" t="n">
        <v>46198</v>
      </c>
      <c r="C2355" t="inlineStr">
        <is>
          <t>Gowning</t>
        </is>
      </c>
      <c r="D2355" t="inlineStr">
        <is>
          <t>ISO 8</t>
        </is>
      </c>
      <c r="E2355" t="inlineStr">
        <is>
          <t>Active air</t>
        </is>
      </c>
      <c r="F2355" t="n">
        <v>2</v>
      </c>
      <c r="G2355" t="inlineStr">
        <is>
          <t>Tech D</t>
        </is>
      </c>
      <c r="H2355">
        <f>INDEX(Limits!$B$2:$B$5,MATCH(E2355,Limits!$A$2:$A$5,0))</f>
        <v/>
      </c>
      <c r="I2355">
        <f>INDEX(Limits!$C$2:$C$5,MATCH(E2355,Limits!$A$2:$A$5,0))</f>
        <v/>
      </c>
      <c r="J2355">
        <f>IF(F2355&gt;=I2355,"Action",IF(F2355&gt;=H2355,"Alert","Pass"))</f>
        <v/>
      </c>
      <c r="K2355" s="4">
        <f>DATE(YEAR(B2355),MONTH(B2355),1)</f>
        <v/>
      </c>
    </row>
    <row r="2356">
      <c r="A2356" t="inlineStr">
        <is>
          <t>EM002355</t>
        </is>
      </c>
      <c r="B2356" s="7" t="n">
        <v>46198</v>
      </c>
      <c r="C2356" t="inlineStr">
        <is>
          <t>Gowning</t>
        </is>
      </c>
      <c r="D2356" t="inlineStr">
        <is>
          <t>ISO 8</t>
        </is>
      </c>
      <c r="E2356" t="inlineStr">
        <is>
          <t>Surface contact</t>
        </is>
      </c>
      <c r="F2356" t="n">
        <v>1</v>
      </c>
      <c r="G2356" t="inlineStr">
        <is>
          <t>Tech D</t>
        </is>
      </c>
      <c r="H2356">
        <f>INDEX(Limits!$B$2:$B$5,MATCH(E2356,Limits!$A$2:$A$5,0))</f>
        <v/>
      </c>
      <c r="I2356">
        <f>INDEX(Limits!$C$2:$C$5,MATCH(E2356,Limits!$A$2:$A$5,0))</f>
        <v/>
      </c>
      <c r="J2356">
        <f>IF(F2356&gt;=I2356,"Action",IF(F2356&gt;=H2356,"Alert","Pass"))</f>
        <v/>
      </c>
      <c r="K2356" s="4">
        <f>DATE(YEAR(B2356),MONTH(B2356),1)</f>
        <v/>
      </c>
    </row>
    <row r="2357">
      <c r="A2357" t="inlineStr">
        <is>
          <t>EM002356</t>
        </is>
      </c>
      <c r="B2357" s="7" t="n">
        <v>46198</v>
      </c>
      <c r="C2357" t="inlineStr">
        <is>
          <t>Gowning</t>
        </is>
      </c>
      <c r="D2357" t="inlineStr">
        <is>
          <t>ISO 8</t>
        </is>
      </c>
      <c r="E2357" t="inlineStr">
        <is>
          <t>Personnel glove</t>
        </is>
      </c>
      <c r="F2357" t="n">
        <v>0</v>
      </c>
      <c r="G2357" t="inlineStr">
        <is>
          <t>Tech C</t>
        </is>
      </c>
      <c r="H2357">
        <f>INDEX(Limits!$B$2:$B$5,MATCH(E2357,Limits!$A$2:$A$5,0))</f>
        <v/>
      </c>
      <c r="I2357">
        <f>INDEX(Limits!$C$2:$C$5,MATCH(E2357,Limits!$A$2:$A$5,0))</f>
        <v/>
      </c>
      <c r="J2357">
        <f>IF(F2357&gt;=I2357,"Action",IF(F2357&gt;=H2357,"Alert","Pass"))</f>
        <v/>
      </c>
      <c r="K2357" s="4">
        <f>DATE(YEAR(B2357),MONTH(B2357),1)</f>
        <v/>
      </c>
    </row>
    <row r="2358">
      <c r="A2358" t="inlineStr">
        <is>
          <t>EM002357</t>
        </is>
      </c>
      <c r="B2358" s="7" t="n">
        <v>46199</v>
      </c>
      <c r="C2358" t="inlineStr">
        <is>
          <t>CR-101</t>
        </is>
      </c>
      <c r="D2358" t="inlineStr">
        <is>
          <t>ISO 7</t>
        </is>
      </c>
      <c r="E2358" t="inlineStr">
        <is>
          <t>Active air</t>
        </is>
      </c>
      <c r="F2358" t="n">
        <v>1</v>
      </c>
      <c r="G2358" t="inlineStr">
        <is>
          <t>Tech C</t>
        </is>
      </c>
      <c r="H2358">
        <f>INDEX(Limits!$B$2:$B$5,MATCH(E2358,Limits!$A$2:$A$5,0))</f>
        <v/>
      </c>
      <c r="I2358">
        <f>INDEX(Limits!$C$2:$C$5,MATCH(E2358,Limits!$A$2:$A$5,0))</f>
        <v/>
      </c>
      <c r="J2358">
        <f>IF(F2358&gt;=I2358,"Action",IF(F2358&gt;=H2358,"Alert","Pass"))</f>
        <v/>
      </c>
      <c r="K2358" s="4">
        <f>DATE(YEAR(B2358),MONTH(B2358),1)</f>
        <v/>
      </c>
    </row>
    <row r="2359">
      <c r="A2359" t="inlineStr">
        <is>
          <t>EM002358</t>
        </is>
      </c>
      <c r="B2359" s="7" t="n">
        <v>46199</v>
      </c>
      <c r="C2359" t="inlineStr">
        <is>
          <t>CR-101</t>
        </is>
      </c>
      <c r="D2359" t="inlineStr">
        <is>
          <t>ISO 7</t>
        </is>
      </c>
      <c r="E2359" t="inlineStr">
        <is>
          <t>Surface contact</t>
        </is>
      </c>
      <c r="F2359" t="n">
        <v>0</v>
      </c>
      <c r="G2359" t="inlineStr">
        <is>
          <t>Tech A</t>
        </is>
      </c>
      <c r="H2359">
        <f>INDEX(Limits!$B$2:$B$5,MATCH(E2359,Limits!$A$2:$A$5,0))</f>
        <v/>
      </c>
      <c r="I2359">
        <f>INDEX(Limits!$C$2:$C$5,MATCH(E2359,Limits!$A$2:$A$5,0))</f>
        <v/>
      </c>
      <c r="J2359">
        <f>IF(F2359&gt;=I2359,"Action",IF(F2359&gt;=H2359,"Alert","Pass"))</f>
        <v/>
      </c>
      <c r="K2359" s="4">
        <f>DATE(YEAR(B2359),MONTH(B2359),1)</f>
        <v/>
      </c>
    </row>
    <row r="2360">
      <c r="A2360" t="inlineStr">
        <is>
          <t>EM002359</t>
        </is>
      </c>
      <c r="B2360" s="7" t="n">
        <v>46199</v>
      </c>
      <c r="C2360" t="inlineStr">
        <is>
          <t>CR-101</t>
        </is>
      </c>
      <c r="D2360" t="inlineStr">
        <is>
          <t>ISO 7</t>
        </is>
      </c>
      <c r="E2360" t="inlineStr">
        <is>
          <t>Compressed air</t>
        </is>
      </c>
      <c r="F2360" t="n">
        <v>0</v>
      </c>
      <c r="G2360" t="inlineStr">
        <is>
          <t>Tech A</t>
        </is>
      </c>
      <c r="H2360">
        <f>INDEX(Limits!$B$2:$B$5,MATCH(E2360,Limits!$A$2:$A$5,0))</f>
        <v/>
      </c>
      <c r="I2360">
        <f>INDEX(Limits!$C$2:$C$5,MATCH(E2360,Limits!$A$2:$A$5,0))</f>
        <v/>
      </c>
      <c r="J2360">
        <f>IF(F2360&gt;=I2360,"Action",IF(F2360&gt;=H2360,"Alert","Pass"))</f>
        <v/>
      </c>
      <c r="K2360" s="4">
        <f>DATE(YEAR(B2360),MONTH(B2360),1)</f>
        <v/>
      </c>
    </row>
    <row r="2361">
      <c r="A2361" t="inlineStr">
        <is>
          <t>EM002360</t>
        </is>
      </c>
      <c r="B2361" s="7" t="n">
        <v>46199</v>
      </c>
      <c r="C2361" t="inlineStr">
        <is>
          <t>CR-101</t>
        </is>
      </c>
      <c r="D2361" t="inlineStr">
        <is>
          <t>ISO 7</t>
        </is>
      </c>
      <c r="E2361" t="inlineStr">
        <is>
          <t>Personnel glove</t>
        </is>
      </c>
      <c r="F2361" t="n">
        <v>0</v>
      </c>
      <c r="G2361" t="inlineStr">
        <is>
          <t>Tech D</t>
        </is>
      </c>
      <c r="H2361">
        <f>INDEX(Limits!$B$2:$B$5,MATCH(E2361,Limits!$A$2:$A$5,0))</f>
        <v/>
      </c>
      <c r="I2361">
        <f>INDEX(Limits!$C$2:$C$5,MATCH(E2361,Limits!$A$2:$A$5,0))</f>
        <v/>
      </c>
      <c r="J2361">
        <f>IF(F2361&gt;=I2361,"Action",IF(F2361&gt;=H2361,"Alert","Pass"))</f>
        <v/>
      </c>
      <c r="K2361" s="4">
        <f>DATE(YEAR(B2361),MONTH(B2361),1)</f>
        <v/>
      </c>
    </row>
    <row r="2362">
      <c r="A2362" t="inlineStr">
        <is>
          <t>EM002361</t>
        </is>
      </c>
      <c r="B2362" s="7" t="n">
        <v>46199</v>
      </c>
      <c r="C2362" t="inlineStr">
        <is>
          <t>CR-102</t>
        </is>
      </c>
      <c r="D2362" t="inlineStr">
        <is>
          <t>ISO 7</t>
        </is>
      </c>
      <c r="E2362" t="inlineStr">
        <is>
          <t>Active air</t>
        </is>
      </c>
      <c r="F2362" t="n">
        <v>0</v>
      </c>
      <c r="G2362" t="inlineStr">
        <is>
          <t>Tech C</t>
        </is>
      </c>
      <c r="H2362">
        <f>INDEX(Limits!$B$2:$B$5,MATCH(E2362,Limits!$A$2:$A$5,0))</f>
        <v/>
      </c>
      <c r="I2362">
        <f>INDEX(Limits!$C$2:$C$5,MATCH(E2362,Limits!$A$2:$A$5,0))</f>
        <v/>
      </c>
      <c r="J2362">
        <f>IF(F2362&gt;=I2362,"Action",IF(F2362&gt;=H2362,"Alert","Pass"))</f>
        <v/>
      </c>
      <c r="K2362" s="4">
        <f>DATE(YEAR(B2362),MONTH(B2362),1)</f>
        <v/>
      </c>
    </row>
    <row r="2363">
      <c r="A2363" t="inlineStr">
        <is>
          <t>EM002362</t>
        </is>
      </c>
      <c r="B2363" s="7" t="n">
        <v>46199</v>
      </c>
      <c r="C2363" t="inlineStr">
        <is>
          <t>CR-102</t>
        </is>
      </c>
      <c r="D2363" t="inlineStr">
        <is>
          <t>ISO 7</t>
        </is>
      </c>
      <c r="E2363" t="inlineStr">
        <is>
          <t>Surface contact</t>
        </is>
      </c>
      <c r="F2363" t="n">
        <v>0</v>
      </c>
      <c r="G2363" t="inlineStr">
        <is>
          <t>Tech A</t>
        </is>
      </c>
      <c r="H2363">
        <f>INDEX(Limits!$B$2:$B$5,MATCH(E2363,Limits!$A$2:$A$5,0))</f>
        <v/>
      </c>
      <c r="I2363">
        <f>INDEX(Limits!$C$2:$C$5,MATCH(E2363,Limits!$A$2:$A$5,0))</f>
        <v/>
      </c>
      <c r="J2363">
        <f>IF(F2363&gt;=I2363,"Action",IF(F2363&gt;=H2363,"Alert","Pass"))</f>
        <v/>
      </c>
      <c r="K2363" s="4">
        <f>DATE(YEAR(B2363),MONTH(B2363),1)</f>
        <v/>
      </c>
    </row>
    <row r="2364">
      <c r="A2364" t="inlineStr">
        <is>
          <t>EM002363</t>
        </is>
      </c>
      <c r="B2364" s="7" t="n">
        <v>46199</v>
      </c>
      <c r="C2364" t="inlineStr">
        <is>
          <t>CR-102</t>
        </is>
      </c>
      <c r="D2364" t="inlineStr">
        <is>
          <t>ISO 7</t>
        </is>
      </c>
      <c r="E2364" t="inlineStr">
        <is>
          <t>Compressed air</t>
        </is>
      </c>
      <c r="F2364" t="n">
        <v>0</v>
      </c>
      <c r="G2364" t="inlineStr">
        <is>
          <t>Tech D</t>
        </is>
      </c>
      <c r="H2364">
        <f>INDEX(Limits!$B$2:$B$5,MATCH(E2364,Limits!$A$2:$A$5,0))</f>
        <v/>
      </c>
      <c r="I2364">
        <f>INDEX(Limits!$C$2:$C$5,MATCH(E2364,Limits!$A$2:$A$5,0))</f>
        <v/>
      </c>
      <c r="J2364">
        <f>IF(F2364&gt;=I2364,"Action",IF(F2364&gt;=H2364,"Alert","Pass"))</f>
        <v/>
      </c>
      <c r="K2364" s="4">
        <f>DATE(YEAR(B2364),MONTH(B2364),1)</f>
        <v/>
      </c>
    </row>
    <row r="2365">
      <c r="A2365" t="inlineStr">
        <is>
          <t>EM002364</t>
        </is>
      </c>
      <c r="B2365" s="7" t="n">
        <v>46199</v>
      </c>
      <c r="C2365" t="inlineStr">
        <is>
          <t>CR-102</t>
        </is>
      </c>
      <c r="D2365" t="inlineStr">
        <is>
          <t>ISO 7</t>
        </is>
      </c>
      <c r="E2365" t="inlineStr">
        <is>
          <t>Personnel glove</t>
        </is>
      </c>
      <c r="F2365" t="n">
        <v>0</v>
      </c>
      <c r="G2365" t="inlineStr">
        <is>
          <t>Tech C</t>
        </is>
      </c>
      <c r="H2365">
        <f>INDEX(Limits!$B$2:$B$5,MATCH(E2365,Limits!$A$2:$A$5,0))</f>
        <v/>
      </c>
      <c r="I2365">
        <f>INDEX(Limits!$C$2:$C$5,MATCH(E2365,Limits!$A$2:$A$5,0))</f>
        <v/>
      </c>
      <c r="J2365">
        <f>IF(F2365&gt;=I2365,"Action",IF(F2365&gt;=H2365,"Alert","Pass"))</f>
        <v/>
      </c>
      <c r="K2365" s="4">
        <f>DATE(YEAR(B2365),MONTH(B2365),1)</f>
        <v/>
      </c>
    </row>
    <row r="2366">
      <c r="A2366" t="inlineStr">
        <is>
          <t>EM002365</t>
        </is>
      </c>
      <c r="B2366" s="7" t="n">
        <v>46199</v>
      </c>
      <c r="C2366" t="inlineStr">
        <is>
          <t>CR-201</t>
        </is>
      </c>
      <c r="D2366" t="inlineStr">
        <is>
          <t>ISO 8</t>
        </is>
      </c>
      <c r="E2366" t="inlineStr">
        <is>
          <t>Active air</t>
        </is>
      </c>
      <c r="F2366" t="n">
        <v>2</v>
      </c>
      <c r="G2366" t="inlineStr">
        <is>
          <t>Tech C</t>
        </is>
      </c>
      <c r="H2366">
        <f>INDEX(Limits!$B$2:$B$5,MATCH(E2366,Limits!$A$2:$A$5,0))</f>
        <v/>
      </c>
      <c r="I2366">
        <f>INDEX(Limits!$C$2:$C$5,MATCH(E2366,Limits!$A$2:$A$5,0))</f>
        <v/>
      </c>
      <c r="J2366">
        <f>IF(F2366&gt;=I2366,"Action",IF(F2366&gt;=H2366,"Alert","Pass"))</f>
        <v/>
      </c>
      <c r="K2366" s="4">
        <f>DATE(YEAR(B2366),MONTH(B2366),1)</f>
        <v/>
      </c>
    </row>
    <row r="2367">
      <c r="A2367" t="inlineStr">
        <is>
          <t>EM002366</t>
        </is>
      </c>
      <c r="B2367" s="7" t="n">
        <v>46199</v>
      </c>
      <c r="C2367" t="inlineStr">
        <is>
          <t>CR-201</t>
        </is>
      </c>
      <c r="D2367" t="inlineStr">
        <is>
          <t>ISO 8</t>
        </is>
      </c>
      <c r="E2367" t="inlineStr">
        <is>
          <t>Surface contact</t>
        </is>
      </c>
      <c r="F2367" t="n">
        <v>0</v>
      </c>
      <c r="G2367" t="inlineStr">
        <is>
          <t>Tech A</t>
        </is>
      </c>
      <c r="H2367">
        <f>INDEX(Limits!$B$2:$B$5,MATCH(E2367,Limits!$A$2:$A$5,0))</f>
        <v/>
      </c>
      <c r="I2367">
        <f>INDEX(Limits!$C$2:$C$5,MATCH(E2367,Limits!$A$2:$A$5,0))</f>
        <v/>
      </c>
      <c r="J2367">
        <f>IF(F2367&gt;=I2367,"Action",IF(F2367&gt;=H2367,"Alert","Pass"))</f>
        <v/>
      </c>
      <c r="K2367" s="4">
        <f>DATE(YEAR(B2367),MONTH(B2367),1)</f>
        <v/>
      </c>
    </row>
    <row r="2368">
      <c r="A2368" t="inlineStr">
        <is>
          <t>EM002367</t>
        </is>
      </c>
      <c r="B2368" s="7" t="n">
        <v>46199</v>
      </c>
      <c r="C2368" t="inlineStr">
        <is>
          <t>CR-201</t>
        </is>
      </c>
      <c r="D2368" t="inlineStr">
        <is>
          <t>ISO 8</t>
        </is>
      </c>
      <c r="E2368" t="inlineStr">
        <is>
          <t>Compressed air</t>
        </is>
      </c>
      <c r="F2368" t="n">
        <v>0</v>
      </c>
      <c r="G2368" t="inlineStr">
        <is>
          <t>Tech B</t>
        </is>
      </c>
      <c r="H2368">
        <f>INDEX(Limits!$B$2:$B$5,MATCH(E2368,Limits!$A$2:$A$5,0))</f>
        <v/>
      </c>
      <c r="I2368">
        <f>INDEX(Limits!$C$2:$C$5,MATCH(E2368,Limits!$A$2:$A$5,0))</f>
        <v/>
      </c>
      <c r="J2368">
        <f>IF(F2368&gt;=I2368,"Action",IF(F2368&gt;=H2368,"Alert","Pass"))</f>
        <v/>
      </c>
      <c r="K2368" s="4">
        <f>DATE(YEAR(B2368),MONTH(B2368),1)</f>
        <v/>
      </c>
    </row>
    <row r="2369">
      <c r="A2369" t="inlineStr">
        <is>
          <t>EM002368</t>
        </is>
      </c>
      <c r="B2369" s="7" t="n">
        <v>46199</v>
      </c>
      <c r="C2369" t="inlineStr">
        <is>
          <t>CR-201</t>
        </is>
      </c>
      <c r="D2369" t="inlineStr">
        <is>
          <t>ISO 8</t>
        </is>
      </c>
      <c r="E2369" t="inlineStr">
        <is>
          <t>Personnel glove</t>
        </is>
      </c>
      <c r="F2369" t="n">
        <v>1</v>
      </c>
      <c r="G2369" t="inlineStr">
        <is>
          <t>Tech C</t>
        </is>
      </c>
      <c r="H2369">
        <f>INDEX(Limits!$B$2:$B$5,MATCH(E2369,Limits!$A$2:$A$5,0))</f>
        <v/>
      </c>
      <c r="I2369">
        <f>INDEX(Limits!$C$2:$C$5,MATCH(E2369,Limits!$A$2:$A$5,0))</f>
        <v/>
      </c>
      <c r="J2369">
        <f>IF(F2369&gt;=I2369,"Action",IF(F2369&gt;=H2369,"Alert","Pass"))</f>
        <v/>
      </c>
      <c r="K2369" s="4">
        <f>DATE(YEAR(B2369),MONTH(B2369),1)</f>
        <v/>
      </c>
    </row>
    <row r="2370">
      <c r="A2370" t="inlineStr">
        <is>
          <t>EM002369</t>
        </is>
      </c>
      <c r="B2370" s="7" t="n">
        <v>46199</v>
      </c>
      <c r="C2370" t="inlineStr">
        <is>
          <t>CR-202</t>
        </is>
      </c>
      <c r="D2370" t="inlineStr">
        <is>
          <t>ISO 8</t>
        </is>
      </c>
      <c r="E2370" t="inlineStr">
        <is>
          <t>Active air</t>
        </is>
      </c>
      <c r="F2370" t="n">
        <v>3</v>
      </c>
      <c r="G2370" t="inlineStr">
        <is>
          <t>Tech C</t>
        </is>
      </c>
      <c r="H2370">
        <f>INDEX(Limits!$B$2:$B$5,MATCH(E2370,Limits!$A$2:$A$5,0))</f>
        <v/>
      </c>
      <c r="I2370">
        <f>INDEX(Limits!$C$2:$C$5,MATCH(E2370,Limits!$A$2:$A$5,0))</f>
        <v/>
      </c>
      <c r="J2370">
        <f>IF(F2370&gt;=I2370,"Action",IF(F2370&gt;=H2370,"Alert","Pass"))</f>
        <v/>
      </c>
      <c r="K2370" s="4">
        <f>DATE(YEAR(B2370),MONTH(B2370),1)</f>
        <v/>
      </c>
    </row>
    <row r="2371">
      <c r="A2371" t="inlineStr">
        <is>
          <t>EM002370</t>
        </is>
      </c>
      <c r="B2371" s="7" t="n">
        <v>46199</v>
      </c>
      <c r="C2371" t="inlineStr">
        <is>
          <t>CR-202</t>
        </is>
      </c>
      <c r="D2371" t="inlineStr">
        <is>
          <t>ISO 8</t>
        </is>
      </c>
      <c r="E2371" t="inlineStr">
        <is>
          <t>Surface contact</t>
        </is>
      </c>
      <c r="F2371" t="n">
        <v>0</v>
      </c>
      <c r="G2371" t="inlineStr">
        <is>
          <t>Tech B</t>
        </is>
      </c>
      <c r="H2371">
        <f>INDEX(Limits!$B$2:$B$5,MATCH(E2371,Limits!$A$2:$A$5,0))</f>
        <v/>
      </c>
      <c r="I2371">
        <f>INDEX(Limits!$C$2:$C$5,MATCH(E2371,Limits!$A$2:$A$5,0))</f>
        <v/>
      </c>
      <c r="J2371">
        <f>IF(F2371&gt;=I2371,"Action",IF(F2371&gt;=H2371,"Alert","Pass"))</f>
        <v/>
      </c>
      <c r="K2371" s="4">
        <f>DATE(YEAR(B2371),MONTH(B2371),1)</f>
        <v/>
      </c>
    </row>
    <row r="2372">
      <c r="A2372" t="inlineStr">
        <is>
          <t>EM002371</t>
        </is>
      </c>
      <c r="B2372" s="7" t="n">
        <v>46199</v>
      </c>
      <c r="C2372" t="inlineStr">
        <is>
          <t>CR-202</t>
        </is>
      </c>
      <c r="D2372" t="inlineStr">
        <is>
          <t>ISO 8</t>
        </is>
      </c>
      <c r="E2372" t="inlineStr">
        <is>
          <t>Compressed air</t>
        </is>
      </c>
      <c r="F2372" t="n">
        <v>0</v>
      </c>
      <c r="G2372" t="inlineStr">
        <is>
          <t>Tech D</t>
        </is>
      </c>
      <c r="H2372">
        <f>INDEX(Limits!$B$2:$B$5,MATCH(E2372,Limits!$A$2:$A$5,0))</f>
        <v/>
      </c>
      <c r="I2372">
        <f>INDEX(Limits!$C$2:$C$5,MATCH(E2372,Limits!$A$2:$A$5,0))</f>
        <v/>
      </c>
      <c r="J2372">
        <f>IF(F2372&gt;=I2372,"Action",IF(F2372&gt;=H2372,"Alert","Pass"))</f>
        <v/>
      </c>
      <c r="K2372" s="4">
        <f>DATE(YEAR(B2372),MONTH(B2372),1)</f>
        <v/>
      </c>
    </row>
    <row r="2373">
      <c r="A2373" t="inlineStr">
        <is>
          <t>EM002372</t>
        </is>
      </c>
      <c r="B2373" s="7" t="n">
        <v>46199</v>
      </c>
      <c r="C2373" t="inlineStr">
        <is>
          <t>CR-202</t>
        </is>
      </c>
      <c r="D2373" t="inlineStr">
        <is>
          <t>ISO 8</t>
        </is>
      </c>
      <c r="E2373" t="inlineStr">
        <is>
          <t>Personnel glove</t>
        </is>
      </c>
      <c r="F2373" t="n">
        <v>1</v>
      </c>
      <c r="G2373" t="inlineStr">
        <is>
          <t>Tech D</t>
        </is>
      </c>
      <c r="H2373">
        <f>INDEX(Limits!$B$2:$B$5,MATCH(E2373,Limits!$A$2:$A$5,0))</f>
        <v/>
      </c>
      <c r="I2373">
        <f>INDEX(Limits!$C$2:$C$5,MATCH(E2373,Limits!$A$2:$A$5,0))</f>
        <v/>
      </c>
      <c r="J2373">
        <f>IF(F2373&gt;=I2373,"Action",IF(F2373&gt;=H2373,"Alert","Pass"))</f>
        <v/>
      </c>
      <c r="K2373" s="4">
        <f>DATE(YEAR(B2373),MONTH(B2373),1)</f>
        <v/>
      </c>
    </row>
    <row r="2374">
      <c r="A2374" t="inlineStr">
        <is>
          <t>EM002373</t>
        </is>
      </c>
      <c r="B2374" s="7" t="n">
        <v>46199</v>
      </c>
      <c r="C2374" t="inlineStr">
        <is>
          <t>Gowning</t>
        </is>
      </c>
      <c r="D2374" t="inlineStr">
        <is>
          <t>ISO 8</t>
        </is>
      </c>
      <c r="E2374" t="inlineStr">
        <is>
          <t>Active air</t>
        </is>
      </c>
      <c r="F2374" t="n">
        <v>0</v>
      </c>
      <c r="G2374" t="inlineStr">
        <is>
          <t>Tech D</t>
        </is>
      </c>
      <c r="H2374">
        <f>INDEX(Limits!$B$2:$B$5,MATCH(E2374,Limits!$A$2:$A$5,0))</f>
        <v/>
      </c>
      <c r="I2374">
        <f>INDEX(Limits!$C$2:$C$5,MATCH(E2374,Limits!$A$2:$A$5,0))</f>
        <v/>
      </c>
      <c r="J2374">
        <f>IF(F2374&gt;=I2374,"Action",IF(F2374&gt;=H2374,"Alert","Pass"))</f>
        <v/>
      </c>
      <c r="K2374" s="4">
        <f>DATE(YEAR(B2374),MONTH(B2374),1)</f>
        <v/>
      </c>
    </row>
    <row r="2375">
      <c r="A2375" t="inlineStr">
        <is>
          <t>EM002374</t>
        </is>
      </c>
      <c r="B2375" s="7" t="n">
        <v>46199</v>
      </c>
      <c r="C2375" t="inlineStr">
        <is>
          <t>Gowning</t>
        </is>
      </c>
      <c r="D2375" t="inlineStr">
        <is>
          <t>ISO 8</t>
        </is>
      </c>
      <c r="E2375" t="inlineStr">
        <is>
          <t>Surface contact</t>
        </is>
      </c>
      <c r="F2375" t="n">
        <v>0</v>
      </c>
      <c r="G2375" t="inlineStr">
        <is>
          <t>Tech A</t>
        </is>
      </c>
      <c r="H2375">
        <f>INDEX(Limits!$B$2:$B$5,MATCH(E2375,Limits!$A$2:$A$5,0))</f>
        <v/>
      </c>
      <c r="I2375">
        <f>INDEX(Limits!$C$2:$C$5,MATCH(E2375,Limits!$A$2:$A$5,0))</f>
        <v/>
      </c>
      <c r="J2375">
        <f>IF(F2375&gt;=I2375,"Action",IF(F2375&gt;=H2375,"Alert","Pass"))</f>
        <v/>
      </c>
      <c r="K2375" s="4">
        <f>DATE(YEAR(B2375),MONTH(B2375),1)</f>
        <v/>
      </c>
    </row>
    <row r="2376">
      <c r="A2376" t="inlineStr">
        <is>
          <t>EM002375</t>
        </is>
      </c>
      <c r="B2376" s="7" t="n">
        <v>46199</v>
      </c>
      <c r="C2376" t="inlineStr">
        <is>
          <t>Gowning</t>
        </is>
      </c>
      <c r="D2376" t="inlineStr">
        <is>
          <t>ISO 8</t>
        </is>
      </c>
      <c r="E2376" t="inlineStr">
        <is>
          <t>Personnel glove</t>
        </is>
      </c>
      <c r="F2376" t="n">
        <v>0</v>
      </c>
      <c r="G2376" t="inlineStr">
        <is>
          <t>Tech B</t>
        </is>
      </c>
      <c r="H2376">
        <f>INDEX(Limits!$B$2:$B$5,MATCH(E2376,Limits!$A$2:$A$5,0))</f>
        <v/>
      </c>
      <c r="I2376">
        <f>INDEX(Limits!$C$2:$C$5,MATCH(E2376,Limits!$A$2:$A$5,0))</f>
        <v/>
      </c>
      <c r="J2376">
        <f>IF(F2376&gt;=I2376,"Action",IF(F2376&gt;=H2376,"Alert","Pass"))</f>
        <v/>
      </c>
      <c r="K2376" s="4">
        <f>DATE(YEAR(B2376),MONTH(B2376),1)</f>
        <v/>
      </c>
    </row>
    <row r="2377">
      <c r="A2377" t="inlineStr">
        <is>
          <t>EM002376</t>
        </is>
      </c>
      <c r="B2377" s="7" t="n">
        <v>46202</v>
      </c>
      <c r="C2377" t="inlineStr">
        <is>
          <t>CR-101</t>
        </is>
      </c>
      <c r="D2377" t="inlineStr">
        <is>
          <t>ISO 7</t>
        </is>
      </c>
      <c r="E2377" t="inlineStr">
        <is>
          <t>Active air</t>
        </is>
      </c>
      <c r="F2377" t="n">
        <v>0</v>
      </c>
      <c r="G2377" t="inlineStr">
        <is>
          <t>Tech C</t>
        </is>
      </c>
      <c r="H2377">
        <f>INDEX(Limits!$B$2:$B$5,MATCH(E2377,Limits!$A$2:$A$5,0))</f>
        <v/>
      </c>
      <c r="I2377">
        <f>INDEX(Limits!$C$2:$C$5,MATCH(E2377,Limits!$A$2:$A$5,0))</f>
        <v/>
      </c>
      <c r="J2377">
        <f>IF(F2377&gt;=I2377,"Action",IF(F2377&gt;=H2377,"Alert","Pass"))</f>
        <v/>
      </c>
      <c r="K2377" s="4">
        <f>DATE(YEAR(B2377),MONTH(B2377),1)</f>
        <v/>
      </c>
    </row>
    <row r="2378">
      <c r="A2378" t="inlineStr">
        <is>
          <t>EM002377</t>
        </is>
      </c>
      <c r="B2378" s="7" t="n">
        <v>46202</v>
      </c>
      <c r="C2378" t="inlineStr">
        <is>
          <t>CR-101</t>
        </is>
      </c>
      <c r="D2378" t="inlineStr">
        <is>
          <t>ISO 7</t>
        </is>
      </c>
      <c r="E2378" t="inlineStr">
        <is>
          <t>Surface contact</t>
        </is>
      </c>
      <c r="F2378" t="n">
        <v>0</v>
      </c>
      <c r="G2378" t="inlineStr">
        <is>
          <t>Tech D</t>
        </is>
      </c>
      <c r="H2378">
        <f>INDEX(Limits!$B$2:$B$5,MATCH(E2378,Limits!$A$2:$A$5,0))</f>
        <v/>
      </c>
      <c r="I2378">
        <f>INDEX(Limits!$C$2:$C$5,MATCH(E2378,Limits!$A$2:$A$5,0))</f>
        <v/>
      </c>
      <c r="J2378">
        <f>IF(F2378&gt;=I2378,"Action",IF(F2378&gt;=H2378,"Alert","Pass"))</f>
        <v/>
      </c>
      <c r="K2378" s="4">
        <f>DATE(YEAR(B2378),MONTH(B2378),1)</f>
        <v/>
      </c>
    </row>
    <row r="2379">
      <c r="A2379" t="inlineStr">
        <is>
          <t>EM002378</t>
        </is>
      </c>
      <c r="B2379" s="7" t="n">
        <v>46202</v>
      </c>
      <c r="C2379" t="inlineStr">
        <is>
          <t>CR-101</t>
        </is>
      </c>
      <c r="D2379" t="inlineStr">
        <is>
          <t>ISO 7</t>
        </is>
      </c>
      <c r="E2379" t="inlineStr">
        <is>
          <t>Compressed air</t>
        </is>
      </c>
      <c r="F2379" t="n">
        <v>0</v>
      </c>
      <c r="G2379" t="inlineStr">
        <is>
          <t>Tech D</t>
        </is>
      </c>
      <c r="H2379">
        <f>INDEX(Limits!$B$2:$B$5,MATCH(E2379,Limits!$A$2:$A$5,0))</f>
        <v/>
      </c>
      <c r="I2379">
        <f>INDEX(Limits!$C$2:$C$5,MATCH(E2379,Limits!$A$2:$A$5,0))</f>
        <v/>
      </c>
      <c r="J2379">
        <f>IF(F2379&gt;=I2379,"Action",IF(F2379&gt;=H2379,"Alert","Pass"))</f>
        <v/>
      </c>
      <c r="K2379" s="4">
        <f>DATE(YEAR(B2379),MONTH(B2379),1)</f>
        <v/>
      </c>
    </row>
    <row r="2380">
      <c r="A2380" t="inlineStr">
        <is>
          <t>EM002379</t>
        </is>
      </c>
      <c r="B2380" s="7" t="n">
        <v>46202</v>
      </c>
      <c r="C2380" t="inlineStr">
        <is>
          <t>CR-101</t>
        </is>
      </c>
      <c r="D2380" t="inlineStr">
        <is>
          <t>ISO 7</t>
        </is>
      </c>
      <c r="E2380" t="inlineStr">
        <is>
          <t>Personnel glove</t>
        </is>
      </c>
      <c r="F2380" t="n">
        <v>0</v>
      </c>
      <c r="G2380" t="inlineStr">
        <is>
          <t>Tech D</t>
        </is>
      </c>
      <c r="H2380">
        <f>INDEX(Limits!$B$2:$B$5,MATCH(E2380,Limits!$A$2:$A$5,0))</f>
        <v/>
      </c>
      <c r="I2380">
        <f>INDEX(Limits!$C$2:$C$5,MATCH(E2380,Limits!$A$2:$A$5,0))</f>
        <v/>
      </c>
      <c r="J2380">
        <f>IF(F2380&gt;=I2380,"Action",IF(F2380&gt;=H2380,"Alert","Pass"))</f>
        <v/>
      </c>
      <c r="K2380" s="4">
        <f>DATE(YEAR(B2380),MONTH(B2380),1)</f>
        <v/>
      </c>
    </row>
    <row r="2381">
      <c r="A2381" t="inlineStr">
        <is>
          <t>EM002380</t>
        </is>
      </c>
      <c r="B2381" s="7" t="n">
        <v>46202</v>
      </c>
      <c r="C2381" t="inlineStr">
        <is>
          <t>CR-102</t>
        </is>
      </c>
      <c r="D2381" t="inlineStr">
        <is>
          <t>ISO 7</t>
        </is>
      </c>
      <c r="E2381" t="inlineStr">
        <is>
          <t>Active air</t>
        </is>
      </c>
      <c r="F2381" t="n">
        <v>1</v>
      </c>
      <c r="G2381" t="inlineStr">
        <is>
          <t>Tech B</t>
        </is>
      </c>
      <c r="H2381">
        <f>INDEX(Limits!$B$2:$B$5,MATCH(E2381,Limits!$A$2:$A$5,0))</f>
        <v/>
      </c>
      <c r="I2381">
        <f>INDEX(Limits!$C$2:$C$5,MATCH(E2381,Limits!$A$2:$A$5,0))</f>
        <v/>
      </c>
      <c r="J2381">
        <f>IF(F2381&gt;=I2381,"Action",IF(F2381&gt;=H2381,"Alert","Pass"))</f>
        <v/>
      </c>
      <c r="K2381" s="4">
        <f>DATE(YEAR(B2381),MONTH(B2381),1)</f>
        <v/>
      </c>
    </row>
    <row r="2382">
      <c r="A2382" t="inlineStr">
        <is>
          <t>EM002381</t>
        </is>
      </c>
      <c r="B2382" s="7" t="n">
        <v>46202</v>
      </c>
      <c r="C2382" t="inlineStr">
        <is>
          <t>CR-102</t>
        </is>
      </c>
      <c r="D2382" t="inlineStr">
        <is>
          <t>ISO 7</t>
        </is>
      </c>
      <c r="E2382" t="inlineStr">
        <is>
          <t>Surface contact</t>
        </is>
      </c>
      <c r="F2382" t="n">
        <v>0</v>
      </c>
      <c r="G2382" t="inlineStr">
        <is>
          <t>Tech C</t>
        </is>
      </c>
      <c r="H2382">
        <f>INDEX(Limits!$B$2:$B$5,MATCH(E2382,Limits!$A$2:$A$5,0))</f>
        <v/>
      </c>
      <c r="I2382">
        <f>INDEX(Limits!$C$2:$C$5,MATCH(E2382,Limits!$A$2:$A$5,0))</f>
        <v/>
      </c>
      <c r="J2382">
        <f>IF(F2382&gt;=I2382,"Action",IF(F2382&gt;=H2382,"Alert","Pass"))</f>
        <v/>
      </c>
      <c r="K2382" s="4">
        <f>DATE(YEAR(B2382),MONTH(B2382),1)</f>
        <v/>
      </c>
    </row>
    <row r="2383">
      <c r="A2383" t="inlineStr">
        <is>
          <t>EM002382</t>
        </is>
      </c>
      <c r="B2383" s="7" t="n">
        <v>46202</v>
      </c>
      <c r="C2383" t="inlineStr">
        <is>
          <t>CR-102</t>
        </is>
      </c>
      <c r="D2383" t="inlineStr">
        <is>
          <t>ISO 7</t>
        </is>
      </c>
      <c r="E2383" t="inlineStr">
        <is>
          <t>Compressed air</t>
        </is>
      </c>
      <c r="F2383" t="n">
        <v>0</v>
      </c>
      <c r="G2383" t="inlineStr">
        <is>
          <t>Tech D</t>
        </is>
      </c>
      <c r="H2383">
        <f>INDEX(Limits!$B$2:$B$5,MATCH(E2383,Limits!$A$2:$A$5,0))</f>
        <v/>
      </c>
      <c r="I2383">
        <f>INDEX(Limits!$C$2:$C$5,MATCH(E2383,Limits!$A$2:$A$5,0))</f>
        <v/>
      </c>
      <c r="J2383">
        <f>IF(F2383&gt;=I2383,"Action",IF(F2383&gt;=H2383,"Alert","Pass"))</f>
        <v/>
      </c>
      <c r="K2383" s="4">
        <f>DATE(YEAR(B2383),MONTH(B2383),1)</f>
        <v/>
      </c>
    </row>
    <row r="2384">
      <c r="A2384" t="inlineStr">
        <is>
          <t>EM002383</t>
        </is>
      </c>
      <c r="B2384" s="7" t="n">
        <v>46202</v>
      </c>
      <c r="C2384" t="inlineStr">
        <is>
          <t>CR-102</t>
        </is>
      </c>
      <c r="D2384" t="inlineStr">
        <is>
          <t>ISO 7</t>
        </is>
      </c>
      <c r="E2384" t="inlineStr">
        <is>
          <t>Personnel glove</t>
        </is>
      </c>
      <c r="F2384" t="n">
        <v>0</v>
      </c>
      <c r="G2384" t="inlineStr">
        <is>
          <t>Tech C</t>
        </is>
      </c>
      <c r="H2384">
        <f>INDEX(Limits!$B$2:$B$5,MATCH(E2384,Limits!$A$2:$A$5,0))</f>
        <v/>
      </c>
      <c r="I2384">
        <f>INDEX(Limits!$C$2:$C$5,MATCH(E2384,Limits!$A$2:$A$5,0))</f>
        <v/>
      </c>
      <c r="J2384">
        <f>IF(F2384&gt;=I2384,"Action",IF(F2384&gt;=H2384,"Alert","Pass"))</f>
        <v/>
      </c>
      <c r="K2384" s="4">
        <f>DATE(YEAR(B2384),MONTH(B2384),1)</f>
        <v/>
      </c>
    </row>
    <row r="2385">
      <c r="A2385" t="inlineStr">
        <is>
          <t>EM002384</t>
        </is>
      </c>
      <c r="B2385" s="7" t="n">
        <v>46202</v>
      </c>
      <c r="C2385" t="inlineStr">
        <is>
          <t>CR-201</t>
        </is>
      </c>
      <c r="D2385" t="inlineStr">
        <is>
          <t>ISO 8</t>
        </is>
      </c>
      <c r="E2385" t="inlineStr">
        <is>
          <t>Active air</t>
        </is>
      </c>
      <c r="F2385" t="n">
        <v>1</v>
      </c>
      <c r="G2385" t="inlineStr">
        <is>
          <t>Tech B</t>
        </is>
      </c>
      <c r="H2385">
        <f>INDEX(Limits!$B$2:$B$5,MATCH(E2385,Limits!$A$2:$A$5,0))</f>
        <v/>
      </c>
      <c r="I2385">
        <f>INDEX(Limits!$C$2:$C$5,MATCH(E2385,Limits!$A$2:$A$5,0))</f>
        <v/>
      </c>
      <c r="J2385">
        <f>IF(F2385&gt;=I2385,"Action",IF(F2385&gt;=H2385,"Alert","Pass"))</f>
        <v/>
      </c>
      <c r="K2385" s="4">
        <f>DATE(YEAR(B2385),MONTH(B2385),1)</f>
        <v/>
      </c>
    </row>
    <row r="2386">
      <c r="A2386" t="inlineStr">
        <is>
          <t>EM002385</t>
        </is>
      </c>
      <c r="B2386" s="7" t="n">
        <v>46202</v>
      </c>
      <c r="C2386" t="inlineStr">
        <is>
          <t>CR-201</t>
        </is>
      </c>
      <c r="D2386" t="inlineStr">
        <is>
          <t>ISO 8</t>
        </is>
      </c>
      <c r="E2386" t="inlineStr">
        <is>
          <t>Surface contact</t>
        </is>
      </c>
      <c r="F2386" t="n">
        <v>1</v>
      </c>
      <c r="G2386" t="inlineStr">
        <is>
          <t>Tech D</t>
        </is>
      </c>
      <c r="H2386">
        <f>INDEX(Limits!$B$2:$B$5,MATCH(E2386,Limits!$A$2:$A$5,0))</f>
        <v/>
      </c>
      <c r="I2386">
        <f>INDEX(Limits!$C$2:$C$5,MATCH(E2386,Limits!$A$2:$A$5,0))</f>
        <v/>
      </c>
      <c r="J2386">
        <f>IF(F2386&gt;=I2386,"Action",IF(F2386&gt;=H2386,"Alert","Pass"))</f>
        <v/>
      </c>
      <c r="K2386" s="4">
        <f>DATE(YEAR(B2386),MONTH(B2386),1)</f>
        <v/>
      </c>
    </row>
    <row r="2387">
      <c r="A2387" t="inlineStr">
        <is>
          <t>EM002386</t>
        </is>
      </c>
      <c r="B2387" s="7" t="n">
        <v>46202</v>
      </c>
      <c r="C2387" t="inlineStr">
        <is>
          <t>CR-201</t>
        </is>
      </c>
      <c r="D2387" t="inlineStr">
        <is>
          <t>ISO 8</t>
        </is>
      </c>
      <c r="E2387" t="inlineStr">
        <is>
          <t>Compressed air</t>
        </is>
      </c>
      <c r="F2387" t="n">
        <v>0</v>
      </c>
      <c r="G2387" t="inlineStr">
        <is>
          <t>Tech D</t>
        </is>
      </c>
      <c r="H2387">
        <f>INDEX(Limits!$B$2:$B$5,MATCH(E2387,Limits!$A$2:$A$5,0))</f>
        <v/>
      </c>
      <c r="I2387">
        <f>INDEX(Limits!$C$2:$C$5,MATCH(E2387,Limits!$A$2:$A$5,0))</f>
        <v/>
      </c>
      <c r="J2387">
        <f>IF(F2387&gt;=I2387,"Action",IF(F2387&gt;=H2387,"Alert","Pass"))</f>
        <v/>
      </c>
      <c r="K2387" s="4">
        <f>DATE(YEAR(B2387),MONTH(B2387),1)</f>
        <v/>
      </c>
    </row>
    <row r="2388">
      <c r="A2388" t="inlineStr">
        <is>
          <t>EM002387</t>
        </is>
      </c>
      <c r="B2388" s="7" t="n">
        <v>46202</v>
      </c>
      <c r="C2388" t="inlineStr">
        <is>
          <t>CR-201</t>
        </is>
      </c>
      <c r="D2388" t="inlineStr">
        <is>
          <t>ISO 8</t>
        </is>
      </c>
      <c r="E2388" t="inlineStr">
        <is>
          <t>Personnel glove</t>
        </is>
      </c>
      <c r="F2388" t="n">
        <v>0</v>
      </c>
      <c r="G2388" t="inlineStr">
        <is>
          <t>Tech A</t>
        </is>
      </c>
      <c r="H2388">
        <f>INDEX(Limits!$B$2:$B$5,MATCH(E2388,Limits!$A$2:$A$5,0))</f>
        <v/>
      </c>
      <c r="I2388">
        <f>INDEX(Limits!$C$2:$C$5,MATCH(E2388,Limits!$A$2:$A$5,0))</f>
        <v/>
      </c>
      <c r="J2388">
        <f>IF(F2388&gt;=I2388,"Action",IF(F2388&gt;=H2388,"Alert","Pass"))</f>
        <v/>
      </c>
      <c r="K2388" s="4">
        <f>DATE(YEAR(B2388),MONTH(B2388),1)</f>
        <v/>
      </c>
    </row>
    <row r="2389">
      <c r="A2389" t="inlineStr">
        <is>
          <t>EM002388</t>
        </is>
      </c>
      <c r="B2389" s="7" t="n">
        <v>46202</v>
      </c>
      <c r="C2389" t="inlineStr">
        <is>
          <t>CR-202</t>
        </is>
      </c>
      <c r="D2389" t="inlineStr">
        <is>
          <t>ISO 8</t>
        </is>
      </c>
      <c r="E2389" t="inlineStr">
        <is>
          <t>Active air</t>
        </is>
      </c>
      <c r="F2389" t="n">
        <v>1</v>
      </c>
      <c r="G2389" t="inlineStr">
        <is>
          <t>Tech A</t>
        </is>
      </c>
      <c r="H2389">
        <f>INDEX(Limits!$B$2:$B$5,MATCH(E2389,Limits!$A$2:$A$5,0))</f>
        <v/>
      </c>
      <c r="I2389">
        <f>INDEX(Limits!$C$2:$C$5,MATCH(E2389,Limits!$A$2:$A$5,0))</f>
        <v/>
      </c>
      <c r="J2389">
        <f>IF(F2389&gt;=I2389,"Action",IF(F2389&gt;=H2389,"Alert","Pass"))</f>
        <v/>
      </c>
      <c r="K2389" s="4">
        <f>DATE(YEAR(B2389),MONTH(B2389),1)</f>
        <v/>
      </c>
    </row>
    <row r="2390">
      <c r="A2390" t="inlineStr">
        <is>
          <t>EM002389</t>
        </is>
      </c>
      <c r="B2390" s="7" t="n">
        <v>46202</v>
      </c>
      <c r="C2390" t="inlineStr">
        <is>
          <t>CR-202</t>
        </is>
      </c>
      <c r="D2390" t="inlineStr">
        <is>
          <t>ISO 8</t>
        </is>
      </c>
      <c r="E2390" t="inlineStr">
        <is>
          <t>Surface contact</t>
        </is>
      </c>
      <c r="F2390" t="n">
        <v>1</v>
      </c>
      <c r="G2390" t="inlineStr">
        <is>
          <t>Tech B</t>
        </is>
      </c>
      <c r="H2390">
        <f>INDEX(Limits!$B$2:$B$5,MATCH(E2390,Limits!$A$2:$A$5,0))</f>
        <v/>
      </c>
      <c r="I2390">
        <f>INDEX(Limits!$C$2:$C$5,MATCH(E2390,Limits!$A$2:$A$5,0))</f>
        <v/>
      </c>
      <c r="J2390">
        <f>IF(F2390&gt;=I2390,"Action",IF(F2390&gt;=H2390,"Alert","Pass"))</f>
        <v/>
      </c>
      <c r="K2390" s="4">
        <f>DATE(YEAR(B2390),MONTH(B2390),1)</f>
        <v/>
      </c>
    </row>
    <row r="2391">
      <c r="A2391" t="inlineStr">
        <is>
          <t>EM002390</t>
        </is>
      </c>
      <c r="B2391" s="7" t="n">
        <v>46202</v>
      </c>
      <c r="C2391" t="inlineStr">
        <is>
          <t>CR-202</t>
        </is>
      </c>
      <c r="D2391" t="inlineStr">
        <is>
          <t>ISO 8</t>
        </is>
      </c>
      <c r="E2391" t="inlineStr">
        <is>
          <t>Compressed air</t>
        </is>
      </c>
      <c r="F2391" t="n">
        <v>0</v>
      </c>
      <c r="G2391" t="inlineStr">
        <is>
          <t>Tech C</t>
        </is>
      </c>
      <c r="H2391">
        <f>INDEX(Limits!$B$2:$B$5,MATCH(E2391,Limits!$A$2:$A$5,0))</f>
        <v/>
      </c>
      <c r="I2391">
        <f>INDEX(Limits!$C$2:$C$5,MATCH(E2391,Limits!$A$2:$A$5,0))</f>
        <v/>
      </c>
      <c r="J2391">
        <f>IF(F2391&gt;=I2391,"Action",IF(F2391&gt;=H2391,"Alert","Pass"))</f>
        <v/>
      </c>
      <c r="K2391" s="4">
        <f>DATE(YEAR(B2391),MONTH(B2391),1)</f>
        <v/>
      </c>
    </row>
    <row r="2392">
      <c r="A2392" t="inlineStr">
        <is>
          <t>EM002391</t>
        </is>
      </c>
      <c r="B2392" s="7" t="n">
        <v>46202</v>
      </c>
      <c r="C2392" t="inlineStr">
        <is>
          <t>CR-202</t>
        </is>
      </c>
      <c r="D2392" t="inlineStr">
        <is>
          <t>ISO 8</t>
        </is>
      </c>
      <c r="E2392" t="inlineStr">
        <is>
          <t>Personnel glove</t>
        </is>
      </c>
      <c r="F2392" t="n">
        <v>0</v>
      </c>
      <c r="G2392" t="inlineStr">
        <is>
          <t>Tech B</t>
        </is>
      </c>
      <c r="H2392">
        <f>INDEX(Limits!$B$2:$B$5,MATCH(E2392,Limits!$A$2:$A$5,0))</f>
        <v/>
      </c>
      <c r="I2392">
        <f>INDEX(Limits!$C$2:$C$5,MATCH(E2392,Limits!$A$2:$A$5,0))</f>
        <v/>
      </c>
      <c r="J2392">
        <f>IF(F2392&gt;=I2392,"Action",IF(F2392&gt;=H2392,"Alert","Pass"))</f>
        <v/>
      </c>
      <c r="K2392" s="4">
        <f>DATE(YEAR(B2392),MONTH(B2392),1)</f>
        <v/>
      </c>
    </row>
    <row r="2393">
      <c r="A2393" t="inlineStr">
        <is>
          <t>EM002392</t>
        </is>
      </c>
      <c r="B2393" s="7" t="n">
        <v>46202</v>
      </c>
      <c r="C2393" t="inlineStr">
        <is>
          <t>Gowning</t>
        </is>
      </c>
      <c r="D2393" t="inlineStr">
        <is>
          <t>ISO 8</t>
        </is>
      </c>
      <c r="E2393" t="inlineStr">
        <is>
          <t>Active air</t>
        </is>
      </c>
      <c r="F2393" t="n">
        <v>3</v>
      </c>
      <c r="G2393" t="inlineStr">
        <is>
          <t>Tech A</t>
        </is>
      </c>
      <c r="H2393">
        <f>INDEX(Limits!$B$2:$B$5,MATCH(E2393,Limits!$A$2:$A$5,0))</f>
        <v/>
      </c>
      <c r="I2393">
        <f>INDEX(Limits!$C$2:$C$5,MATCH(E2393,Limits!$A$2:$A$5,0))</f>
        <v/>
      </c>
      <c r="J2393">
        <f>IF(F2393&gt;=I2393,"Action",IF(F2393&gt;=H2393,"Alert","Pass"))</f>
        <v/>
      </c>
      <c r="K2393" s="4">
        <f>DATE(YEAR(B2393),MONTH(B2393),1)</f>
        <v/>
      </c>
    </row>
    <row r="2394">
      <c r="A2394" t="inlineStr">
        <is>
          <t>EM002393</t>
        </is>
      </c>
      <c r="B2394" s="7" t="n">
        <v>46202</v>
      </c>
      <c r="C2394" t="inlineStr">
        <is>
          <t>Gowning</t>
        </is>
      </c>
      <c r="D2394" t="inlineStr">
        <is>
          <t>ISO 8</t>
        </is>
      </c>
      <c r="E2394" t="inlineStr">
        <is>
          <t>Surface contact</t>
        </is>
      </c>
      <c r="F2394" t="n">
        <v>0</v>
      </c>
      <c r="G2394" t="inlineStr">
        <is>
          <t>Tech A</t>
        </is>
      </c>
      <c r="H2394">
        <f>INDEX(Limits!$B$2:$B$5,MATCH(E2394,Limits!$A$2:$A$5,0))</f>
        <v/>
      </c>
      <c r="I2394">
        <f>INDEX(Limits!$C$2:$C$5,MATCH(E2394,Limits!$A$2:$A$5,0))</f>
        <v/>
      </c>
      <c r="J2394">
        <f>IF(F2394&gt;=I2394,"Action",IF(F2394&gt;=H2394,"Alert","Pass"))</f>
        <v/>
      </c>
      <c r="K2394" s="4">
        <f>DATE(YEAR(B2394),MONTH(B2394),1)</f>
        <v/>
      </c>
    </row>
    <row r="2395">
      <c r="A2395" t="inlineStr">
        <is>
          <t>EM002394</t>
        </is>
      </c>
      <c r="B2395" s="7" t="n">
        <v>46202</v>
      </c>
      <c r="C2395" t="inlineStr">
        <is>
          <t>Gowning</t>
        </is>
      </c>
      <c r="D2395" t="inlineStr">
        <is>
          <t>ISO 8</t>
        </is>
      </c>
      <c r="E2395" t="inlineStr">
        <is>
          <t>Personnel glove</t>
        </is>
      </c>
      <c r="F2395" t="n">
        <v>0</v>
      </c>
      <c r="G2395" t="inlineStr">
        <is>
          <t>Tech C</t>
        </is>
      </c>
      <c r="H2395">
        <f>INDEX(Limits!$B$2:$B$5,MATCH(E2395,Limits!$A$2:$A$5,0))</f>
        <v/>
      </c>
      <c r="I2395">
        <f>INDEX(Limits!$C$2:$C$5,MATCH(E2395,Limits!$A$2:$A$5,0))</f>
        <v/>
      </c>
      <c r="J2395">
        <f>IF(F2395&gt;=I2395,"Action",IF(F2395&gt;=H2395,"Alert","Pass"))</f>
        <v/>
      </c>
      <c r="K2395" s="4">
        <f>DATE(YEAR(B2395),MONTH(B2395),1)</f>
        <v/>
      </c>
    </row>
    <row r="2396">
      <c r="A2396" t="inlineStr">
        <is>
          <t>EM002395</t>
        </is>
      </c>
      <c r="B2396" s="7" t="n">
        <v>46203</v>
      </c>
      <c r="C2396" t="inlineStr">
        <is>
          <t>CR-101</t>
        </is>
      </c>
      <c r="D2396" t="inlineStr">
        <is>
          <t>ISO 7</t>
        </is>
      </c>
      <c r="E2396" t="inlineStr">
        <is>
          <t>Active air</t>
        </is>
      </c>
      <c r="F2396" t="n">
        <v>1</v>
      </c>
      <c r="G2396" t="inlineStr">
        <is>
          <t>Tech D</t>
        </is>
      </c>
      <c r="H2396">
        <f>INDEX(Limits!$B$2:$B$5,MATCH(E2396,Limits!$A$2:$A$5,0))</f>
        <v/>
      </c>
      <c r="I2396">
        <f>INDEX(Limits!$C$2:$C$5,MATCH(E2396,Limits!$A$2:$A$5,0))</f>
        <v/>
      </c>
      <c r="J2396">
        <f>IF(F2396&gt;=I2396,"Action",IF(F2396&gt;=H2396,"Alert","Pass"))</f>
        <v/>
      </c>
      <c r="K2396" s="4">
        <f>DATE(YEAR(B2396),MONTH(B2396),1)</f>
        <v/>
      </c>
    </row>
    <row r="2397">
      <c r="A2397" t="inlineStr">
        <is>
          <t>EM002396</t>
        </is>
      </c>
      <c r="B2397" s="7" t="n">
        <v>46203</v>
      </c>
      <c r="C2397" t="inlineStr">
        <is>
          <t>CR-101</t>
        </is>
      </c>
      <c r="D2397" t="inlineStr">
        <is>
          <t>ISO 7</t>
        </is>
      </c>
      <c r="E2397" t="inlineStr">
        <is>
          <t>Surface contact</t>
        </is>
      </c>
      <c r="F2397" t="n">
        <v>0</v>
      </c>
      <c r="G2397" t="inlineStr">
        <is>
          <t>Tech A</t>
        </is>
      </c>
      <c r="H2397">
        <f>INDEX(Limits!$B$2:$B$5,MATCH(E2397,Limits!$A$2:$A$5,0))</f>
        <v/>
      </c>
      <c r="I2397">
        <f>INDEX(Limits!$C$2:$C$5,MATCH(E2397,Limits!$A$2:$A$5,0))</f>
        <v/>
      </c>
      <c r="J2397">
        <f>IF(F2397&gt;=I2397,"Action",IF(F2397&gt;=H2397,"Alert","Pass"))</f>
        <v/>
      </c>
      <c r="K2397" s="4">
        <f>DATE(YEAR(B2397),MONTH(B2397),1)</f>
        <v/>
      </c>
    </row>
    <row r="2398">
      <c r="A2398" t="inlineStr">
        <is>
          <t>EM002397</t>
        </is>
      </c>
      <c r="B2398" s="7" t="n">
        <v>46203</v>
      </c>
      <c r="C2398" t="inlineStr">
        <is>
          <t>CR-101</t>
        </is>
      </c>
      <c r="D2398" t="inlineStr">
        <is>
          <t>ISO 7</t>
        </is>
      </c>
      <c r="E2398" t="inlineStr">
        <is>
          <t>Compressed air</t>
        </is>
      </c>
      <c r="F2398" t="n">
        <v>0</v>
      </c>
      <c r="G2398" t="inlineStr">
        <is>
          <t>Tech D</t>
        </is>
      </c>
      <c r="H2398">
        <f>INDEX(Limits!$B$2:$B$5,MATCH(E2398,Limits!$A$2:$A$5,0))</f>
        <v/>
      </c>
      <c r="I2398">
        <f>INDEX(Limits!$C$2:$C$5,MATCH(E2398,Limits!$A$2:$A$5,0))</f>
        <v/>
      </c>
      <c r="J2398">
        <f>IF(F2398&gt;=I2398,"Action",IF(F2398&gt;=H2398,"Alert","Pass"))</f>
        <v/>
      </c>
      <c r="K2398" s="4">
        <f>DATE(YEAR(B2398),MONTH(B2398),1)</f>
        <v/>
      </c>
    </row>
    <row r="2399">
      <c r="A2399" t="inlineStr">
        <is>
          <t>EM002398</t>
        </is>
      </c>
      <c r="B2399" s="7" t="n">
        <v>46203</v>
      </c>
      <c r="C2399" t="inlineStr">
        <is>
          <t>CR-101</t>
        </is>
      </c>
      <c r="D2399" t="inlineStr">
        <is>
          <t>ISO 7</t>
        </is>
      </c>
      <c r="E2399" t="inlineStr">
        <is>
          <t>Personnel glove</t>
        </is>
      </c>
      <c r="F2399" t="n">
        <v>0</v>
      </c>
      <c r="G2399" t="inlineStr">
        <is>
          <t>Tech D</t>
        </is>
      </c>
      <c r="H2399">
        <f>INDEX(Limits!$B$2:$B$5,MATCH(E2399,Limits!$A$2:$A$5,0))</f>
        <v/>
      </c>
      <c r="I2399">
        <f>INDEX(Limits!$C$2:$C$5,MATCH(E2399,Limits!$A$2:$A$5,0))</f>
        <v/>
      </c>
      <c r="J2399">
        <f>IF(F2399&gt;=I2399,"Action",IF(F2399&gt;=H2399,"Alert","Pass"))</f>
        <v/>
      </c>
      <c r="K2399" s="4">
        <f>DATE(YEAR(B2399),MONTH(B2399),1)</f>
        <v/>
      </c>
    </row>
    <row r="2400">
      <c r="A2400" t="inlineStr">
        <is>
          <t>EM002399</t>
        </is>
      </c>
      <c r="B2400" s="7" t="n">
        <v>46203</v>
      </c>
      <c r="C2400" t="inlineStr">
        <is>
          <t>CR-102</t>
        </is>
      </c>
      <c r="D2400" t="inlineStr">
        <is>
          <t>ISO 7</t>
        </is>
      </c>
      <c r="E2400" t="inlineStr">
        <is>
          <t>Active air</t>
        </is>
      </c>
      <c r="F2400" t="n">
        <v>1</v>
      </c>
      <c r="G2400" t="inlineStr">
        <is>
          <t>Tech B</t>
        </is>
      </c>
      <c r="H2400">
        <f>INDEX(Limits!$B$2:$B$5,MATCH(E2400,Limits!$A$2:$A$5,0))</f>
        <v/>
      </c>
      <c r="I2400">
        <f>INDEX(Limits!$C$2:$C$5,MATCH(E2400,Limits!$A$2:$A$5,0))</f>
        <v/>
      </c>
      <c r="J2400">
        <f>IF(F2400&gt;=I2400,"Action",IF(F2400&gt;=H2400,"Alert","Pass"))</f>
        <v/>
      </c>
      <c r="K2400" s="4">
        <f>DATE(YEAR(B2400),MONTH(B2400),1)</f>
        <v/>
      </c>
    </row>
    <row r="2401">
      <c r="A2401" t="inlineStr">
        <is>
          <t>EM002400</t>
        </is>
      </c>
      <c r="B2401" s="7" t="n">
        <v>46203</v>
      </c>
      <c r="C2401" t="inlineStr">
        <is>
          <t>CR-102</t>
        </is>
      </c>
      <c r="D2401" t="inlineStr">
        <is>
          <t>ISO 7</t>
        </is>
      </c>
      <c r="E2401" t="inlineStr">
        <is>
          <t>Surface contact</t>
        </is>
      </c>
      <c r="F2401" t="n">
        <v>0</v>
      </c>
      <c r="G2401" t="inlineStr">
        <is>
          <t>Tech A</t>
        </is>
      </c>
      <c r="H2401">
        <f>INDEX(Limits!$B$2:$B$5,MATCH(E2401,Limits!$A$2:$A$5,0))</f>
        <v/>
      </c>
      <c r="I2401">
        <f>INDEX(Limits!$C$2:$C$5,MATCH(E2401,Limits!$A$2:$A$5,0))</f>
        <v/>
      </c>
      <c r="J2401">
        <f>IF(F2401&gt;=I2401,"Action",IF(F2401&gt;=H2401,"Alert","Pass"))</f>
        <v/>
      </c>
      <c r="K2401" s="4">
        <f>DATE(YEAR(B2401),MONTH(B2401),1)</f>
        <v/>
      </c>
    </row>
    <row r="2402">
      <c r="A2402" t="inlineStr">
        <is>
          <t>EM002401</t>
        </is>
      </c>
      <c r="B2402" s="7" t="n">
        <v>46203</v>
      </c>
      <c r="C2402" t="inlineStr">
        <is>
          <t>CR-102</t>
        </is>
      </c>
      <c r="D2402" t="inlineStr">
        <is>
          <t>ISO 7</t>
        </is>
      </c>
      <c r="E2402" t="inlineStr">
        <is>
          <t>Compressed air</t>
        </is>
      </c>
      <c r="F2402" t="n">
        <v>0</v>
      </c>
      <c r="G2402" t="inlineStr">
        <is>
          <t>Tech D</t>
        </is>
      </c>
      <c r="H2402">
        <f>INDEX(Limits!$B$2:$B$5,MATCH(E2402,Limits!$A$2:$A$5,0))</f>
        <v/>
      </c>
      <c r="I2402">
        <f>INDEX(Limits!$C$2:$C$5,MATCH(E2402,Limits!$A$2:$A$5,0))</f>
        <v/>
      </c>
      <c r="J2402">
        <f>IF(F2402&gt;=I2402,"Action",IF(F2402&gt;=H2402,"Alert","Pass"))</f>
        <v/>
      </c>
      <c r="K2402" s="4">
        <f>DATE(YEAR(B2402),MONTH(B2402),1)</f>
        <v/>
      </c>
    </row>
    <row r="2403">
      <c r="A2403" t="inlineStr">
        <is>
          <t>EM002402</t>
        </is>
      </c>
      <c r="B2403" s="7" t="n">
        <v>46203</v>
      </c>
      <c r="C2403" t="inlineStr">
        <is>
          <t>CR-102</t>
        </is>
      </c>
      <c r="D2403" t="inlineStr">
        <is>
          <t>ISO 7</t>
        </is>
      </c>
      <c r="E2403" t="inlineStr">
        <is>
          <t>Personnel glove</t>
        </is>
      </c>
      <c r="F2403" t="n">
        <v>0</v>
      </c>
      <c r="G2403" t="inlineStr">
        <is>
          <t>Tech C</t>
        </is>
      </c>
      <c r="H2403">
        <f>INDEX(Limits!$B$2:$B$5,MATCH(E2403,Limits!$A$2:$A$5,0))</f>
        <v/>
      </c>
      <c r="I2403">
        <f>INDEX(Limits!$C$2:$C$5,MATCH(E2403,Limits!$A$2:$A$5,0))</f>
        <v/>
      </c>
      <c r="J2403">
        <f>IF(F2403&gt;=I2403,"Action",IF(F2403&gt;=H2403,"Alert","Pass"))</f>
        <v/>
      </c>
      <c r="K2403" s="4">
        <f>DATE(YEAR(B2403),MONTH(B2403),1)</f>
        <v/>
      </c>
    </row>
    <row r="2404">
      <c r="A2404" t="inlineStr">
        <is>
          <t>EM002403</t>
        </is>
      </c>
      <c r="B2404" s="7" t="n">
        <v>46203</v>
      </c>
      <c r="C2404" t="inlineStr">
        <is>
          <t>CR-201</t>
        </is>
      </c>
      <c r="D2404" t="inlineStr">
        <is>
          <t>ISO 8</t>
        </is>
      </c>
      <c r="E2404" t="inlineStr">
        <is>
          <t>Active air</t>
        </is>
      </c>
      <c r="F2404" t="n">
        <v>1</v>
      </c>
      <c r="G2404" t="inlineStr">
        <is>
          <t>Tech C</t>
        </is>
      </c>
      <c r="H2404">
        <f>INDEX(Limits!$B$2:$B$5,MATCH(E2404,Limits!$A$2:$A$5,0))</f>
        <v/>
      </c>
      <c r="I2404">
        <f>INDEX(Limits!$C$2:$C$5,MATCH(E2404,Limits!$A$2:$A$5,0))</f>
        <v/>
      </c>
      <c r="J2404">
        <f>IF(F2404&gt;=I2404,"Action",IF(F2404&gt;=H2404,"Alert","Pass"))</f>
        <v/>
      </c>
      <c r="K2404" s="4">
        <f>DATE(YEAR(B2404),MONTH(B2404),1)</f>
        <v/>
      </c>
    </row>
    <row r="2405">
      <c r="A2405" t="inlineStr">
        <is>
          <t>EM002404</t>
        </is>
      </c>
      <c r="B2405" s="7" t="n">
        <v>46203</v>
      </c>
      <c r="C2405" t="inlineStr">
        <is>
          <t>CR-201</t>
        </is>
      </c>
      <c r="D2405" t="inlineStr">
        <is>
          <t>ISO 8</t>
        </is>
      </c>
      <c r="E2405" t="inlineStr">
        <is>
          <t>Surface contact</t>
        </is>
      </c>
      <c r="F2405" t="n">
        <v>0</v>
      </c>
      <c r="G2405" t="inlineStr">
        <is>
          <t>Tech D</t>
        </is>
      </c>
      <c r="H2405">
        <f>INDEX(Limits!$B$2:$B$5,MATCH(E2405,Limits!$A$2:$A$5,0))</f>
        <v/>
      </c>
      <c r="I2405">
        <f>INDEX(Limits!$C$2:$C$5,MATCH(E2405,Limits!$A$2:$A$5,0))</f>
        <v/>
      </c>
      <c r="J2405">
        <f>IF(F2405&gt;=I2405,"Action",IF(F2405&gt;=H2405,"Alert","Pass"))</f>
        <v/>
      </c>
      <c r="K2405" s="4">
        <f>DATE(YEAR(B2405),MONTH(B2405),1)</f>
        <v/>
      </c>
    </row>
    <row r="2406">
      <c r="A2406" t="inlineStr">
        <is>
          <t>EM002405</t>
        </is>
      </c>
      <c r="B2406" s="7" t="n">
        <v>46203</v>
      </c>
      <c r="C2406" t="inlineStr">
        <is>
          <t>CR-201</t>
        </is>
      </c>
      <c r="D2406" t="inlineStr">
        <is>
          <t>ISO 8</t>
        </is>
      </c>
      <c r="E2406" t="inlineStr">
        <is>
          <t>Compressed air</t>
        </is>
      </c>
      <c r="F2406" t="n">
        <v>0</v>
      </c>
      <c r="G2406" t="inlineStr">
        <is>
          <t>Tech B</t>
        </is>
      </c>
      <c r="H2406">
        <f>INDEX(Limits!$B$2:$B$5,MATCH(E2406,Limits!$A$2:$A$5,0))</f>
        <v/>
      </c>
      <c r="I2406">
        <f>INDEX(Limits!$C$2:$C$5,MATCH(E2406,Limits!$A$2:$A$5,0))</f>
        <v/>
      </c>
      <c r="J2406">
        <f>IF(F2406&gt;=I2406,"Action",IF(F2406&gt;=H2406,"Alert","Pass"))</f>
        <v/>
      </c>
      <c r="K2406" s="4">
        <f>DATE(YEAR(B2406),MONTH(B2406),1)</f>
        <v/>
      </c>
    </row>
    <row r="2407">
      <c r="A2407" t="inlineStr">
        <is>
          <t>EM002406</t>
        </is>
      </c>
      <c r="B2407" s="7" t="n">
        <v>46203</v>
      </c>
      <c r="C2407" t="inlineStr">
        <is>
          <t>CR-201</t>
        </is>
      </c>
      <c r="D2407" t="inlineStr">
        <is>
          <t>ISO 8</t>
        </is>
      </c>
      <c r="E2407" t="inlineStr">
        <is>
          <t>Personnel glove</t>
        </is>
      </c>
      <c r="F2407" t="n">
        <v>0</v>
      </c>
      <c r="G2407" t="inlineStr">
        <is>
          <t>Tech A</t>
        </is>
      </c>
      <c r="H2407">
        <f>INDEX(Limits!$B$2:$B$5,MATCH(E2407,Limits!$A$2:$A$5,0))</f>
        <v/>
      </c>
      <c r="I2407">
        <f>INDEX(Limits!$C$2:$C$5,MATCH(E2407,Limits!$A$2:$A$5,0))</f>
        <v/>
      </c>
      <c r="J2407">
        <f>IF(F2407&gt;=I2407,"Action",IF(F2407&gt;=H2407,"Alert","Pass"))</f>
        <v/>
      </c>
      <c r="K2407" s="4">
        <f>DATE(YEAR(B2407),MONTH(B2407),1)</f>
        <v/>
      </c>
    </row>
    <row r="2408">
      <c r="A2408" t="inlineStr">
        <is>
          <t>EM002407</t>
        </is>
      </c>
      <c r="B2408" s="7" t="n">
        <v>46203</v>
      </c>
      <c r="C2408" t="inlineStr">
        <is>
          <t>CR-202</t>
        </is>
      </c>
      <c r="D2408" t="inlineStr">
        <is>
          <t>ISO 8</t>
        </is>
      </c>
      <c r="E2408" t="inlineStr">
        <is>
          <t>Active air</t>
        </is>
      </c>
      <c r="F2408" t="n">
        <v>3</v>
      </c>
      <c r="G2408" t="inlineStr">
        <is>
          <t>Tech B</t>
        </is>
      </c>
      <c r="H2408">
        <f>INDEX(Limits!$B$2:$B$5,MATCH(E2408,Limits!$A$2:$A$5,0))</f>
        <v/>
      </c>
      <c r="I2408">
        <f>INDEX(Limits!$C$2:$C$5,MATCH(E2408,Limits!$A$2:$A$5,0))</f>
        <v/>
      </c>
      <c r="J2408">
        <f>IF(F2408&gt;=I2408,"Action",IF(F2408&gt;=H2408,"Alert","Pass"))</f>
        <v/>
      </c>
      <c r="K2408" s="4">
        <f>DATE(YEAR(B2408),MONTH(B2408),1)</f>
        <v/>
      </c>
    </row>
    <row r="2409">
      <c r="A2409" t="inlineStr">
        <is>
          <t>EM002408</t>
        </is>
      </c>
      <c r="B2409" s="7" t="n">
        <v>46203</v>
      </c>
      <c r="C2409" t="inlineStr">
        <is>
          <t>CR-202</t>
        </is>
      </c>
      <c r="D2409" t="inlineStr">
        <is>
          <t>ISO 8</t>
        </is>
      </c>
      <c r="E2409" t="inlineStr">
        <is>
          <t>Surface contact</t>
        </is>
      </c>
      <c r="F2409" t="n">
        <v>1</v>
      </c>
      <c r="G2409" t="inlineStr">
        <is>
          <t>Tech D</t>
        </is>
      </c>
      <c r="H2409">
        <f>INDEX(Limits!$B$2:$B$5,MATCH(E2409,Limits!$A$2:$A$5,0))</f>
        <v/>
      </c>
      <c r="I2409">
        <f>INDEX(Limits!$C$2:$C$5,MATCH(E2409,Limits!$A$2:$A$5,0))</f>
        <v/>
      </c>
      <c r="J2409">
        <f>IF(F2409&gt;=I2409,"Action",IF(F2409&gt;=H2409,"Alert","Pass"))</f>
        <v/>
      </c>
      <c r="K2409" s="4">
        <f>DATE(YEAR(B2409),MONTH(B2409),1)</f>
        <v/>
      </c>
    </row>
    <row r="2410">
      <c r="A2410" t="inlineStr">
        <is>
          <t>EM002409</t>
        </is>
      </c>
      <c r="B2410" s="7" t="n">
        <v>46203</v>
      </c>
      <c r="C2410" t="inlineStr">
        <is>
          <t>CR-202</t>
        </is>
      </c>
      <c r="D2410" t="inlineStr">
        <is>
          <t>ISO 8</t>
        </is>
      </c>
      <c r="E2410" t="inlineStr">
        <is>
          <t>Compressed air</t>
        </is>
      </c>
      <c r="F2410" t="n">
        <v>0</v>
      </c>
      <c r="G2410" t="inlineStr">
        <is>
          <t>Tech C</t>
        </is>
      </c>
      <c r="H2410">
        <f>INDEX(Limits!$B$2:$B$5,MATCH(E2410,Limits!$A$2:$A$5,0))</f>
        <v/>
      </c>
      <c r="I2410">
        <f>INDEX(Limits!$C$2:$C$5,MATCH(E2410,Limits!$A$2:$A$5,0))</f>
        <v/>
      </c>
      <c r="J2410">
        <f>IF(F2410&gt;=I2410,"Action",IF(F2410&gt;=H2410,"Alert","Pass"))</f>
        <v/>
      </c>
      <c r="K2410" s="4">
        <f>DATE(YEAR(B2410),MONTH(B2410),1)</f>
        <v/>
      </c>
    </row>
    <row r="2411">
      <c r="A2411" t="inlineStr">
        <is>
          <t>EM002410</t>
        </is>
      </c>
      <c r="B2411" s="7" t="n">
        <v>46203</v>
      </c>
      <c r="C2411" t="inlineStr">
        <is>
          <t>CR-202</t>
        </is>
      </c>
      <c r="D2411" t="inlineStr">
        <is>
          <t>ISO 8</t>
        </is>
      </c>
      <c r="E2411" t="inlineStr">
        <is>
          <t>Personnel glove</t>
        </is>
      </c>
      <c r="F2411" t="n">
        <v>0</v>
      </c>
      <c r="G2411" t="inlineStr">
        <is>
          <t>Tech A</t>
        </is>
      </c>
      <c r="H2411">
        <f>INDEX(Limits!$B$2:$B$5,MATCH(E2411,Limits!$A$2:$A$5,0))</f>
        <v/>
      </c>
      <c r="I2411">
        <f>INDEX(Limits!$C$2:$C$5,MATCH(E2411,Limits!$A$2:$A$5,0))</f>
        <v/>
      </c>
      <c r="J2411">
        <f>IF(F2411&gt;=I2411,"Action",IF(F2411&gt;=H2411,"Alert","Pass"))</f>
        <v/>
      </c>
      <c r="K2411" s="4">
        <f>DATE(YEAR(B2411),MONTH(B2411),1)</f>
        <v/>
      </c>
    </row>
    <row r="2412">
      <c r="A2412" t="inlineStr">
        <is>
          <t>EM002411</t>
        </is>
      </c>
      <c r="B2412" s="7" t="n">
        <v>46203</v>
      </c>
      <c r="C2412" t="inlineStr">
        <is>
          <t>Gowning</t>
        </is>
      </c>
      <c r="D2412" t="inlineStr">
        <is>
          <t>ISO 8</t>
        </is>
      </c>
      <c r="E2412" t="inlineStr">
        <is>
          <t>Active air</t>
        </is>
      </c>
      <c r="F2412" t="n">
        <v>2</v>
      </c>
      <c r="G2412" t="inlineStr">
        <is>
          <t>Tech D</t>
        </is>
      </c>
      <c r="H2412">
        <f>INDEX(Limits!$B$2:$B$5,MATCH(E2412,Limits!$A$2:$A$5,0))</f>
        <v/>
      </c>
      <c r="I2412">
        <f>INDEX(Limits!$C$2:$C$5,MATCH(E2412,Limits!$A$2:$A$5,0))</f>
        <v/>
      </c>
      <c r="J2412">
        <f>IF(F2412&gt;=I2412,"Action",IF(F2412&gt;=H2412,"Alert","Pass"))</f>
        <v/>
      </c>
      <c r="K2412" s="4">
        <f>DATE(YEAR(B2412),MONTH(B2412),1)</f>
        <v/>
      </c>
    </row>
    <row r="2413">
      <c r="A2413" t="inlineStr">
        <is>
          <t>EM002412</t>
        </is>
      </c>
      <c r="B2413" s="7" t="n">
        <v>46203</v>
      </c>
      <c r="C2413" t="inlineStr">
        <is>
          <t>Gowning</t>
        </is>
      </c>
      <c r="D2413" t="inlineStr">
        <is>
          <t>ISO 8</t>
        </is>
      </c>
      <c r="E2413" t="inlineStr">
        <is>
          <t>Surface contact</t>
        </is>
      </c>
      <c r="F2413" t="n">
        <v>1</v>
      </c>
      <c r="G2413" t="inlineStr">
        <is>
          <t>Tech D</t>
        </is>
      </c>
      <c r="H2413">
        <f>INDEX(Limits!$B$2:$B$5,MATCH(E2413,Limits!$A$2:$A$5,0))</f>
        <v/>
      </c>
      <c r="I2413">
        <f>INDEX(Limits!$C$2:$C$5,MATCH(E2413,Limits!$A$2:$A$5,0))</f>
        <v/>
      </c>
      <c r="J2413">
        <f>IF(F2413&gt;=I2413,"Action",IF(F2413&gt;=H2413,"Alert","Pass"))</f>
        <v/>
      </c>
      <c r="K2413" s="4">
        <f>DATE(YEAR(B2413),MONTH(B2413),1)</f>
        <v/>
      </c>
    </row>
    <row r="2414">
      <c r="A2414" t="inlineStr">
        <is>
          <t>EM002413</t>
        </is>
      </c>
      <c r="B2414" s="7" t="n">
        <v>46203</v>
      </c>
      <c r="C2414" t="inlineStr">
        <is>
          <t>Gowning</t>
        </is>
      </c>
      <c r="D2414" t="inlineStr">
        <is>
          <t>ISO 8</t>
        </is>
      </c>
      <c r="E2414" t="inlineStr">
        <is>
          <t>Personnel glove</t>
        </is>
      </c>
      <c r="F2414" t="n">
        <v>0</v>
      </c>
      <c r="G2414" t="inlineStr">
        <is>
          <t>Tech B</t>
        </is>
      </c>
      <c r="H2414">
        <f>INDEX(Limits!$B$2:$B$5,MATCH(E2414,Limits!$A$2:$A$5,0))</f>
        <v/>
      </c>
      <c r="I2414">
        <f>INDEX(Limits!$C$2:$C$5,MATCH(E2414,Limits!$A$2:$A$5,0))</f>
        <v/>
      </c>
      <c r="J2414">
        <f>IF(F2414&gt;=I2414,"Action",IF(F2414&gt;=H2414,"Alert","Pass"))</f>
        <v/>
      </c>
      <c r="K2414" s="4">
        <f>DATE(YEAR(B2414),MONTH(B2414),1)</f>
        <v/>
      </c>
    </row>
    <row r="2415">
      <c r="A2415" t="inlineStr">
        <is>
          <t>EM002414</t>
        </is>
      </c>
      <c r="B2415" s="7" t="n">
        <v>46204</v>
      </c>
      <c r="C2415" t="inlineStr">
        <is>
          <t>CR-101</t>
        </is>
      </c>
      <c r="D2415" t="inlineStr">
        <is>
          <t>ISO 7</t>
        </is>
      </c>
      <c r="E2415" t="inlineStr">
        <is>
          <t>Active air</t>
        </is>
      </c>
      <c r="F2415" t="n">
        <v>0</v>
      </c>
      <c r="G2415" t="inlineStr">
        <is>
          <t>Tech B</t>
        </is>
      </c>
      <c r="H2415">
        <f>INDEX(Limits!$B$2:$B$5,MATCH(E2415,Limits!$A$2:$A$5,0))</f>
        <v/>
      </c>
      <c r="I2415">
        <f>INDEX(Limits!$C$2:$C$5,MATCH(E2415,Limits!$A$2:$A$5,0))</f>
        <v/>
      </c>
      <c r="J2415">
        <f>IF(F2415&gt;=I2415,"Action",IF(F2415&gt;=H2415,"Alert","Pass"))</f>
        <v/>
      </c>
      <c r="K2415" s="4">
        <f>DATE(YEAR(B2415),MONTH(B2415),1)</f>
        <v/>
      </c>
    </row>
    <row r="2416">
      <c r="A2416" t="inlineStr">
        <is>
          <t>EM002415</t>
        </is>
      </c>
      <c r="B2416" s="7" t="n">
        <v>46204</v>
      </c>
      <c r="C2416" t="inlineStr">
        <is>
          <t>CR-101</t>
        </is>
      </c>
      <c r="D2416" t="inlineStr">
        <is>
          <t>ISO 7</t>
        </is>
      </c>
      <c r="E2416" t="inlineStr">
        <is>
          <t>Surface contact</t>
        </is>
      </c>
      <c r="F2416" t="n">
        <v>0</v>
      </c>
      <c r="G2416" t="inlineStr">
        <is>
          <t>Tech B</t>
        </is>
      </c>
      <c r="H2416">
        <f>INDEX(Limits!$B$2:$B$5,MATCH(E2416,Limits!$A$2:$A$5,0))</f>
        <v/>
      </c>
      <c r="I2416">
        <f>INDEX(Limits!$C$2:$C$5,MATCH(E2416,Limits!$A$2:$A$5,0))</f>
        <v/>
      </c>
      <c r="J2416">
        <f>IF(F2416&gt;=I2416,"Action",IF(F2416&gt;=H2416,"Alert","Pass"))</f>
        <v/>
      </c>
      <c r="K2416" s="4">
        <f>DATE(YEAR(B2416),MONTH(B2416),1)</f>
        <v/>
      </c>
    </row>
    <row r="2417">
      <c r="A2417" t="inlineStr">
        <is>
          <t>EM002416</t>
        </is>
      </c>
      <c r="B2417" s="7" t="n">
        <v>46204</v>
      </c>
      <c r="C2417" t="inlineStr">
        <is>
          <t>CR-101</t>
        </is>
      </c>
      <c r="D2417" t="inlineStr">
        <is>
          <t>ISO 7</t>
        </is>
      </c>
      <c r="E2417" t="inlineStr">
        <is>
          <t>Compressed air</t>
        </is>
      </c>
      <c r="F2417" t="n">
        <v>0</v>
      </c>
      <c r="G2417" t="inlineStr">
        <is>
          <t>Tech A</t>
        </is>
      </c>
      <c r="H2417">
        <f>INDEX(Limits!$B$2:$B$5,MATCH(E2417,Limits!$A$2:$A$5,0))</f>
        <v/>
      </c>
      <c r="I2417">
        <f>INDEX(Limits!$C$2:$C$5,MATCH(E2417,Limits!$A$2:$A$5,0))</f>
        <v/>
      </c>
      <c r="J2417">
        <f>IF(F2417&gt;=I2417,"Action",IF(F2417&gt;=H2417,"Alert","Pass"))</f>
        <v/>
      </c>
      <c r="K2417" s="4">
        <f>DATE(YEAR(B2417),MONTH(B2417),1)</f>
        <v/>
      </c>
    </row>
    <row r="2418">
      <c r="A2418" t="inlineStr">
        <is>
          <t>EM002417</t>
        </is>
      </c>
      <c r="B2418" s="7" t="n">
        <v>46204</v>
      </c>
      <c r="C2418" t="inlineStr">
        <is>
          <t>CR-101</t>
        </is>
      </c>
      <c r="D2418" t="inlineStr">
        <is>
          <t>ISO 7</t>
        </is>
      </c>
      <c r="E2418" t="inlineStr">
        <is>
          <t>Personnel glove</t>
        </is>
      </c>
      <c r="F2418" t="n">
        <v>0</v>
      </c>
      <c r="G2418" t="inlineStr">
        <is>
          <t>Tech B</t>
        </is>
      </c>
      <c r="H2418">
        <f>INDEX(Limits!$B$2:$B$5,MATCH(E2418,Limits!$A$2:$A$5,0))</f>
        <v/>
      </c>
      <c r="I2418">
        <f>INDEX(Limits!$C$2:$C$5,MATCH(E2418,Limits!$A$2:$A$5,0))</f>
        <v/>
      </c>
      <c r="J2418">
        <f>IF(F2418&gt;=I2418,"Action",IF(F2418&gt;=H2418,"Alert","Pass"))</f>
        <v/>
      </c>
      <c r="K2418" s="4">
        <f>DATE(YEAR(B2418),MONTH(B2418),1)</f>
        <v/>
      </c>
    </row>
    <row r="2419">
      <c r="A2419" t="inlineStr">
        <is>
          <t>EM002418</t>
        </is>
      </c>
      <c r="B2419" s="7" t="n">
        <v>46204</v>
      </c>
      <c r="C2419" t="inlineStr">
        <is>
          <t>CR-102</t>
        </is>
      </c>
      <c r="D2419" t="inlineStr">
        <is>
          <t>ISO 7</t>
        </is>
      </c>
      <c r="E2419" t="inlineStr">
        <is>
          <t>Active air</t>
        </is>
      </c>
      <c r="F2419" t="n">
        <v>2</v>
      </c>
      <c r="G2419" t="inlineStr">
        <is>
          <t>Tech A</t>
        </is>
      </c>
      <c r="H2419">
        <f>INDEX(Limits!$B$2:$B$5,MATCH(E2419,Limits!$A$2:$A$5,0))</f>
        <v/>
      </c>
      <c r="I2419">
        <f>INDEX(Limits!$C$2:$C$5,MATCH(E2419,Limits!$A$2:$A$5,0))</f>
        <v/>
      </c>
      <c r="J2419">
        <f>IF(F2419&gt;=I2419,"Action",IF(F2419&gt;=H2419,"Alert","Pass"))</f>
        <v/>
      </c>
      <c r="K2419" s="4">
        <f>DATE(YEAR(B2419),MONTH(B2419),1)</f>
        <v/>
      </c>
    </row>
    <row r="2420">
      <c r="A2420" t="inlineStr">
        <is>
          <t>EM002419</t>
        </is>
      </c>
      <c r="B2420" s="7" t="n">
        <v>46204</v>
      </c>
      <c r="C2420" t="inlineStr">
        <is>
          <t>CR-102</t>
        </is>
      </c>
      <c r="D2420" t="inlineStr">
        <is>
          <t>ISO 7</t>
        </is>
      </c>
      <c r="E2420" t="inlineStr">
        <is>
          <t>Surface contact</t>
        </is>
      </c>
      <c r="F2420" t="n">
        <v>0</v>
      </c>
      <c r="G2420" t="inlineStr">
        <is>
          <t>Tech A</t>
        </is>
      </c>
      <c r="H2420">
        <f>INDEX(Limits!$B$2:$B$5,MATCH(E2420,Limits!$A$2:$A$5,0))</f>
        <v/>
      </c>
      <c r="I2420">
        <f>INDEX(Limits!$C$2:$C$5,MATCH(E2420,Limits!$A$2:$A$5,0))</f>
        <v/>
      </c>
      <c r="J2420">
        <f>IF(F2420&gt;=I2420,"Action",IF(F2420&gt;=H2420,"Alert","Pass"))</f>
        <v/>
      </c>
      <c r="K2420" s="4">
        <f>DATE(YEAR(B2420),MONTH(B2420),1)</f>
        <v/>
      </c>
    </row>
    <row r="2421">
      <c r="A2421" t="inlineStr">
        <is>
          <t>EM002420</t>
        </is>
      </c>
      <c r="B2421" s="7" t="n">
        <v>46204</v>
      </c>
      <c r="C2421" t="inlineStr">
        <is>
          <t>CR-102</t>
        </is>
      </c>
      <c r="D2421" t="inlineStr">
        <is>
          <t>ISO 7</t>
        </is>
      </c>
      <c r="E2421" t="inlineStr">
        <is>
          <t>Compressed air</t>
        </is>
      </c>
      <c r="F2421" t="n">
        <v>0</v>
      </c>
      <c r="G2421" t="inlineStr">
        <is>
          <t>Tech A</t>
        </is>
      </c>
      <c r="H2421">
        <f>INDEX(Limits!$B$2:$B$5,MATCH(E2421,Limits!$A$2:$A$5,0))</f>
        <v/>
      </c>
      <c r="I2421">
        <f>INDEX(Limits!$C$2:$C$5,MATCH(E2421,Limits!$A$2:$A$5,0))</f>
        <v/>
      </c>
      <c r="J2421">
        <f>IF(F2421&gt;=I2421,"Action",IF(F2421&gt;=H2421,"Alert","Pass"))</f>
        <v/>
      </c>
      <c r="K2421" s="4">
        <f>DATE(YEAR(B2421),MONTH(B2421),1)</f>
        <v/>
      </c>
    </row>
    <row r="2422">
      <c r="A2422" t="inlineStr">
        <is>
          <t>EM002421</t>
        </is>
      </c>
      <c r="B2422" s="7" t="n">
        <v>46204</v>
      </c>
      <c r="C2422" t="inlineStr">
        <is>
          <t>CR-102</t>
        </is>
      </c>
      <c r="D2422" t="inlineStr">
        <is>
          <t>ISO 7</t>
        </is>
      </c>
      <c r="E2422" t="inlineStr">
        <is>
          <t>Personnel glove</t>
        </is>
      </c>
      <c r="F2422" t="n">
        <v>0</v>
      </c>
      <c r="G2422" t="inlineStr">
        <is>
          <t>Tech C</t>
        </is>
      </c>
      <c r="H2422">
        <f>INDEX(Limits!$B$2:$B$5,MATCH(E2422,Limits!$A$2:$A$5,0))</f>
        <v/>
      </c>
      <c r="I2422">
        <f>INDEX(Limits!$C$2:$C$5,MATCH(E2422,Limits!$A$2:$A$5,0))</f>
        <v/>
      </c>
      <c r="J2422">
        <f>IF(F2422&gt;=I2422,"Action",IF(F2422&gt;=H2422,"Alert","Pass"))</f>
        <v/>
      </c>
      <c r="K2422" s="4">
        <f>DATE(YEAR(B2422),MONTH(B2422),1)</f>
        <v/>
      </c>
    </row>
    <row r="2423">
      <c r="A2423" t="inlineStr">
        <is>
          <t>EM002422</t>
        </is>
      </c>
      <c r="B2423" s="7" t="n">
        <v>46204</v>
      </c>
      <c r="C2423" t="inlineStr">
        <is>
          <t>CR-201</t>
        </is>
      </c>
      <c r="D2423" t="inlineStr">
        <is>
          <t>ISO 8</t>
        </is>
      </c>
      <c r="E2423" t="inlineStr">
        <is>
          <t>Active air</t>
        </is>
      </c>
      <c r="F2423" t="n">
        <v>4</v>
      </c>
      <c r="G2423" t="inlineStr">
        <is>
          <t>Tech A</t>
        </is>
      </c>
      <c r="H2423">
        <f>INDEX(Limits!$B$2:$B$5,MATCH(E2423,Limits!$A$2:$A$5,0))</f>
        <v/>
      </c>
      <c r="I2423">
        <f>INDEX(Limits!$C$2:$C$5,MATCH(E2423,Limits!$A$2:$A$5,0))</f>
        <v/>
      </c>
      <c r="J2423">
        <f>IF(F2423&gt;=I2423,"Action",IF(F2423&gt;=H2423,"Alert","Pass"))</f>
        <v/>
      </c>
      <c r="K2423" s="4">
        <f>DATE(YEAR(B2423),MONTH(B2423),1)</f>
        <v/>
      </c>
    </row>
    <row r="2424">
      <c r="A2424" t="inlineStr">
        <is>
          <t>EM002423</t>
        </is>
      </c>
      <c r="B2424" s="7" t="n">
        <v>46204</v>
      </c>
      <c r="C2424" t="inlineStr">
        <is>
          <t>CR-201</t>
        </is>
      </c>
      <c r="D2424" t="inlineStr">
        <is>
          <t>ISO 8</t>
        </is>
      </c>
      <c r="E2424" t="inlineStr">
        <is>
          <t>Surface contact</t>
        </is>
      </c>
      <c r="F2424" t="n">
        <v>1</v>
      </c>
      <c r="G2424" t="inlineStr">
        <is>
          <t>Tech B</t>
        </is>
      </c>
      <c r="H2424">
        <f>INDEX(Limits!$B$2:$B$5,MATCH(E2424,Limits!$A$2:$A$5,0))</f>
        <v/>
      </c>
      <c r="I2424">
        <f>INDEX(Limits!$C$2:$C$5,MATCH(E2424,Limits!$A$2:$A$5,0))</f>
        <v/>
      </c>
      <c r="J2424">
        <f>IF(F2424&gt;=I2424,"Action",IF(F2424&gt;=H2424,"Alert","Pass"))</f>
        <v/>
      </c>
      <c r="K2424" s="4">
        <f>DATE(YEAR(B2424),MONTH(B2424),1)</f>
        <v/>
      </c>
    </row>
    <row r="2425">
      <c r="A2425" t="inlineStr">
        <is>
          <t>EM002424</t>
        </is>
      </c>
      <c r="B2425" s="7" t="n">
        <v>46204</v>
      </c>
      <c r="C2425" t="inlineStr">
        <is>
          <t>CR-201</t>
        </is>
      </c>
      <c r="D2425" t="inlineStr">
        <is>
          <t>ISO 8</t>
        </is>
      </c>
      <c r="E2425" t="inlineStr">
        <is>
          <t>Compressed air</t>
        </is>
      </c>
      <c r="F2425" t="n">
        <v>0</v>
      </c>
      <c r="G2425" t="inlineStr">
        <is>
          <t>Tech C</t>
        </is>
      </c>
      <c r="H2425">
        <f>INDEX(Limits!$B$2:$B$5,MATCH(E2425,Limits!$A$2:$A$5,0))</f>
        <v/>
      </c>
      <c r="I2425">
        <f>INDEX(Limits!$C$2:$C$5,MATCH(E2425,Limits!$A$2:$A$5,0))</f>
        <v/>
      </c>
      <c r="J2425">
        <f>IF(F2425&gt;=I2425,"Action",IF(F2425&gt;=H2425,"Alert","Pass"))</f>
        <v/>
      </c>
      <c r="K2425" s="4">
        <f>DATE(YEAR(B2425),MONTH(B2425),1)</f>
        <v/>
      </c>
    </row>
    <row r="2426">
      <c r="A2426" t="inlineStr">
        <is>
          <t>EM002425</t>
        </is>
      </c>
      <c r="B2426" s="7" t="n">
        <v>46204</v>
      </c>
      <c r="C2426" t="inlineStr">
        <is>
          <t>CR-201</t>
        </is>
      </c>
      <c r="D2426" t="inlineStr">
        <is>
          <t>ISO 8</t>
        </is>
      </c>
      <c r="E2426" t="inlineStr">
        <is>
          <t>Personnel glove</t>
        </is>
      </c>
      <c r="F2426" t="n">
        <v>0</v>
      </c>
      <c r="G2426" t="inlineStr">
        <is>
          <t>Tech C</t>
        </is>
      </c>
      <c r="H2426">
        <f>INDEX(Limits!$B$2:$B$5,MATCH(E2426,Limits!$A$2:$A$5,0))</f>
        <v/>
      </c>
      <c r="I2426">
        <f>INDEX(Limits!$C$2:$C$5,MATCH(E2426,Limits!$A$2:$A$5,0))</f>
        <v/>
      </c>
      <c r="J2426">
        <f>IF(F2426&gt;=I2426,"Action",IF(F2426&gt;=H2426,"Alert","Pass"))</f>
        <v/>
      </c>
      <c r="K2426" s="4">
        <f>DATE(YEAR(B2426),MONTH(B2426),1)</f>
        <v/>
      </c>
    </row>
    <row r="2427">
      <c r="A2427" t="inlineStr">
        <is>
          <t>EM002426</t>
        </is>
      </c>
      <c r="B2427" s="7" t="n">
        <v>46204</v>
      </c>
      <c r="C2427" t="inlineStr">
        <is>
          <t>CR-202</t>
        </is>
      </c>
      <c r="D2427" t="inlineStr">
        <is>
          <t>ISO 8</t>
        </is>
      </c>
      <c r="E2427" t="inlineStr">
        <is>
          <t>Active air</t>
        </is>
      </c>
      <c r="F2427" t="n">
        <v>3</v>
      </c>
      <c r="G2427" t="inlineStr">
        <is>
          <t>Tech D</t>
        </is>
      </c>
      <c r="H2427">
        <f>INDEX(Limits!$B$2:$B$5,MATCH(E2427,Limits!$A$2:$A$5,0))</f>
        <v/>
      </c>
      <c r="I2427">
        <f>INDEX(Limits!$C$2:$C$5,MATCH(E2427,Limits!$A$2:$A$5,0))</f>
        <v/>
      </c>
      <c r="J2427">
        <f>IF(F2427&gt;=I2427,"Action",IF(F2427&gt;=H2427,"Alert","Pass"))</f>
        <v/>
      </c>
      <c r="K2427" s="4">
        <f>DATE(YEAR(B2427),MONTH(B2427),1)</f>
        <v/>
      </c>
    </row>
    <row r="2428">
      <c r="A2428" t="inlineStr">
        <is>
          <t>EM002427</t>
        </is>
      </c>
      <c r="B2428" s="7" t="n">
        <v>46204</v>
      </c>
      <c r="C2428" t="inlineStr">
        <is>
          <t>CR-202</t>
        </is>
      </c>
      <c r="D2428" t="inlineStr">
        <is>
          <t>ISO 8</t>
        </is>
      </c>
      <c r="E2428" t="inlineStr">
        <is>
          <t>Surface contact</t>
        </is>
      </c>
      <c r="F2428" t="n">
        <v>0</v>
      </c>
      <c r="G2428" t="inlineStr">
        <is>
          <t>Tech C</t>
        </is>
      </c>
      <c r="H2428">
        <f>INDEX(Limits!$B$2:$B$5,MATCH(E2428,Limits!$A$2:$A$5,0))</f>
        <v/>
      </c>
      <c r="I2428">
        <f>INDEX(Limits!$C$2:$C$5,MATCH(E2428,Limits!$A$2:$A$5,0))</f>
        <v/>
      </c>
      <c r="J2428">
        <f>IF(F2428&gt;=I2428,"Action",IF(F2428&gt;=H2428,"Alert","Pass"))</f>
        <v/>
      </c>
      <c r="K2428" s="4">
        <f>DATE(YEAR(B2428),MONTH(B2428),1)</f>
        <v/>
      </c>
    </row>
    <row r="2429">
      <c r="A2429" t="inlineStr">
        <is>
          <t>EM002428</t>
        </is>
      </c>
      <c r="B2429" s="7" t="n">
        <v>46204</v>
      </c>
      <c r="C2429" t="inlineStr">
        <is>
          <t>CR-202</t>
        </is>
      </c>
      <c r="D2429" t="inlineStr">
        <is>
          <t>ISO 8</t>
        </is>
      </c>
      <c r="E2429" t="inlineStr">
        <is>
          <t>Compressed air</t>
        </is>
      </c>
      <c r="F2429" t="n">
        <v>0</v>
      </c>
      <c r="G2429" t="inlineStr">
        <is>
          <t>Tech B</t>
        </is>
      </c>
      <c r="H2429">
        <f>INDEX(Limits!$B$2:$B$5,MATCH(E2429,Limits!$A$2:$A$5,0))</f>
        <v/>
      </c>
      <c r="I2429">
        <f>INDEX(Limits!$C$2:$C$5,MATCH(E2429,Limits!$A$2:$A$5,0))</f>
        <v/>
      </c>
      <c r="J2429">
        <f>IF(F2429&gt;=I2429,"Action",IF(F2429&gt;=H2429,"Alert","Pass"))</f>
        <v/>
      </c>
      <c r="K2429" s="4">
        <f>DATE(YEAR(B2429),MONTH(B2429),1)</f>
        <v/>
      </c>
    </row>
    <row r="2430">
      <c r="A2430" t="inlineStr">
        <is>
          <t>EM002429</t>
        </is>
      </c>
      <c r="B2430" s="7" t="n">
        <v>46204</v>
      </c>
      <c r="C2430" t="inlineStr">
        <is>
          <t>CR-202</t>
        </is>
      </c>
      <c r="D2430" t="inlineStr">
        <is>
          <t>ISO 8</t>
        </is>
      </c>
      <c r="E2430" t="inlineStr">
        <is>
          <t>Personnel glove</t>
        </is>
      </c>
      <c r="F2430" t="n">
        <v>0</v>
      </c>
      <c r="G2430" t="inlineStr">
        <is>
          <t>Tech D</t>
        </is>
      </c>
      <c r="H2430">
        <f>INDEX(Limits!$B$2:$B$5,MATCH(E2430,Limits!$A$2:$A$5,0))</f>
        <v/>
      </c>
      <c r="I2430">
        <f>INDEX(Limits!$C$2:$C$5,MATCH(E2430,Limits!$A$2:$A$5,0))</f>
        <v/>
      </c>
      <c r="J2430">
        <f>IF(F2430&gt;=I2430,"Action",IF(F2430&gt;=H2430,"Alert","Pass"))</f>
        <v/>
      </c>
      <c r="K2430" s="4">
        <f>DATE(YEAR(B2430),MONTH(B2430),1)</f>
        <v/>
      </c>
    </row>
    <row r="2431">
      <c r="A2431" t="inlineStr">
        <is>
          <t>EM002430</t>
        </is>
      </c>
      <c r="B2431" s="7" t="n">
        <v>46204</v>
      </c>
      <c r="C2431" t="inlineStr">
        <is>
          <t>Gowning</t>
        </is>
      </c>
      <c r="D2431" t="inlineStr">
        <is>
          <t>ISO 8</t>
        </is>
      </c>
      <c r="E2431" t="inlineStr">
        <is>
          <t>Active air</t>
        </is>
      </c>
      <c r="F2431" t="n">
        <v>3</v>
      </c>
      <c r="G2431" t="inlineStr">
        <is>
          <t>Tech C</t>
        </is>
      </c>
      <c r="H2431">
        <f>INDEX(Limits!$B$2:$B$5,MATCH(E2431,Limits!$A$2:$A$5,0))</f>
        <v/>
      </c>
      <c r="I2431">
        <f>INDEX(Limits!$C$2:$C$5,MATCH(E2431,Limits!$A$2:$A$5,0))</f>
        <v/>
      </c>
      <c r="J2431">
        <f>IF(F2431&gt;=I2431,"Action",IF(F2431&gt;=H2431,"Alert","Pass"))</f>
        <v/>
      </c>
      <c r="K2431" s="4">
        <f>DATE(YEAR(B2431),MONTH(B2431),1)</f>
        <v/>
      </c>
    </row>
    <row r="2432">
      <c r="A2432" t="inlineStr">
        <is>
          <t>EM002431</t>
        </is>
      </c>
      <c r="B2432" s="7" t="n">
        <v>46204</v>
      </c>
      <c r="C2432" t="inlineStr">
        <is>
          <t>Gowning</t>
        </is>
      </c>
      <c r="D2432" t="inlineStr">
        <is>
          <t>ISO 8</t>
        </is>
      </c>
      <c r="E2432" t="inlineStr">
        <is>
          <t>Surface contact</t>
        </is>
      </c>
      <c r="F2432" t="n">
        <v>2</v>
      </c>
      <c r="G2432" t="inlineStr">
        <is>
          <t>Tech B</t>
        </is>
      </c>
      <c r="H2432">
        <f>INDEX(Limits!$B$2:$B$5,MATCH(E2432,Limits!$A$2:$A$5,0))</f>
        <v/>
      </c>
      <c r="I2432">
        <f>INDEX(Limits!$C$2:$C$5,MATCH(E2432,Limits!$A$2:$A$5,0))</f>
        <v/>
      </c>
      <c r="J2432">
        <f>IF(F2432&gt;=I2432,"Action",IF(F2432&gt;=H2432,"Alert","Pass"))</f>
        <v/>
      </c>
      <c r="K2432" s="4">
        <f>DATE(YEAR(B2432),MONTH(B2432),1)</f>
        <v/>
      </c>
    </row>
    <row r="2433">
      <c r="A2433" t="inlineStr">
        <is>
          <t>EM002432</t>
        </is>
      </c>
      <c r="B2433" s="7" t="n">
        <v>46204</v>
      </c>
      <c r="C2433" t="inlineStr">
        <is>
          <t>Gowning</t>
        </is>
      </c>
      <c r="D2433" t="inlineStr">
        <is>
          <t>ISO 8</t>
        </is>
      </c>
      <c r="E2433" t="inlineStr">
        <is>
          <t>Personnel glove</t>
        </is>
      </c>
      <c r="F2433" t="n">
        <v>0</v>
      </c>
      <c r="G2433" t="inlineStr">
        <is>
          <t>Tech A</t>
        </is>
      </c>
      <c r="H2433">
        <f>INDEX(Limits!$B$2:$B$5,MATCH(E2433,Limits!$A$2:$A$5,0))</f>
        <v/>
      </c>
      <c r="I2433">
        <f>INDEX(Limits!$C$2:$C$5,MATCH(E2433,Limits!$A$2:$A$5,0))</f>
        <v/>
      </c>
      <c r="J2433">
        <f>IF(F2433&gt;=I2433,"Action",IF(F2433&gt;=H2433,"Alert","Pass"))</f>
        <v/>
      </c>
      <c r="K2433" s="4">
        <f>DATE(YEAR(B2433),MONTH(B2433),1)</f>
        <v/>
      </c>
    </row>
    <row r="2434">
      <c r="A2434" t="inlineStr">
        <is>
          <t>EM002433</t>
        </is>
      </c>
      <c r="B2434" s="7" t="n">
        <v>46205</v>
      </c>
      <c r="C2434" t="inlineStr">
        <is>
          <t>CR-101</t>
        </is>
      </c>
      <c r="D2434" t="inlineStr">
        <is>
          <t>ISO 7</t>
        </is>
      </c>
      <c r="E2434" t="inlineStr">
        <is>
          <t>Active air</t>
        </is>
      </c>
      <c r="F2434" t="n">
        <v>0</v>
      </c>
      <c r="G2434" t="inlineStr">
        <is>
          <t>Tech C</t>
        </is>
      </c>
      <c r="H2434">
        <f>INDEX(Limits!$B$2:$B$5,MATCH(E2434,Limits!$A$2:$A$5,0))</f>
        <v/>
      </c>
      <c r="I2434">
        <f>INDEX(Limits!$C$2:$C$5,MATCH(E2434,Limits!$A$2:$A$5,0))</f>
        <v/>
      </c>
      <c r="J2434">
        <f>IF(F2434&gt;=I2434,"Action",IF(F2434&gt;=H2434,"Alert","Pass"))</f>
        <v/>
      </c>
      <c r="K2434" s="4">
        <f>DATE(YEAR(B2434),MONTH(B2434),1)</f>
        <v/>
      </c>
    </row>
    <row r="2435">
      <c r="A2435" t="inlineStr">
        <is>
          <t>EM002434</t>
        </is>
      </c>
      <c r="B2435" s="7" t="n">
        <v>46205</v>
      </c>
      <c r="C2435" t="inlineStr">
        <is>
          <t>CR-101</t>
        </is>
      </c>
      <c r="D2435" t="inlineStr">
        <is>
          <t>ISO 7</t>
        </is>
      </c>
      <c r="E2435" t="inlineStr">
        <is>
          <t>Surface contact</t>
        </is>
      </c>
      <c r="F2435" t="n">
        <v>0</v>
      </c>
      <c r="G2435" t="inlineStr">
        <is>
          <t>Tech C</t>
        </is>
      </c>
      <c r="H2435">
        <f>INDEX(Limits!$B$2:$B$5,MATCH(E2435,Limits!$A$2:$A$5,0))</f>
        <v/>
      </c>
      <c r="I2435">
        <f>INDEX(Limits!$C$2:$C$5,MATCH(E2435,Limits!$A$2:$A$5,0))</f>
        <v/>
      </c>
      <c r="J2435">
        <f>IF(F2435&gt;=I2435,"Action",IF(F2435&gt;=H2435,"Alert","Pass"))</f>
        <v/>
      </c>
      <c r="K2435" s="4">
        <f>DATE(YEAR(B2435),MONTH(B2435),1)</f>
        <v/>
      </c>
    </row>
    <row r="2436">
      <c r="A2436" t="inlineStr">
        <is>
          <t>EM002435</t>
        </is>
      </c>
      <c r="B2436" s="7" t="n">
        <v>46205</v>
      </c>
      <c r="C2436" t="inlineStr">
        <is>
          <t>CR-101</t>
        </is>
      </c>
      <c r="D2436" t="inlineStr">
        <is>
          <t>ISO 7</t>
        </is>
      </c>
      <c r="E2436" t="inlineStr">
        <is>
          <t>Compressed air</t>
        </is>
      </c>
      <c r="F2436" t="n">
        <v>0</v>
      </c>
      <c r="G2436" t="inlineStr">
        <is>
          <t>Tech D</t>
        </is>
      </c>
      <c r="H2436">
        <f>INDEX(Limits!$B$2:$B$5,MATCH(E2436,Limits!$A$2:$A$5,0))</f>
        <v/>
      </c>
      <c r="I2436">
        <f>INDEX(Limits!$C$2:$C$5,MATCH(E2436,Limits!$A$2:$A$5,0))</f>
        <v/>
      </c>
      <c r="J2436">
        <f>IF(F2436&gt;=I2436,"Action",IF(F2436&gt;=H2436,"Alert","Pass"))</f>
        <v/>
      </c>
      <c r="K2436" s="4">
        <f>DATE(YEAR(B2436),MONTH(B2436),1)</f>
        <v/>
      </c>
    </row>
    <row r="2437">
      <c r="A2437" t="inlineStr">
        <is>
          <t>EM002436</t>
        </is>
      </c>
      <c r="B2437" s="7" t="n">
        <v>46205</v>
      </c>
      <c r="C2437" t="inlineStr">
        <is>
          <t>CR-101</t>
        </is>
      </c>
      <c r="D2437" t="inlineStr">
        <is>
          <t>ISO 7</t>
        </is>
      </c>
      <c r="E2437" t="inlineStr">
        <is>
          <t>Personnel glove</t>
        </is>
      </c>
      <c r="F2437" t="n">
        <v>0</v>
      </c>
      <c r="G2437" t="inlineStr">
        <is>
          <t>Tech A</t>
        </is>
      </c>
      <c r="H2437">
        <f>INDEX(Limits!$B$2:$B$5,MATCH(E2437,Limits!$A$2:$A$5,0))</f>
        <v/>
      </c>
      <c r="I2437">
        <f>INDEX(Limits!$C$2:$C$5,MATCH(E2437,Limits!$A$2:$A$5,0))</f>
        <v/>
      </c>
      <c r="J2437">
        <f>IF(F2437&gt;=I2437,"Action",IF(F2437&gt;=H2437,"Alert","Pass"))</f>
        <v/>
      </c>
      <c r="K2437" s="4">
        <f>DATE(YEAR(B2437),MONTH(B2437),1)</f>
        <v/>
      </c>
    </row>
    <row r="2438">
      <c r="A2438" t="inlineStr">
        <is>
          <t>EM002437</t>
        </is>
      </c>
      <c r="B2438" s="7" t="n">
        <v>46205</v>
      </c>
      <c r="C2438" t="inlineStr">
        <is>
          <t>CR-102</t>
        </is>
      </c>
      <c r="D2438" t="inlineStr">
        <is>
          <t>ISO 7</t>
        </is>
      </c>
      <c r="E2438" t="inlineStr">
        <is>
          <t>Active air</t>
        </is>
      </c>
      <c r="F2438" t="n">
        <v>0</v>
      </c>
      <c r="G2438" t="inlineStr">
        <is>
          <t>Tech D</t>
        </is>
      </c>
      <c r="H2438">
        <f>INDEX(Limits!$B$2:$B$5,MATCH(E2438,Limits!$A$2:$A$5,0))</f>
        <v/>
      </c>
      <c r="I2438">
        <f>INDEX(Limits!$C$2:$C$5,MATCH(E2438,Limits!$A$2:$A$5,0))</f>
        <v/>
      </c>
      <c r="J2438">
        <f>IF(F2438&gt;=I2438,"Action",IF(F2438&gt;=H2438,"Alert","Pass"))</f>
        <v/>
      </c>
      <c r="K2438" s="4">
        <f>DATE(YEAR(B2438),MONTH(B2438),1)</f>
        <v/>
      </c>
    </row>
    <row r="2439">
      <c r="A2439" t="inlineStr">
        <is>
          <t>EM002438</t>
        </is>
      </c>
      <c r="B2439" s="7" t="n">
        <v>46205</v>
      </c>
      <c r="C2439" t="inlineStr">
        <is>
          <t>CR-102</t>
        </is>
      </c>
      <c r="D2439" t="inlineStr">
        <is>
          <t>ISO 7</t>
        </is>
      </c>
      <c r="E2439" t="inlineStr">
        <is>
          <t>Surface contact</t>
        </is>
      </c>
      <c r="F2439" t="n">
        <v>0</v>
      </c>
      <c r="G2439" t="inlineStr">
        <is>
          <t>Tech D</t>
        </is>
      </c>
      <c r="H2439">
        <f>INDEX(Limits!$B$2:$B$5,MATCH(E2439,Limits!$A$2:$A$5,0))</f>
        <v/>
      </c>
      <c r="I2439">
        <f>INDEX(Limits!$C$2:$C$5,MATCH(E2439,Limits!$A$2:$A$5,0))</f>
        <v/>
      </c>
      <c r="J2439">
        <f>IF(F2439&gt;=I2439,"Action",IF(F2439&gt;=H2439,"Alert","Pass"))</f>
        <v/>
      </c>
      <c r="K2439" s="4">
        <f>DATE(YEAR(B2439),MONTH(B2439),1)</f>
        <v/>
      </c>
    </row>
    <row r="2440">
      <c r="A2440" t="inlineStr">
        <is>
          <t>EM002439</t>
        </is>
      </c>
      <c r="B2440" s="7" t="n">
        <v>46205</v>
      </c>
      <c r="C2440" t="inlineStr">
        <is>
          <t>CR-102</t>
        </is>
      </c>
      <c r="D2440" t="inlineStr">
        <is>
          <t>ISO 7</t>
        </is>
      </c>
      <c r="E2440" t="inlineStr">
        <is>
          <t>Compressed air</t>
        </is>
      </c>
      <c r="F2440" t="n">
        <v>0</v>
      </c>
      <c r="G2440" t="inlineStr">
        <is>
          <t>Tech A</t>
        </is>
      </c>
      <c r="H2440">
        <f>INDEX(Limits!$B$2:$B$5,MATCH(E2440,Limits!$A$2:$A$5,0))</f>
        <v/>
      </c>
      <c r="I2440">
        <f>INDEX(Limits!$C$2:$C$5,MATCH(E2440,Limits!$A$2:$A$5,0))</f>
        <v/>
      </c>
      <c r="J2440">
        <f>IF(F2440&gt;=I2440,"Action",IF(F2440&gt;=H2440,"Alert","Pass"))</f>
        <v/>
      </c>
      <c r="K2440" s="4">
        <f>DATE(YEAR(B2440),MONTH(B2440),1)</f>
        <v/>
      </c>
    </row>
    <row r="2441">
      <c r="A2441" t="inlineStr">
        <is>
          <t>EM002440</t>
        </is>
      </c>
      <c r="B2441" s="7" t="n">
        <v>46205</v>
      </c>
      <c r="C2441" t="inlineStr">
        <is>
          <t>CR-102</t>
        </is>
      </c>
      <c r="D2441" t="inlineStr">
        <is>
          <t>ISO 7</t>
        </is>
      </c>
      <c r="E2441" t="inlineStr">
        <is>
          <t>Personnel glove</t>
        </is>
      </c>
      <c r="F2441" t="n">
        <v>0</v>
      </c>
      <c r="G2441" t="inlineStr">
        <is>
          <t>Tech C</t>
        </is>
      </c>
      <c r="H2441">
        <f>INDEX(Limits!$B$2:$B$5,MATCH(E2441,Limits!$A$2:$A$5,0))</f>
        <v/>
      </c>
      <c r="I2441">
        <f>INDEX(Limits!$C$2:$C$5,MATCH(E2441,Limits!$A$2:$A$5,0))</f>
        <v/>
      </c>
      <c r="J2441">
        <f>IF(F2441&gt;=I2441,"Action",IF(F2441&gt;=H2441,"Alert","Pass"))</f>
        <v/>
      </c>
      <c r="K2441" s="4">
        <f>DATE(YEAR(B2441),MONTH(B2441),1)</f>
        <v/>
      </c>
    </row>
    <row r="2442">
      <c r="A2442" t="inlineStr">
        <is>
          <t>EM002441</t>
        </is>
      </c>
      <c r="B2442" s="7" t="n">
        <v>46205</v>
      </c>
      <c r="C2442" t="inlineStr">
        <is>
          <t>CR-201</t>
        </is>
      </c>
      <c r="D2442" t="inlineStr">
        <is>
          <t>ISO 8</t>
        </is>
      </c>
      <c r="E2442" t="inlineStr">
        <is>
          <t>Active air</t>
        </is>
      </c>
      <c r="F2442" t="n">
        <v>1</v>
      </c>
      <c r="G2442" t="inlineStr">
        <is>
          <t>Tech D</t>
        </is>
      </c>
      <c r="H2442">
        <f>INDEX(Limits!$B$2:$B$5,MATCH(E2442,Limits!$A$2:$A$5,0))</f>
        <v/>
      </c>
      <c r="I2442">
        <f>INDEX(Limits!$C$2:$C$5,MATCH(E2442,Limits!$A$2:$A$5,0))</f>
        <v/>
      </c>
      <c r="J2442">
        <f>IF(F2442&gt;=I2442,"Action",IF(F2442&gt;=H2442,"Alert","Pass"))</f>
        <v/>
      </c>
      <c r="K2442" s="4">
        <f>DATE(YEAR(B2442),MONTH(B2442),1)</f>
        <v/>
      </c>
    </row>
    <row r="2443">
      <c r="A2443" t="inlineStr">
        <is>
          <t>EM002442</t>
        </is>
      </c>
      <c r="B2443" s="7" t="n">
        <v>46205</v>
      </c>
      <c r="C2443" t="inlineStr">
        <is>
          <t>CR-201</t>
        </is>
      </c>
      <c r="D2443" t="inlineStr">
        <is>
          <t>ISO 8</t>
        </is>
      </c>
      <c r="E2443" t="inlineStr">
        <is>
          <t>Surface contact</t>
        </is>
      </c>
      <c r="F2443" t="n">
        <v>1</v>
      </c>
      <c r="G2443" t="inlineStr">
        <is>
          <t>Tech C</t>
        </is>
      </c>
      <c r="H2443">
        <f>INDEX(Limits!$B$2:$B$5,MATCH(E2443,Limits!$A$2:$A$5,0))</f>
        <v/>
      </c>
      <c r="I2443">
        <f>INDEX(Limits!$C$2:$C$5,MATCH(E2443,Limits!$A$2:$A$5,0))</f>
        <v/>
      </c>
      <c r="J2443">
        <f>IF(F2443&gt;=I2443,"Action",IF(F2443&gt;=H2443,"Alert","Pass"))</f>
        <v/>
      </c>
      <c r="K2443" s="4">
        <f>DATE(YEAR(B2443),MONTH(B2443),1)</f>
        <v/>
      </c>
    </row>
    <row r="2444">
      <c r="A2444" t="inlineStr">
        <is>
          <t>EM002443</t>
        </is>
      </c>
      <c r="B2444" s="7" t="n">
        <v>46205</v>
      </c>
      <c r="C2444" t="inlineStr">
        <is>
          <t>CR-201</t>
        </is>
      </c>
      <c r="D2444" t="inlineStr">
        <is>
          <t>ISO 8</t>
        </is>
      </c>
      <c r="E2444" t="inlineStr">
        <is>
          <t>Compressed air</t>
        </is>
      </c>
      <c r="F2444" t="n">
        <v>0</v>
      </c>
      <c r="G2444" t="inlineStr">
        <is>
          <t>Tech B</t>
        </is>
      </c>
      <c r="H2444">
        <f>INDEX(Limits!$B$2:$B$5,MATCH(E2444,Limits!$A$2:$A$5,0))</f>
        <v/>
      </c>
      <c r="I2444">
        <f>INDEX(Limits!$C$2:$C$5,MATCH(E2444,Limits!$A$2:$A$5,0))</f>
        <v/>
      </c>
      <c r="J2444">
        <f>IF(F2444&gt;=I2444,"Action",IF(F2444&gt;=H2444,"Alert","Pass"))</f>
        <v/>
      </c>
      <c r="K2444" s="4">
        <f>DATE(YEAR(B2444),MONTH(B2444),1)</f>
        <v/>
      </c>
    </row>
    <row r="2445">
      <c r="A2445" t="inlineStr">
        <is>
          <t>EM002444</t>
        </is>
      </c>
      <c r="B2445" s="7" t="n">
        <v>46205</v>
      </c>
      <c r="C2445" t="inlineStr">
        <is>
          <t>CR-201</t>
        </is>
      </c>
      <c r="D2445" t="inlineStr">
        <is>
          <t>ISO 8</t>
        </is>
      </c>
      <c r="E2445" t="inlineStr">
        <is>
          <t>Personnel glove</t>
        </is>
      </c>
      <c r="F2445" t="n">
        <v>0</v>
      </c>
      <c r="G2445" t="inlineStr">
        <is>
          <t>Tech A</t>
        </is>
      </c>
      <c r="H2445">
        <f>INDEX(Limits!$B$2:$B$5,MATCH(E2445,Limits!$A$2:$A$5,0))</f>
        <v/>
      </c>
      <c r="I2445">
        <f>INDEX(Limits!$C$2:$C$5,MATCH(E2445,Limits!$A$2:$A$5,0))</f>
        <v/>
      </c>
      <c r="J2445">
        <f>IF(F2445&gt;=I2445,"Action",IF(F2445&gt;=H2445,"Alert","Pass"))</f>
        <v/>
      </c>
      <c r="K2445" s="4">
        <f>DATE(YEAR(B2445),MONTH(B2445),1)</f>
        <v/>
      </c>
    </row>
    <row r="2446">
      <c r="A2446" t="inlineStr">
        <is>
          <t>EM002445</t>
        </is>
      </c>
      <c r="B2446" s="7" t="n">
        <v>46205</v>
      </c>
      <c r="C2446" t="inlineStr">
        <is>
          <t>CR-202</t>
        </is>
      </c>
      <c r="D2446" t="inlineStr">
        <is>
          <t>ISO 8</t>
        </is>
      </c>
      <c r="E2446" t="inlineStr">
        <is>
          <t>Active air</t>
        </is>
      </c>
      <c r="F2446" t="n">
        <v>4</v>
      </c>
      <c r="G2446" t="inlineStr">
        <is>
          <t>Tech B</t>
        </is>
      </c>
      <c r="H2446">
        <f>INDEX(Limits!$B$2:$B$5,MATCH(E2446,Limits!$A$2:$A$5,0))</f>
        <v/>
      </c>
      <c r="I2446">
        <f>INDEX(Limits!$C$2:$C$5,MATCH(E2446,Limits!$A$2:$A$5,0))</f>
        <v/>
      </c>
      <c r="J2446">
        <f>IF(F2446&gt;=I2446,"Action",IF(F2446&gt;=H2446,"Alert","Pass"))</f>
        <v/>
      </c>
      <c r="K2446" s="4">
        <f>DATE(YEAR(B2446),MONTH(B2446),1)</f>
        <v/>
      </c>
    </row>
    <row r="2447">
      <c r="A2447" t="inlineStr">
        <is>
          <t>EM002446</t>
        </is>
      </c>
      <c r="B2447" s="7" t="n">
        <v>46205</v>
      </c>
      <c r="C2447" t="inlineStr">
        <is>
          <t>CR-202</t>
        </is>
      </c>
      <c r="D2447" t="inlineStr">
        <is>
          <t>ISO 8</t>
        </is>
      </c>
      <c r="E2447" t="inlineStr">
        <is>
          <t>Surface contact</t>
        </is>
      </c>
      <c r="F2447" t="n">
        <v>3</v>
      </c>
      <c r="G2447" t="inlineStr">
        <is>
          <t>Tech B</t>
        </is>
      </c>
      <c r="H2447">
        <f>INDEX(Limits!$B$2:$B$5,MATCH(E2447,Limits!$A$2:$A$5,0))</f>
        <v/>
      </c>
      <c r="I2447">
        <f>INDEX(Limits!$C$2:$C$5,MATCH(E2447,Limits!$A$2:$A$5,0))</f>
        <v/>
      </c>
      <c r="J2447">
        <f>IF(F2447&gt;=I2447,"Action",IF(F2447&gt;=H2447,"Alert","Pass"))</f>
        <v/>
      </c>
      <c r="K2447" s="4">
        <f>DATE(YEAR(B2447),MONTH(B2447),1)</f>
        <v/>
      </c>
    </row>
    <row r="2448">
      <c r="A2448" t="inlineStr">
        <is>
          <t>EM002447</t>
        </is>
      </c>
      <c r="B2448" s="7" t="n">
        <v>46205</v>
      </c>
      <c r="C2448" t="inlineStr">
        <is>
          <t>CR-202</t>
        </is>
      </c>
      <c r="D2448" t="inlineStr">
        <is>
          <t>ISO 8</t>
        </is>
      </c>
      <c r="E2448" t="inlineStr">
        <is>
          <t>Compressed air</t>
        </is>
      </c>
      <c r="F2448" t="n">
        <v>0</v>
      </c>
      <c r="G2448" t="inlineStr">
        <is>
          <t>Tech D</t>
        </is>
      </c>
      <c r="H2448">
        <f>INDEX(Limits!$B$2:$B$5,MATCH(E2448,Limits!$A$2:$A$5,0))</f>
        <v/>
      </c>
      <c r="I2448">
        <f>INDEX(Limits!$C$2:$C$5,MATCH(E2448,Limits!$A$2:$A$5,0))</f>
        <v/>
      </c>
      <c r="J2448">
        <f>IF(F2448&gt;=I2448,"Action",IF(F2448&gt;=H2448,"Alert","Pass"))</f>
        <v/>
      </c>
      <c r="K2448" s="4">
        <f>DATE(YEAR(B2448),MONTH(B2448),1)</f>
        <v/>
      </c>
    </row>
    <row r="2449">
      <c r="A2449" t="inlineStr">
        <is>
          <t>EM002448</t>
        </is>
      </c>
      <c r="B2449" s="7" t="n">
        <v>46205</v>
      </c>
      <c r="C2449" t="inlineStr">
        <is>
          <t>CR-202</t>
        </is>
      </c>
      <c r="D2449" t="inlineStr">
        <is>
          <t>ISO 8</t>
        </is>
      </c>
      <c r="E2449" t="inlineStr">
        <is>
          <t>Personnel glove</t>
        </is>
      </c>
      <c r="F2449" t="n">
        <v>0</v>
      </c>
      <c r="G2449" t="inlineStr">
        <is>
          <t>Tech C</t>
        </is>
      </c>
      <c r="H2449">
        <f>INDEX(Limits!$B$2:$B$5,MATCH(E2449,Limits!$A$2:$A$5,0))</f>
        <v/>
      </c>
      <c r="I2449">
        <f>INDEX(Limits!$C$2:$C$5,MATCH(E2449,Limits!$A$2:$A$5,0))</f>
        <v/>
      </c>
      <c r="J2449">
        <f>IF(F2449&gt;=I2449,"Action",IF(F2449&gt;=H2449,"Alert","Pass"))</f>
        <v/>
      </c>
      <c r="K2449" s="4">
        <f>DATE(YEAR(B2449),MONTH(B2449),1)</f>
        <v/>
      </c>
    </row>
    <row r="2450">
      <c r="A2450" t="inlineStr">
        <is>
          <t>EM002449</t>
        </is>
      </c>
      <c r="B2450" s="7" t="n">
        <v>46205</v>
      </c>
      <c r="C2450" t="inlineStr">
        <is>
          <t>Gowning</t>
        </is>
      </c>
      <c r="D2450" t="inlineStr">
        <is>
          <t>ISO 8</t>
        </is>
      </c>
      <c r="E2450" t="inlineStr">
        <is>
          <t>Active air</t>
        </is>
      </c>
      <c r="F2450" t="n">
        <v>2</v>
      </c>
      <c r="G2450" t="inlineStr">
        <is>
          <t>Tech D</t>
        </is>
      </c>
      <c r="H2450">
        <f>INDEX(Limits!$B$2:$B$5,MATCH(E2450,Limits!$A$2:$A$5,0))</f>
        <v/>
      </c>
      <c r="I2450">
        <f>INDEX(Limits!$C$2:$C$5,MATCH(E2450,Limits!$A$2:$A$5,0))</f>
        <v/>
      </c>
      <c r="J2450">
        <f>IF(F2450&gt;=I2450,"Action",IF(F2450&gt;=H2450,"Alert","Pass"))</f>
        <v/>
      </c>
      <c r="K2450" s="4">
        <f>DATE(YEAR(B2450),MONTH(B2450),1)</f>
        <v/>
      </c>
    </row>
    <row r="2451">
      <c r="A2451" t="inlineStr">
        <is>
          <t>EM002450</t>
        </is>
      </c>
      <c r="B2451" s="7" t="n">
        <v>46205</v>
      </c>
      <c r="C2451" t="inlineStr">
        <is>
          <t>Gowning</t>
        </is>
      </c>
      <c r="D2451" t="inlineStr">
        <is>
          <t>ISO 8</t>
        </is>
      </c>
      <c r="E2451" t="inlineStr">
        <is>
          <t>Surface contact</t>
        </is>
      </c>
      <c r="F2451" t="n">
        <v>1</v>
      </c>
      <c r="G2451" t="inlineStr">
        <is>
          <t>Tech C</t>
        </is>
      </c>
      <c r="H2451">
        <f>INDEX(Limits!$B$2:$B$5,MATCH(E2451,Limits!$A$2:$A$5,0))</f>
        <v/>
      </c>
      <c r="I2451">
        <f>INDEX(Limits!$C$2:$C$5,MATCH(E2451,Limits!$A$2:$A$5,0))</f>
        <v/>
      </c>
      <c r="J2451">
        <f>IF(F2451&gt;=I2451,"Action",IF(F2451&gt;=H2451,"Alert","Pass"))</f>
        <v/>
      </c>
      <c r="K2451" s="4">
        <f>DATE(YEAR(B2451),MONTH(B2451),1)</f>
        <v/>
      </c>
    </row>
    <row r="2452">
      <c r="A2452" t="inlineStr">
        <is>
          <t>EM002451</t>
        </is>
      </c>
      <c r="B2452" s="7" t="n">
        <v>46205</v>
      </c>
      <c r="C2452" t="inlineStr">
        <is>
          <t>Gowning</t>
        </is>
      </c>
      <c r="D2452" t="inlineStr">
        <is>
          <t>ISO 8</t>
        </is>
      </c>
      <c r="E2452" t="inlineStr">
        <is>
          <t>Personnel glove</t>
        </is>
      </c>
      <c r="F2452" t="n">
        <v>0</v>
      </c>
      <c r="G2452" t="inlineStr">
        <is>
          <t>Tech B</t>
        </is>
      </c>
      <c r="H2452">
        <f>INDEX(Limits!$B$2:$B$5,MATCH(E2452,Limits!$A$2:$A$5,0))</f>
        <v/>
      </c>
      <c r="I2452">
        <f>INDEX(Limits!$C$2:$C$5,MATCH(E2452,Limits!$A$2:$A$5,0))</f>
        <v/>
      </c>
      <c r="J2452">
        <f>IF(F2452&gt;=I2452,"Action",IF(F2452&gt;=H2452,"Alert","Pass"))</f>
        <v/>
      </c>
      <c r="K2452" s="4">
        <f>DATE(YEAR(B2452),MONTH(B2452),1)</f>
        <v/>
      </c>
    </row>
    <row r="2453">
      <c r="A2453" t="inlineStr">
        <is>
          <t>EM002452</t>
        </is>
      </c>
      <c r="B2453" s="7" t="n">
        <v>46206</v>
      </c>
      <c r="C2453" t="inlineStr">
        <is>
          <t>CR-101</t>
        </is>
      </c>
      <c r="D2453" t="inlineStr">
        <is>
          <t>ISO 7</t>
        </is>
      </c>
      <c r="E2453" t="inlineStr">
        <is>
          <t>Active air</t>
        </is>
      </c>
      <c r="F2453" t="n">
        <v>2</v>
      </c>
      <c r="G2453" t="inlineStr">
        <is>
          <t>Tech B</t>
        </is>
      </c>
      <c r="H2453">
        <f>INDEX(Limits!$B$2:$B$5,MATCH(E2453,Limits!$A$2:$A$5,0))</f>
        <v/>
      </c>
      <c r="I2453">
        <f>INDEX(Limits!$C$2:$C$5,MATCH(E2453,Limits!$A$2:$A$5,0))</f>
        <v/>
      </c>
      <c r="J2453">
        <f>IF(F2453&gt;=I2453,"Action",IF(F2453&gt;=H2453,"Alert","Pass"))</f>
        <v/>
      </c>
      <c r="K2453" s="4">
        <f>DATE(YEAR(B2453),MONTH(B2453),1)</f>
        <v/>
      </c>
    </row>
    <row r="2454">
      <c r="A2454" t="inlineStr">
        <is>
          <t>EM002453</t>
        </is>
      </c>
      <c r="B2454" s="7" t="n">
        <v>46206</v>
      </c>
      <c r="C2454" t="inlineStr">
        <is>
          <t>CR-101</t>
        </is>
      </c>
      <c r="D2454" t="inlineStr">
        <is>
          <t>ISO 7</t>
        </is>
      </c>
      <c r="E2454" t="inlineStr">
        <is>
          <t>Surface contact</t>
        </is>
      </c>
      <c r="F2454" t="n">
        <v>0</v>
      </c>
      <c r="G2454" t="inlineStr">
        <is>
          <t>Tech B</t>
        </is>
      </c>
      <c r="H2454">
        <f>INDEX(Limits!$B$2:$B$5,MATCH(E2454,Limits!$A$2:$A$5,0))</f>
        <v/>
      </c>
      <c r="I2454">
        <f>INDEX(Limits!$C$2:$C$5,MATCH(E2454,Limits!$A$2:$A$5,0))</f>
        <v/>
      </c>
      <c r="J2454">
        <f>IF(F2454&gt;=I2454,"Action",IF(F2454&gt;=H2454,"Alert","Pass"))</f>
        <v/>
      </c>
      <c r="K2454" s="4">
        <f>DATE(YEAR(B2454),MONTH(B2454),1)</f>
        <v/>
      </c>
    </row>
    <row r="2455">
      <c r="A2455" t="inlineStr">
        <is>
          <t>EM002454</t>
        </is>
      </c>
      <c r="B2455" s="7" t="n">
        <v>46206</v>
      </c>
      <c r="C2455" t="inlineStr">
        <is>
          <t>CR-101</t>
        </is>
      </c>
      <c r="D2455" t="inlineStr">
        <is>
          <t>ISO 7</t>
        </is>
      </c>
      <c r="E2455" t="inlineStr">
        <is>
          <t>Compressed air</t>
        </is>
      </c>
      <c r="F2455" t="n">
        <v>0</v>
      </c>
      <c r="G2455" t="inlineStr">
        <is>
          <t>Tech A</t>
        </is>
      </c>
      <c r="H2455">
        <f>INDEX(Limits!$B$2:$B$5,MATCH(E2455,Limits!$A$2:$A$5,0))</f>
        <v/>
      </c>
      <c r="I2455">
        <f>INDEX(Limits!$C$2:$C$5,MATCH(E2455,Limits!$A$2:$A$5,0))</f>
        <v/>
      </c>
      <c r="J2455">
        <f>IF(F2455&gt;=I2455,"Action",IF(F2455&gt;=H2455,"Alert","Pass"))</f>
        <v/>
      </c>
      <c r="K2455" s="4">
        <f>DATE(YEAR(B2455),MONTH(B2455),1)</f>
        <v/>
      </c>
    </row>
    <row r="2456">
      <c r="A2456" t="inlineStr">
        <is>
          <t>EM002455</t>
        </is>
      </c>
      <c r="B2456" s="7" t="n">
        <v>46206</v>
      </c>
      <c r="C2456" t="inlineStr">
        <is>
          <t>CR-101</t>
        </is>
      </c>
      <c r="D2456" t="inlineStr">
        <is>
          <t>ISO 7</t>
        </is>
      </c>
      <c r="E2456" t="inlineStr">
        <is>
          <t>Personnel glove</t>
        </is>
      </c>
      <c r="F2456" t="n">
        <v>0</v>
      </c>
      <c r="G2456" t="inlineStr">
        <is>
          <t>Tech B</t>
        </is>
      </c>
      <c r="H2456">
        <f>INDEX(Limits!$B$2:$B$5,MATCH(E2456,Limits!$A$2:$A$5,0))</f>
        <v/>
      </c>
      <c r="I2456">
        <f>INDEX(Limits!$C$2:$C$5,MATCH(E2456,Limits!$A$2:$A$5,0))</f>
        <v/>
      </c>
      <c r="J2456">
        <f>IF(F2456&gt;=I2456,"Action",IF(F2456&gt;=H2456,"Alert","Pass"))</f>
        <v/>
      </c>
      <c r="K2456" s="4">
        <f>DATE(YEAR(B2456),MONTH(B2456),1)</f>
        <v/>
      </c>
    </row>
    <row r="2457">
      <c r="A2457" t="inlineStr">
        <is>
          <t>EM002456</t>
        </is>
      </c>
      <c r="B2457" s="7" t="n">
        <v>46206</v>
      </c>
      <c r="C2457" t="inlineStr">
        <is>
          <t>CR-102</t>
        </is>
      </c>
      <c r="D2457" t="inlineStr">
        <is>
          <t>ISO 7</t>
        </is>
      </c>
      <c r="E2457" t="inlineStr">
        <is>
          <t>Active air</t>
        </is>
      </c>
      <c r="F2457" t="n">
        <v>1</v>
      </c>
      <c r="G2457" t="inlineStr">
        <is>
          <t>Tech C</t>
        </is>
      </c>
      <c r="H2457">
        <f>INDEX(Limits!$B$2:$B$5,MATCH(E2457,Limits!$A$2:$A$5,0))</f>
        <v/>
      </c>
      <c r="I2457">
        <f>INDEX(Limits!$C$2:$C$5,MATCH(E2457,Limits!$A$2:$A$5,0))</f>
        <v/>
      </c>
      <c r="J2457">
        <f>IF(F2457&gt;=I2457,"Action",IF(F2457&gt;=H2457,"Alert","Pass"))</f>
        <v/>
      </c>
      <c r="K2457" s="4">
        <f>DATE(YEAR(B2457),MONTH(B2457),1)</f>
        <v/>
      </c>
    </row>
    <row r="2458">
      <c r="A2458" t="inlineStr">
        <is>
          <t>EM002457</t>
        </is>
      </c>
      <c r="B2458" s="7" t="n">
        <v>46206</v>
      </c>
      <c r="C2458" t="inlineStr">
        <is>
          <t>CR-102</t>
        </is>
      </c>
      <c r="D2458" t="inlineStr">
        <is>
          <t>ISO 7</t>
        </is>
      </c>
      <c r="E2458" t="inlineStr">
        <is>
          <t>Surface contact</t>
        </is>
      </c>
      <c r="F2458" t="n">
        <v>2</v>
      </c>
      <c r="G2458" t="inlineStr">
        <is>
          <t>Tech B</t>
        </is>
      </c>
      <c r="H2458">
        <f>INDEX(Limits!$B$2:$B$5,MATCH(E2458,Limits!$A$2:$A$5,0))</f>
        <v/>
      </c>
      <c r="I2458">
        <f>INDEX(Limits!$C$2:$C$5,MATCH(E2458,Limits!$A$2:$A$5,0))</f>
        <v/>
      </c>
      <c r="J2458">
        <f>IF(F2458&gt;=I2458,"Action",IF(F2458&gt;=H2458,"Alert","Pass"))</f>
        <v/>
      </c>
      <c r="K2458" s="4">
        <f>DATE(YEAR(B2458),MONTH(B2458),1)</f>
        <v/>
      </c>
    </row>
    <row r="2459">
      <c r="A2459" t="inlineStr">
        <is>
          <t>EM002458</t>
        </is>
      </c>
      <c r="B2459" s="7" t="n">
        <v>46206</v>
      </c>
      <c r="C2459" t="inlineStr">
        <is>
          <t>CR-102</t>
        </is>
      </c>
      <c r="D2459" t="inlineStr">
        <is>
          <t>ISO 7</t>
        </is>
      </c>
      <c r="E2459" t="inlineStr">
        <is>
          <t>Compressed air</t>
        </is>
      </c>
      <c r="F2459" t="n">
        <v>0</v>
      </c>
      <c r="G2459" t="inlineStr">
        <is>
          <t>Tech C</t>
        </is>
      </c>
      <c r="H2459">
        <f>INDEX(Limits!$B$2:$B$5,MATCH(E2459,Limits!$A$2:$A$5,0))</f>
        <v/>
      </c>
      <c r="I2459">
        <f>INDEX(Limits!$C$2:$C$5,MATCH(E2459,Limits!$A$2:$A$5,0))</f>
        <v/>
      </c>
      <c r="J2459">
        <f>IF(F2459&gt;=I2459,"Action",IF(F2459&gt;=H2459,"Alert","Pass"))</f>
        <v/>
      </c>
      <c r="K2459" s="4">
        <f>DATE(YEAR(B2459),MONTH(B2459),1)</f>
        <v/>
      </c>
    </row>
    <row r="2460">
      <c r="A2460" t="inlineStr">
        <is>
          <t>EM002459</t>
        </is>
      </c>
      <c r="B2460" s="7" t="n">
        <v>46206</v>
      </c>
      <c r="C2460" t="inlineStr">
        <is>
          <t>CR-102</t>
        </is>
      </c>
      <c r="D2460" t="inlineStr">
        <is>
          <t>ISO 7</t>
        </is>
      </c>
      <c r="E2460" t="inlineStr">
        <is>
          <t>Personnel glove</t>
        </is>
      </c>
      <c r="F2460" t="n">
        <v>0</v>
      </c>
      <c r="G2460" t="inlineStr">
        <is>
          <t>Tech C</t>
        </is>
      </c>
      <c r="H2460">
        <f>INDEX(Limits!$B$2:$B$5,MATCH(E2460,Limits!$A$2:$A$5,0))</f>
        <v/>
      </c>
      <c r="I2460">
        <f>INDEX(Limits!$C$2:$C$5,MATCH(E2460,Limits!$A$2:$A$5,0))</f>
        <v/>
      </c>
      <c r="J2460">
        <f>IF(F2460&gt;=I2460,"Action",IF(F2460&gt;=H2460,"Alert","Pass"))</f>
        <v/>
      </c>
      <c r="K2460" s="4">
        <f>DATE(YEAR(B2460),MONTH(B2460),1)</f>
        <v/>
      </c>
    </row>
    <row r="2461">
      <c r="A2461" t="inlineStr">
        <is>
          <t>EM002460</t>
        </is>
      </c>
      <c r="B2461" s="7" t="n">
        <v>46206</v>
      </c>
      <c r="C2461" t="inlineStr">
        <is>
          <t>CR-201</t>
        </is>
      </c>
      <c r="D2461" t="inlineStr">
        <is>
          <t>ISO 8</t>
        </is>
      </c>
      <c r="E2461" t="inlineStr">
        <is>
          <t>Active air</t>
        </is>
      </c>
      <c r="F2461" t="n">
        <v>2</v>
      </c>
      <c r="G2461" t="inlineStr">
        <is>
          <t>Tech A</t>
        </is>
      </c>
      <c r="H2461">
        <f>INDEX(Limits!$B$2:$B$5,MATCH(E2461,Limits!$A$2:$A$5,0))</f>
        <v/>
      </c>
      <c r="I2461">
        <f>INDEX(Limits!$C$2:$C$5,MATCH(E2461,Limits!$A$2:$A$5,0))</f>
        <v/>
      </c>
      <c r="J2461">
        <f>IF(F2461&gt;=I2461,"Action",IF(F2461&gt;=H2461,"Alert","Pass"))</f>
        <v/>
      </c>
      <c r="K2461" s="4">
        <f>DATE(YEAR(B2461),MONTH(B2461),1)</f>
        <v/>
      </c>
    </row>
    <row r="2462">
      <c r="A2462" t="inlineStr">
        <is>
          <t>EM002461</t>
        </is>
      </c>
      <c r="B2462" s="7" t="n">
        <v>46206</v>
      </c>
      <c r="C2462" t="inlineStr">
        <is>
          <t>CR-201</t>
        </is>
      </c>
      <c r="D2462" t="inlineStr">
        <is>
          <t>ISO 8</t>
        </is>
      </c>
      <c r="E2462" t="inlineStr">
        <is>
          <t>Surface contact</t>
        </is>
      </c>
      <c r="F2462" t="n">
        <v>0</v>
      </c>
      <c r="G2462" t="inlineStr">
        <is>
          <t>Tech A</t>
        </is>
      </c>
      <c r="H2462">
        <f>INDEX(Limits!$B$2:$B$5,MATCH(E2462,Limits!$A$2:$A$5,0))</f>
        <v/>
      </c>
      <c r="I2462">
        <f>INDEX(Limits!$C$2:$C$5,MATCH(E2462,Limits!$A$2:$A$5,0))</f>
        <v/>
      </c>
      <c r="J2462">
        <f>IF(F2462&gt;=I2462,"Action",IF(F2462&gt;=H2462,"Alert","Pass"))</f>
        <v/>
      </c>
      <c r="K2462" s="4">
        <f>DATE(YEAR(B2462),MONTH(B2462),1)</f>
        <v/>
      </c>
    </row>
    <row r="2463">
      <c r="A2463" t="inlineStr">
        <is>
          <t>EM002462</t>
        </is>
      </c>
      <c r="B2463" s="7" t="n">
        <v>46206</v>
      </c>
      <c r="C2463" t="inlineStr">
        <is>
          <t>CR-201</t>
        </is>
      </c>
      <c r="D2463" t="inlineStr">
        <is>
          <t>ISO 8</t>
        </is>
      </c>
      <c r="E2463" t="inlineStr">
        <is>
          <t>Compressed air</t>
        </is>
      </c>
      <c r="F2463" t="n">
        <v>1</v>
      </c>
      <c r="G2463" t="inlineStr">
        <is>
          <t>Tech C</t>
        </is>
      </c>
      <c r="H2463">
        <f>INDEX(Limits!$B$2:$B$5,MATCH(E2463,Limits!$A$2:$A$5,0))</f>
        <v/>
      </c>
      <c r="I2463">
        <f>INDEX(Limits!$C$2:$C$5,MATCH(E2463,Limits!$A$2:$A$5,0))</f>
        <v/>
      </c>
      <c r="J2463">
        <f>IF(F2463&gt;=I2463,"Action",IF(F2463&gt;=H2463,"Alert","Pass"))</f>
        <v/>
      </c>
      <c r="K2463" s="4">
        <f>DATE(YEAR(B2463),MONTH(B2463),1)</f>
        <v/>
      </c>
    </row>
    <row r="2464">
      <c r="A2464" t="inlineStr">
        <is>
          <t>EM002463</t>
        </is>
      </c>
      <c r="B2464" s="7" t="n">
        <v>46206</v>
      </c>
      <c r="C2464" t="inlineStr">
        <is>
          <t>CR-201</t>
        </is>
      </c>
      <c r="D2464" t="inlineStr">
        <is>
          <t>ISO 8</t>
        </is>
      </c>
      <c r="E2464" t="inlineStr">
        <is>
          <t>Personnel glove</t>
        </is>
      </c>
      <c r="F2464" t="n">
        <v>0</v>
      </c>
      <c r="G2464" t="inlineStr">
        <is>
          <t>Tech A</t>
        </is>
      </c>
      <c r="H2464">
        <f>INDEX(Limits!$B$2:$B$5,MATCH(E2464,Limits!$A$2:$A$5,0))</f>
        <v/>
      </c>
      <c r="I2464">
        <f>INDEX(Limits!$C$2:$C$5,MATCH(E2464,Limits!$A$2:$A$5,0))</f>
        <v/>
      </c>
      <c r="J2464">
        <f>IF(F2464&gt;=I2464,"Action",IF(F2464&gt;=H2464,"Alert","Pass"))</f>
        <v/>
      </c>
      <c r="K2464" s="4">
        <f>DATE(YEAR(B2464),MONTH(B2464),1)</f>
        <v/>
      </c>
    </row>
    <row r="2465">
      <c r="A2465" t="inlineStr">
        <is>
          <t>EM002464</t>
        </is>
      </c>
      <c r="B2465" s="7" t="n">
        <v>46206</v>
      </c>
      <c r="C2465" t="inlineStr">
        <is>
          <t>CR-202</t>
        </is>
      </c>
      <c r="D2465" t="inlineStr">
        <is>
          <t>ISO 8</t>
        </is>
      </c>
      <c r="E2465" t="inlineStr">
        <is>
          <t>Active air</t>
        </is>
      </c>
      <c r="F2465" t="n">
        <v>4</v>
      </c>
      <c r="G2465" t="inlineStr">
        <is>
          <t>Tech B</t>
        </is>
      </c>
      <c r="H2465">
        <f>INDEX(Limits!$B$2:$B$5,MATCH(E2465,Limits!$A$2:$A$5,0))</f>
        <v/>
      </c>
      <c r="I2465">
        <f>INDEX(Limits!$C$2:$C$5,MATCH(E2465,Limits!$A$2:$A$5,0))</f>
        <v/>
      </c>
      <c r="J2465">
        <f>IF(F2465&gt;=I2465,"Action",IF(F2465&gt;=H2465,"Alert","Pass"))</f>
        <v/>
      </c>
      <c r="K2465" s="4">
        <f>DATE(YEAR(B2465),MONTH(B2465),1)</f>
        <v/>
      </c>
    </row>
    <row r="2466">
      <c r="A2466" t="inlineStr">
        <is>
          <t>EM002465</t>
        </is>
      </c>
      <c r="B2466" s="7" t="n">
        <v>46206</v>
      </c>
      <c r="C2466" t="inlineStr">
        <is>
          <t>CR-202</t>
        </is>
      </c>
      <c r="D2466" t="inlineStr">
        <is>
          <t>ISO 8</t>
        </is>
      </c>
      <c r="E2466" t="inlineStr">
        <is>
          <t>Surface contact</t>
        </is>
      </c>
      <c r="F2466" t="n">
        <v>1</v>
      </c>
      <c r="G2466" t="inlineStr">
        <is>
          <t>Tech B</t>
        </is>
      </c>
      <c r="H2466">
        <f>INDEX(Limits!$B$2:$B$5,MATCH(E2466,Limits!$A$2:$A$5,0))</f>
        <v/>
      </c>
      <c r="I2466">
        <f>INDEX(Limits!$C$2:$C$5,MATCH(E2466,Limits!$A$2:$A$5,0))</f>
        <v/>
      </c>
      <c r="J2466">
        <f>IF(F2466&gt;=I2466,"Action",IF(F2466&gt;=H2466,"Alert","Pass"))</f>
        <v/>
      </c>
      <c r="K2466" s="4">
        <f>DATE(YEAR(B2466),MONTH(B2466),1)</f>
        <v/>
      </c>
    </row>
    <row r="2467">
      <c r="A2467" t="inlineStr">
        <is>
          <t>EM002466</t>
        </is>
      </c>
      <c r="B2467" s="7" t="n">
        <v>46206</v>
      </c>
      <c r="C2467" t="inlineStr">
        <is>
          <t>CR-202</t>
        </is>
      </c>
      <c r="D2467" t="inlineStr">
        <is>
          <t>ISO 8</t>
        </is>
      </c>
      <c r="E2467" t="inlineStr">
        <is>
          <t>Compressed air</t>
        </is>
      </c>
      <c r="F2467" t="n">
        <v>0</v>
      </c>
      <c r="G2467" t="inlineStr">
        <is>
          <t>Tech C</t>
        </is>
      </c>
      <c r="H2467">
        <f>INDEX(Limits!$B$2:$B$5,MATCH(E2467,Limits!$A$2:$A$5,0))</f>
        <v/>
      </c>
      <c r="I2467">
        <f>INDEX(Limits!$C$2:$C$5,MATCH(E2467,Limits!$A$2:$A$5,0))</f>
        <v/>
      </c>
      <c r="J2467">
        <f>IF(F2467&gt;=I2467,"Action",IF(F2467&gt;=H2467,"Alert","Pass"))</f>
        <v/>
      </c>
      <c r="K2467" s="4">
        <f>DATE(YEAR(B2467),MONTH(B2467),1)</f>
        <v/>
      </c>
    </row>
    <row r="2468">
      <c r="A2468" t="inlineStr">
        <is>
          <t>EM002467</t>
        </is>
      </c>
      <c r="B2468" s="7" t="n">
        <v>46206</v>
      </c>
      <c r="C2468" t="inlineStr">
        <is>
          <t>CR-202</t>
        </is>
      </c>
      <c r="D2468" t="inlineStr">
        <is>
          <t>ISO 8</t>
        </is>
      </c>
      <c r="E2468" t="inlineStr">
        <is>
          <t>Personnel glove</t>
        </is>
      </c>
      <c r="F2468" t="n">
        <v>0</v>
      </c>
      <c r="G2468" t="inlineStr">
        <is>
          <t>Tech B</t>
        </is>
      </c>
      <c r="H2468">
        <f>INDEX(Limits!$B$2:$B$5,MATCH(E2468,Limits!$A$2:$A$5,0))</f>
        <v/>
      </c>
      <c r="I2468">
        <f>INDEX(Limits!$C$2:$C$5,MATCH(E2468,Limits!$A$2:$A$5,0))</f>
        <v/>
      </c>
      <c r="J2468">
        <f>IF(F2468&gt;=I2468,"Action",IF(F2468&gt;=H2468,"Alert","Pass"))</f>
        <v/>
      </c>
      <c r="K2468" s="4">
        <f>DATE(YEAR(B2468),MONTH(B2468),1)</f>
        <v/>
      </c>
    </row>
    <row r="2469">
      <c r="A2469" t="inlineStr">
        <is>
          <t>EM002468</t>
        </is>
      </c>
      <c r="B2469" s="7" t="n">
        <v>46206</v>
      </c>
      <c r="C2469" t="inlineStr">
        <is>
          <t>Gowning</t>
        </is>
      </c>
      <c r="D2469" t="inlineStr">
        <is>
          <t>ISO 8</t>
        </is>
      </c>
      <c r="E2469" t="inlineStr">
        <is>
          <t>Active air</t>
        </is>
      </c>
      <c r="F2469" t="n">
        <v>3</v>
      </c>
      <c r="G2469" t="inlineStr">
        <is>
          <t>Tech A</t>
        </is>
      </c>
      <c r="H2469">
        <f>INDEX(Limits!$B$2:$B$5,MATCH(E2469,Limits!$A$2:$A$5,0))</f>
        <v/>
      </c>
      <c r="I2469">
        <f>INDEX(Limits!$C$2:$C$5,MATCH(E2469,Limits!$A$2:$A$5,0))</f>
        <v/>
      </c>
      <c r="J2469">
        <f>IF(F2469&gt;=I2469,"Action",IF(F2469&gt;=H2469,"Alert","Pass"))</f>
        <v/>
      </c>
      <c r="K2469" s="4">
        <f>DATE(YEAR(B2469),MONTH(B2469),1)</f>
        <v/>
      </c>
    </row>
    <row r="2470">
      <c r="A2470" t="inlineStr">
        <is>
          <t>EM002469</t>
        </is>
      </c>
      <c r="B2470" s="7" t="n">
        <v>46206</v>
      </c>
      <c r="C2470" t="inlineStr">
        <is>
          <t>Gowning</t>
        </is>
      </c>
      <c r="D2470" t="inlineStr">
        <is>
          <t>ISO 8</t>
        </is>
      </c>
      <c r="E2470" t="inlineStr">
        <is>
          <t>Surface contact</t>
        </is>
      </c>
      <c r="F2470" t="n">
        <v>1</v>
      </c>
      <c r="G2470" t="inlineStr">
        <is>
          <t>Tech C</t>
        </is>
      </c>
      <c r="H2470">
        <f>INDEX(Limits!$B$2:$B$5,MATCH(E2470,Limits!$A$2:$A$5,0))</f>
        <v/>
      </c>
      <c r="I2470">
        <f>INDEX(Limits!$C$2:$C$5,MATCH(E2470,Limits!$A$2:$A$5,0))</f>
        <v/>
      </c>
      <c r="J2470">
        <f>IF(F2470&gt;=I2470,"Action",IF(F2470&gt;=H2470,"Alert","Pass"))</f>
        <v/>
      </c>
      <c r="K2470" s="4">
        <f>DATE(YEAR(B2470),MONTH(B2470),1)</f>
        <v/>
      </c>
    </row>
    <row r="2471">
      <c r="A2471" t="inlineStr">
        <is>
          <t>EM002470</t>
        </is>
      </c>
      <c r="B2471" s="7" t="n">
        <v>46206</v>
      </c>
      <c r="C2471" t="inlineStr">
        <is>
          <t>Gowning</t>
        </is>
      </c>
      <c r="D2471" t="inlineStr">
        <is>
          <t>ISO 8</t>
        </is>
      </c>
      <c r="E2471" t="inlineStr">
        <is>
          <t>Personnel glove</t>
        </is>
      </c>
      <c r="F2471" t="n">
        <v>0</v>
      </c>
      <c r="G2471" t="inlineStr">
        <is>
          <t>Tech B</t>
        </is>
      </c>
      <c r="H2471">
        <f>INDEX(Limits!$B$2:$B$5,MATCH(E2471,Limits!$A$2:$A$5,0))</f>
        <v/>
      </c>
      <c r="I2471">
        <f>INDEX(Limits!$C$2:$C$5,MATCH(E2471,Limits!$A$2:$A$5,0))</f>
        <v/>
      </c>
      <c r="J2471">
        <f>IF(F2471&gt;=I2471,"Action",IF(F2471&gt;=H2471,"Alert","Pass"))</f>
        <v/>
      </c>
      <c r="K2471" s="4">
        <f>DATE(YEAR(B2471),MONTH(B2471),1)</f>
        <v/>
      </c>
    </row>
    <row r="2472">
      <c r="A2472" t="inlineStr">
        <is>
          <t>EM002471</t>
        </is>
      </c>
      <c r="B2472" s="7" t="n">
        <v>46209</v>
      </c>
      <c r="C2472" t="inlineStr">
        <is>
          <t>CR-101</t>
        </is>
      </c>
      <c r="D2472" t="inlineStr">
        <is>
          <t>ISO 7</t>
        </is>
      </c>
      <c r="E2472" t="inlineStr">
        <is>
          <t>Active air</t>
        </is>
      </c>
      <c r="F2472" t="n">
        <v>1</v>
      </c>
      <c r="G2472" t="inlineStr">
        <is>
          <t>Tech A</t>
        </is>
      </c>
      <c r="H2472">
        <f>INDEX(Limits!$B$2:$B$5,MATCH(E2472,Limits!$A$2:$A$5,0))</f>
        <v/>
      </c>
      <c r="I2472">
        <f>INDEX(Limits!$C$2:$C$5,MATCH(E2472,Limits!$A$2:$A$5,0))</f>
        <v/>
      </c>
      <c r="J2472">
        <f>IF(F2472&gt;=I2472,"Action",IF(F2472&gt;=H2472,"Alert","Pass"))</f>
        <v/>
      </c>
      <c r="K2472" s="4">
        <f>DATE(YEAR(B2472),MONTH(B2472),1)</f>
        <v/>
      </c>
    </row>
    <row r="2473">
      <c r="A2473" t="inlineStr">
        <is>
          <t>EM002472</t>
        </is>
      </c>
      <c r="B2473" s="7" t="n">
        <v>46209</v>
      </c>
      <c r="C2473" t="inlineStr">
        <is>
          <t>CR-101</t>
        </is>
      </c>
      <c r="D2473" t="inlineStr">
        <is>
          <t>ISO 7</t>
        </is>
      </c>
      <c r="E2473" t="inlineStr">
        <is>
          <t>Surface contact</t>
        </is>
      </c>
      <c r="F2473" t="n">
        <v>1</v>
      </c>
      <c r="G2473" t="inlineStr">
        <is>
          <t>Tech D</t>
        </is>
      </c>
      <c r="H2473">
        <f>INDEX(Limits!$B$2:$B$5,MATCH(E2473,Limits!$A$2:$A$5,0))</f>
        <v/>
      </c>
      <c r="I2473">
        <f>INDEX(Limits!$C$2:$C$5,MATCH(E2473,Limits!$A$2:$A$5,0))</f>
        <v/>
      </c>
      <c r="J2473">
        <f>IF(F2473&gt;=I2473,"Action",IF(F2473&gt;=H2473,"Alert","Pass"))</f>
        <v/>
      </c>
      <c r="K2473" s="4">
        <f>DATE(YEAR(B2473),MONTH(B2473),1)</f>
        <v/>
      </c>
    </row>
    <row r="2474">
      <c r="A2474" t="inlineStr">
        <is>
          <t>EM002473</t>
        </is>
      </c>
      <c r="B2474" s="7" t="n">
        <v>46209</v>
      </c>
      <c r="C2474" t="inlineStr">
        <is>
          <t>CR-101</t>
        </is>
      </c>
      <c r="D2474" t="inlineStr">
        <is>
          <t>ISO 7</t>
        </is>
      </c>
      <c r="E2474" t="inlineStr">
        <is>
          <t>Compressed air</t>
        </is>
      </c>
      <c r="F2474" t="n">
        <v>0</v>
      </c>
      <c r="G2474" t="inlineStr">
        <is>
          <t>Tech C</t>
        </is>
      </c>
      <c r="H2474">
        <f>INDEX(Limits!$B$2:$B$5,MATCH(E2474,Limits!$A$2:$A$5,0))</f>
        <v/>
      </c>
      <c r="I2474">
        <f>INDEX(Limits!$C$2:$C$5,MATCH(E2474,Limits!$A$2:$A$5,0))</f>
        <v/>
      </c>
      <c r="J2474">
        <f>IF(F2474&gt;=I2474,"Action",IF(F2474&gt;=H2474,"Alert","Pass"))</f>
        <v/>
      </c>
      <c r="K2474" s="4">
        <f>DATE(YEAR(B2474),MONTH(B2474),1)</f>
        <v/>
      </c>
    </row>
    <row r="2475">
      <c r="A2475" t="inlineStr">
        <is>
          <t>EM002474</t>
        </is>
      </c>
      <c r="B2475" s="7" t="n">
        <v>46209</v>
      </c>
      <c r="C2475" t="inlineStr">
        <is>
          <t>CR-101</t>
        </is>
      </c>
      <c r="D2475" t="inlineStr">
        <is>
          <t>ISO 7</t>
        </is>
      </c>
      <c r="E2475" t="inlineStr">
        <is>
          <t>Personnel glove</t>
        </is>
      </c>
      <c r="F2475" t="n">
        <v>0</v>
      </c>
      <c r="G2475" t="inlineStr">
        <is>
          <t>Tech C</t>
        </is>
      </c>
      <c r="H2475">
        <f>INDEX(Limits!$B$2:$B$5,MATCH(E2475,Limits!$A$2:$A$5,0))</f>
        <v/>
      </c>
      <c r="I2475">
        <f>INDEX(Limits!$C$2:$C$5,MATCH(E2475,Limits!$A$2:$A$5,0))</f>
        <v/>
      </c>
      <c r="J2475">
        <f>IF(F2475&gt;=I2475,"Action",IF(F2475&gt;=H2475,"Alert","Pass"))</f>
        <v/>
      </c>
      <c r="K2475" s="4">
        <f>DATE(YEAR(B2475),MONTH(B2475),1)</f>
        <v/>
      </c>
    </row>
    <row r="2476">
      <c r="A2476" t="inlineStr">
        <is>
          <t>EM002475</t>
        </is>
      </c>
      <c r="B2476" s="7" t="n">
        <v>46209</v>
      </c>
      <c r="C2476" t="inlineStr">
        <is>
          <t>CR-102</t>
        </is>
      </c>
      <c r="D2476" t="inlineStr">
        <is>
          <t>ISO 7</t>
        </is>
      </c>
      <c r="E2476" t="inlineStr">
        <is>
          <t>Active air</t>
        </is>
      </c>
      <c r="F2476" t="n">
        <v>1</v>
      </c>
      <c r="G2476" t="inlineStr">
        <is>
          <t>Tech A</t>
        </is>
      </c>
      <c r="H2476">
        <f>INDEX(Limits!$B$2:$B$5,MATCH(E2476,Limits!$A$2:$A$5,0))</f>
        <v/>
      </c>
      <c r="I2476">
        <f>INDEX(Limits!$C$2:$C$5,MATCH(E2476,Limits!$A$2:$A$5,0))</f>
        <v/>
      </c>
      <c r="J2476">
        <f>IF(F2476&gt;=I2476,"Action",IF(F2476&gt;=H2476,"Alert","Pass"))</f>
        <v/>
      </c>
      <c r="K2476" s="4">
        <f>DATE(YEAR(B2476),MONTH(B2476),1)</f>
        <v/>
      </c>
    </row>
    <row r="2477">
      <c r="A2477" t="inlineStr">
        <is>
          <t>EM002476</t>
        </is>
      </c>
      <c r="B2477" s="7" t="n">
        <v>46209</v>
      </c>
      <c r="C2477" t="inlineStr">
        <is>
          <t>CR-102</t>
        </is>
      </c>
      <c r="D2477" t="inlineStr">
        <is>
          <t>ISO 7</t>
        </is>
      </c>
      <c r="E2477" t="inlineStr">
        <is>
          <t>Surface contact</t>
        </is>
      </c>
      <c r="F2477" t="n">
        <v>2</v>
      </c>
      <c r="G2477" t="inlineStr">
        <is>
          <t>Tech D</t>
        </is>
      </c>
      <c r="H2477">
        <f>INDEX(Limits!$B$2:$B$5,MATCH(E2477,Limits!$A$2:$A$5,0))</f>
        <v/>
      </c>
      <c r="I2477">
        <f>INDEX(Limits!$C$2:$C$5,MATCH(E2477,Limits!$A$2:$A$5,0))</f>
        <v/>
      </c>
      <c r="J2477">
        <f>IF(F2477&gt;=I2477,"Action",IF(F2477&gt;=H2477,"Alert","Pass"))</f>
        <v/>
      </c>
      <c r="K2477" s="4">
        <f>DATE(YEAR(B2477),MONTH(B2477),1)</f>
        <v/>
      </c>
    </row>
    <row r="2478">
      <c r="A2478" t="inlineStr">
        <is>
          <t>EM002477</t>
        </is>
      </c>
      <c r="B2478" s="7" t="n">
        <v>46209</v>
      </c>
      <c r="C2478" t="inlineStr">
        <is>
          <t>CR-102</t>
        </is>
      </c>
      <c r="D2478" t="inlineStr">
        <is>
          <t>ISO 7</t>
        </is>
      </c>
      <c r="E2478" t="inlineStr">
        <is>
          <t>Compressed air</t>
        </is>
      </c>
      <c r="F2478" t="n">
        <v>0</v>
      </c>
      <c r="G2478" t="inlineStr">
        <is>
          <t>Tech A</t>
        </is>
      </c>
      <c r="H2478">
        <f>INDEX(Limits!$B$2:$B$5,MATCH(E2478,Limits!$A$2:$A$5,0))</f>
        <v/>
      </c>
      <c r="I2478">
        <f>INDEX(Limits!$C$2:$C$5,MATCH(E2478,Limits!$A$2:$A$5,0))</f>
        <v/>
      </c>
      <c r="J2478">
        <f>IF(F2478&gt;=I2478,"Action",IF(F2478&gt;=H2478,"Alert","Pass"))</f>
        <v/>
      </c>
      <c r="K2478" s="4">
        <f>DATE(YEAR(B2478),MONTH(B2478),1)</f>
        <v/>
      </c>
    </row>
    <row r="2479">
      <c r="A2479" t="inlineStr">
        <is>
          <t>EM002478</t>
        </is>
      </c>
      <c r="B2479" s="7" t="n">
        <v>46209</v>
      </c>
      <c r="C2479" t="inlineStr">
        <is>
          <t>CR-102</t>
        </is>
      </c>
      <c r="D2479" t="inlineStr">
        <is>
          <t>ISO 7</t>
        </is>
      </c>
      <c r="E2479" t="inlineStr">
        <is>
          <t>Personnel glove</t>
        </is>
      </c>
      <c r="F2479" t="n">
        <v>0</v>
      </c>
      <c r="G2479" t="inlineStr">
        <is>
          <t>Tech C</t>
        </is>
      </c>
      <c r="H2479">
        <f>INDEX(Limits!$B$2:$B$5,MATCH(E2479,Limits!$A$2:$A$5,0))</f>
        <v/>
      </c>
      <c r="I2479">
        <f>INDEX(Limits!$C$2:$C$5,MATCH(E2479,Limits!$A$2:$A$5,0))</f>
        <v/>
      </c>
      <c r="J2479">
        <f>IF(F2479&gt;=I2479,"Action",IF(F2479&gt;=H2479,"Alert","Pass"))</f>
        <v/>
      </c>
      <c r="K2479" s="4">
        <f>DATE(YEAR(B2479),MONTH(B2479),1)</f>
        <v/>
      </c>
    </row>
    <row r="2480">
      <c r="A2480" t="inlineStr">
        <is>
          <t>EM002479</t>
        </is>
      </c>
      <c r="B2480" s="7" t="n">
        <v>46209</v>
      </c>
      <c r="C2480" t="inlineStr">
        <is>
          <t>CR-201</t>
        </is>
      </c>
      <c r="D2480" t="inlineStr">
        <is>
          <t>ISO 8</t>
        </is>
      </c>
      <c r="E2480" t="inlineStr">
        <is>
          <t>Active air</t>
        </is>
      </c>
      <c r="F2480" t="n">
        <v>2</v>
      </c>
      <c r="G2480" t="inlineStr">
        <is>
          <t>Tech B</t>
        </is>
      </c>
      <c r="H2480">
        <f>INDEX(Limits!$B$2:$B$5,MATCH(E2480,Limits!$A$2:$A$5,0))</f>
        <v/>
      </c>
      <c r="I2480">
        <f>INDEX(Limits!$C$2:$C$5,MATCH(E2480,Limits!$A$2:$A$5,0))</f>
        <v/>
      </c>
      <c r="J2480">
        <f>IF(F2480&gt;=I2480,"Action",IF(F2480&gt;=H2480,"Alert","Pass"))</f>
        <v/>
      </c>
      <c r="K2480" s="4">
        <f>DATE(YEAR(B2480),MONTH(B2480),1)</f>
        <v/>
      </c>
    </row>
    <row r="2481">
      <c r="A2481" t="inlineStr">
        <is>
          <t>EM002480</t>
        </is>
      </c>
      <c r="B2481" s="7" t="n">
        <v>46209</v>
      </c>
      <c r="C2481" t="inlineStr">
        <is>
          <t>CR-201</t>
        </is>
      </c>
      <c r="D2481" t="inlineStr">
        <is>
          <t>ISO 8</t>
        </is>
      </c>
      <c r="E2481" t="inlineStr">
        <is>
          <t>Surface contact</t>
        </is>
      </c>
      <c r="F2481" t="n">
        <v>0</v>
      </c>
      <c r="G2481" t="inlineStr">
        <is>
          <t>Tech C</t>
        </is>
      </c>
      <c r="H2481">
        <f>INDEX(Limits!$B$2:$B$5,MATCH(E2481,Limits!$A$2:$A$5,0))</f>
        <v/>
      </c>
      <c r="I2481">
        <f>INDEX(Limits!$C$2:$C$5,MATCH(E2481,Limits!$A$2:$A$5,0))</f>
        <v/>
      </c>
      <c r="J2481">
        <f>IF(F2481&gt;=I2481,"Action",IF(F2481&gt;=H2481,"Alert","Pass"))</f>
        <v/>
      </c>
      <c r="K2481" s="4">
        <f>DATE(YEAR(B2481),MONTH(B2481),1)</f>
        <v/>
      </c>
    </row>
    <row r="2482">
      <c r="A2482" t="inlineStr">
        <is>
          <t>EM002481</t>
        </is>
      </c>
      <c r="B2482" s="7" t="n">
        <v>46209</v>
      </c>
      <c r="C2482" t="inlineStr">
        <is>
          <t>CR-201</t>
        </is>
      </c>
      <c r="D2482" t="inlineStr">
        <is>
          <t>ISO 8</t>
        </is>
      </c>
      <c r="E2482" t="inlineStr">
        <is>
          <t>Compressed air</t>
        </is>
      </c>
      <c r="F2482" t="n">
        <v>0</v>
      </c>
      <c r="G2482" t="inlineStr">
        <is>
          <t>Tech A</t>
        </is>
      </c>
      <c r="H2482">
        <f>INDEX(Limits!$B$2:$B$5,MATCH(E2482,Limits!$A$2:$A$5,0))</f>
        <v/>
      </c>
      <c r="I2482">
        <f>INDEX(Limits!$C$2:$C$5,MATCH(E2482,Limits!$A$2:$A$5,0))</f>
        <v/>
      </c>
      <c r="J2482">
        <f>IF(F2482&gt;=I2482,"Action",IF(F2482&gt;=H2482,"Alert","Pass"))</f>
        <v/>
      </c>
      <c r="K2482" s="4">
        <f>DATE(YEAR(B2482),MONTH(B2482),1)</f>
        <v/>
      </c>
    </row>
    <row r="2483">
      <c r="A2483" t="inlineStr">
        <is>
          <t>EM002482</t>
        </is>
      </c>
      <c r="B2483" s="7" t="n">
        <v>46209</v>
      </c>
      <c r="C2483" t="inlineStr">
        <is>
          <t>CR-201</t>
        </is>
      </c>
      <c r="D2483" t="inlineStr">
        <is>
          <t>ISO 8</t>
        </is>
      </c>
      <c r="E2483" t="inlineStr">
        <is>
          <t>Personnel glove</t>
        </is>
      </c>
      <c r="F2483" t="n">
        <v>0</v>
      </c>
      <c r="G2483" t="inlineStr">
        <is>
          <t>Tech A</t>
        </is>
      </c>
      <c r="H2483">
        <f>INDEX(Limits!$B$2:$B$5,MATCH(E2483,Limits!$A$2:$A$5,0))</f>
        <v/>
      </c>
      <c r="I2483">
        <f>INDEX(Limits!$C$2:$C$5,MATCH(E2483,Limits!$A$2:$A$5,0))</f>
        <v/>
      </c>
      <c r="J2483">
        <f>IF(F2483&gt;=I2483,"Action",IF(F2483&gt;=H2483,"Alert","Pass"))</f>
        <v/>
      </c>
      <c r="K2483" s="4">
        <f>DATE(YEAR(B2483),MONTH(B2483),1)</f>
        <v/>
      </c>
    </row>
    <row r="2484">
      <c r="A2484" t="inlineStr">
        <is>
          <t>EM002483</t>
        </is>
      </c>
      <c r="B2484" s="7" t="n">
        <v>46209</v>
      </c>
      <c r="C2484" t="inlineStr">
        <is>
          <t>CR-202</t>
        </is>
      </c>
      <c r="D2484" t="inlineStr">
        <is>
          <t>ISO 8</t>
        </is>
      </c>
      <c r="E2484" t="inlineStr">
        <is>
          <t>Active air</t>
        </is>
      </c>
      <c r="F2484" t="n">
        <v>2</v>
      </c>
      <c r="G2484" t="inlineStr">
        <is>
          <t>Tech D</t>
        </is>
      </c>
      <c r="H2484">
        <f>INDEX(Limits!$B$2:$B$5,MATCH(E2484,Limits!$A$2:$A$5,0))</f>
        <v/>
      </c>
      <c r="I2484">
        <f>INDEX(Limits!$C$2:$C$5,MATCH(E2484,Limits!$A$2:$A$5,0))</f>
        <v/>
      </c>
      <c r="J2484">
        <f>IF(F2484&gt;=I2484,"Action",IF(F2484&gt;=H2484,"Alert","Pass"))</f>
        <v/>
      </c>
      <c r="K2484" s="4">
        <f>DATE(YEAR(B2484),MONTH(B2484),1)</f>
        <v/>
      </c>
    </row>
    <row r="2485">
      <c r="A2485" t="inlineStr">
        <is>
          <t>EM002484</t>
        </is>
      </c>
      <c r="B2485" s="7" t="n">
        <v>46209</v>
      </c>
      <c r="C2485" t="inlineStr">
        <is>
          <t>CR-202</t>
        </is>
      </c>
      <c r="D2485" t="inlineStr">
        <is>
          <t>ISO 8</t>
        </is>
      </c>
      <c r="E2485" t="inlineStr">
        <is>
          <t>Surface contact</t>
        </is>
      </c>
      <c r="F2485" t="n">
        <v>3</v>
      </c>
      <c r="G2485" t="inlineStr">
        <is>
          <t>Tech C</t>
        </is>
      </c>
      <c r="H2485">
        <f>INDEX(Limits!$B$2:$B$5,MATCH(E2485,Limits!$A$2:$A$5,0))</f>
        <v/>
      </c>
      <c r="I2485">
        <f>INDEX(Limits!$C$2:$C$5,MATCH(E2485,Limits!$A$2:$A$5,0))</f>
        <v/>
      </c>
      <c r="J2485">
        <f>IF(F2485&gt;=I2485,"Action",IF(F2485&gt;=H2485,"Alert","Pass"))</f>
        <v/>
      </c>
      <c r="K2485" s="4">
        <f>DATE(YEAR(B2485),MONTH(B2485),1)</f>
        <v/>
      </c>
    </row>
    <row r="2486">
      <c r="A2486" t="inlineStr">
        <is>
          <t>EM002485</t>
        </is>
      </c>
      <c r="B2486" s="7" t="n">
        <v>46209</v>
      </c>
      <c r="C2486" t="inlineStr">
        <is>
          <t>CR-202</t>
        </is>
      </c>
      <c r="D2486" t="inlineStr">
        <is>
          <t>ISO 8</t>
        </is>
      </c>
      <c r="E2486" t="inlineStr">
        <is>
          <t>Compressed air</t>
        </is>
      </c>
      <c r="F2486" t="n">
        <v>0</v>
      </c>
      <c r="G2486" t="inlineStr">
        <is>
          <t>Tech D</t>
        </is>
      </c>
      <c r="H2486">
        <f>INDEX(Limits!$B$2:$B$5,MATCH(E2486,Limits!$A$2:$A$5,0))</f>
        <v/>
      </c>
      <c r="I2486">
        <f>INDEX(Limits!$C$2:$C$5,MATCH(E2486,Limits!$A$2:$A$5,0))</f>
        <v/>
      </c>
      <c r="J2486">
        <f>IF(F2486&gt;=I2486,"Action",IF(F2486&gt;=H2486,"Alert","Pass"))</f>
        <v/>
      </c>
      <c r="K2486" s="4">
        <f>DATE(YEAR(B2486),MONTH(B2486),1)</f>
        <v/>
      </c>
    </row>
    <row r="2487">
      <c r="A2487" t="inlineStr">
        <is>
          <t>EM002486</t>
        </is>
      </c>
      <c r="B2487" s="7" t="n">
        <v>46209</v>
      </c>
      <c r="C2487" t="inlineStr">
        <is>
          <t>CR-202</t>
        </is>
      </c>
      <c r="D2487" t="inlineStr">
        <is>
          <t>ISO 8</t>
        </is>
      </c>
      <c r="E2487" t="inlineStr">
        <is>
          <t>Personnel glove</t>
        </is>
      </c>
      <c r="F2487" t="n">
        <v>1</v>
      </c>
      <c r="G2487" t="inlineStr">
        <is>
          <t>Tech D</t>
        </is>
      </c>
      <c r="H2487">
        <f>INDEX(Limits!$B$2:$B$5,MATCH(E2487,Limits!$A$2:$A$5,0))</f>
        <v/>
      </c>
      <c r="I2487">
        <f>INDEX(Limits!$C$2:$C$5,MATCH(E2487,Limits!$A$2:$A$5,0))</f>
        <v/>
      </c>
      <c r="J2487">
        <f>IF(F2487&gt;=I2487,"Action",IF(F2487&gt;=H2487,"Alert","Pass"))</f>
        <v/>
      </c>
      <c r="K2487" s="4">
        <f>DATE(YEAR(B2487),MONTH(B2487),1)</f>
        <v/>
      </c>
    </row>
    <row r="2488">
      <c r="A2488" t="inlineStr">
        <is>
          <t>EM002487</t>
        </is>
      </c>
      <c r="B2488" s="7" t="n">
        <v>46209</v>
      </c>
      <c r="C2488" t="inlineStr">
        <is>
          <t>Gowning</t>
        </is>
      </c>
      <c r="D2488" t="inlineStr">
        <is>
          <t>ISO 8</t>
        </is>
      </c>
      <c r="E2488" t="inlineStr">
        <is>
          <t>Active air</t>
        </is>
      </c>
      <c r="F2488" t="n">
        <v>1</v>
      </c>
      <c r="G2488" t="inlineStr">
        <is>
          <t>Tech C</t>
        </is>
      </c>
      <c r="H2488">
        <f>INDEX(Limits!$B$2:$B$5,MATCH(E2488,Limits!$A$2:$A$5,0))</f>
        <v/>
      </c>
      <c r="I2488">
        <f>INDEX(Limits!$C$2:$C$5,MATCH(E2488,Limits!$A$2:$A$5,0))</f>
        <v/>
      </c>
      <c r="J2488">
        <f>IF(F2488&gt;=I2488,"Action",IF(F2488&gt;=H2488,"Alert","Pass"))</f>
        <v/>
      </c>
      <c r="K2488" s="4">
        <f>DATE(YEAR(B2488),MONTH(B2488),1)</f>
        <v/>
      </c>
    </row>
    <row r="2489">
      <c r="A2489" t="inlineStr">
        <is>
          <t>EM002488</t>
        </is>
      </c>
      <c r="B2489" s="7" t="n">
        <v>46209</v>
      </c>
      <c r="C2489" t="inlineStr">
        <is>
          <t>Gowning</t>
        </is>
      </c>
      <c r="D2489" t="inlineStr">
        <is>
          <t>ISO 8</t>
        </is>
      </c>
      <c r="E2489" t="inlineStr">
        <is>
          <t>Surface contact</t>
        </is>
      </c>
      <c r="F2489" t="n">
        <v>1</v>
      </c>
      <c r="G2489" t="inlineStr">
        <is>
          <t>Tech D</t>
        </is>
      </c>
      <c r="H2489">
        <f>INDEX(Limits!$B$2:$B$5,MATCH(E2489,Limits!$A$2:$A$5,0))</f>
        <v/>
      </c>
      <c r="I2489">
        <f>INDEX(Limits!$C$2:$C$5,MATCH(E2489,Limits!$A$2:$A$5,0))</f>
        <v/>
      </c>
      <c r="J2489">
        <f>IF(F2489&gt;=I2489,"Action",IF(F2489&gt;=H2489,"Alert","Pass"))</f>
        <v/>
      </c>
      <c r="K2489" s="4">
        <f>DATE(YEAR(B2489),MONTH(B2489),1)</f>
        <v/>
      </c>
    </row>
    <row r="2490">
      <c r="A2490" t="inlineStr">
        <is>
          <t>EM002489</t>
        </is>
      </c>
      <c r="B2490" s="7" t="n">
        <v>46209</v>
      </c>
      <c r="C2490" t="inlineStr">
        <is>
          <t>Gowning</t>
        </is>
      </c>
      <c r="D2490" t="inlineStr">
        <is>
          <t>ISO 8</t>
        </is>
      </c>
      <c r="E2490" t="inlineStr">
        <is>
          <t>Personnel glove</t>
        </is>
      </c>
      <c r="F2490" t="n">
        <v>0</v>
      </c>
      <c r="G2490" t="inlineStr">
        <is>
          <t>Tech A</t>
        </is>
      </c>
      <c r="H2490">
        <f>INDEX(Limits!$B$2:$B$5,MATCH(E2490,Limits!$A$2:$A$5,0))</f>
        <v/>
      </c>
      <c r="I2490">
        <f>INDEX(Limits!$C$2:$C$5,MATCH(E2490,Limits!$A$2:$A$5,0))</f>
        <v/>
      </c>
      <c r="J2490">
        <f>IF(F2490&gt;=I2490,"Action",IF(F2490&gt;=H2490,"Alert","Pass"))</f>
        <v/>
      </c>
      <c r="K2490" s="4">
        <f>DATE(YEAR(B2490),MONTH(B2490),1)</f>
        <v/>
      </c>
    </row>
    <row r="2491">
      <c r="A2491" t="inlineStr">
        <is>
          <t>EM002490</t>
        </is>
      </c>
      <c r="B2491" s="7" t="n">
        <v>46210</v>
      </c>
      <c r="C2491" t="inlineStr">
        <is>
          <t>CR-101</t>
        </is>
      </c>
      <c r="D2491" t="inlineStr">
        <is>
          <t>ISO 7</t>
        </is>
      </c>
      <c r="E2491" t="inlineStr">
        <is>
          <t>Active air</t>
        </is>
      </c>
      <c r="F2491" t="n">
        <v>1</v>
      </c>
      <c r="G2491" t="inlineStr">
        <is>
          <t>Tech D</t>
        </is>
      </c>
      <c r="H2491">
        <f>INDEX(Limits!$B$2:$B$5,MATCH(E2491,Limits!$A$2:$A$5,0))</f>
        <v/>
      </c>
      <c r="I2491">
        <f>INDEX(Limits!$C$2:$C$5,MATCH(E2491,Limits!$A$2:$A$5,0))</f>
        <v/>
      </c>
      <c r="J2491">
        <f>IF(F2491&gt;=I2491,"Action",IF(F2491&gt;=H2491,"Alert","Pass"))</f>
        <v/>
      </c>
      <c r="K2491" s="4">
        <f>DATE(YEAR(B2491),MONTH(B2491),1)</f>
        <v/>
      </c>
    </row>
    <row r="2492">
      <c r="A2492" t="inlineStr">
        <is>
          <t>EM002491</t>
        </is>
      </c>
      <c r="B2492" s="7" t="n">
        <v>46210</v>
      </c>
      <c r="C2492" t="inlineStr">
        <is>
          <t>CR-101</t>
        </is>
      </c>
      <c r="D2492" t="inlineStr">
        <is>
          <t>ISO 7</t>
        </is>
      </c>
      <c r="E2492" t="inlineStr">
        <is>
          <t>Surface contact</t>
        </is>
      </c>
      <c r="F2492" t="n">
        <v>0</v>
      </c>
      <c r="G2492" t="inlineStr">
        <is>
          <t>Tech D</t>
        </is>
      </c>
      <c r="H2492">
        <f>INDEX(Limits!$B$2:$B$5,MATCH(E2492,Limits!$A$2:$A$5,0))</f>
        <v/>
      </c>
      <c r="I2492">
        <f>INDEX(Limits!$C$2:$C$5,MATCH(E2492,Limits!$A$2:$A$5,0))</f>
        <v/>
      </c>
      <c r="J2492">
        <f>IF(F2492&gt;=I2492,"Action",IF(F2492&gt;=H2492,"Alert","Pass"))</f>
        <v/>
      </c>
      <c r="K2492" s="4">
        <f>DATE(YEAR(B2492),MONTH(B2492),1)</f>
        <v/>
      </c>
    </row>
    <row r="2493">
      <c r="A2493" t="inlineStr">
        <is>
          <t>EM002492</t>
        </is>
      </c>
      <c r="B2493" s="7" t="n">
        <v>46210</v>
      </c>
      <c r="C2493" t="inlineStr">
        <is>
          <t>CR-101</t>
        </is>
      </c>
      <c r="D2493" t="inlineStr">
        <is>
          <t>ISO 7</t>
        </is>
      </c>
      <c r="E2493" t="inlineStr">
        <is>
          <t>Compressed air</t>
        </is>
      </c>
      <c r="F2493" t="n">
        <v>0</v>
      </c>
      <c r="G2493" t="inlineStr">
        <is>
          <t>Tech B</t>
        </is>
      </c>
      <c r="H2493">
        <f>INDEX(Limits!$B$2:$B$5,MATCH(E2493,Limits!$A$2:$A$5,0))</f>
        <v/>
      </c>
      <c r="I2493">
        <f>INDEX(Limits!$C$2:$C$5,MATCH(E2493,Limits!$A$2:$A$5,0))</f>
        <v/>
      </c>
      <c r="J2493">
        <f>IF(F2493&gt;=I2493,"Action",IF(F2493&gt;=H2493,"Alert","Pass"))</f>
        <v/>
      </c>
      <c r="K2493" s="4">
        <f>DATE(YEAR(B2493),MONTH(B2493),1)</f>
        <v/>
      </c>
    </row>
    <row r="2494">
      <c r="A2494" t="inlineStr">
        <is>
          <t>EM002493</t>
        </is>
      </c>
      <c r="B2494" s="7" t="n">
        <v>46210</v>
      </c>
      <c r="C2494" t="inlineStr">
        <is>
          <t>CR-101</t>
        </is>
      </c>
      <c r="D2494" t="inlineStr">
        <is>
          <t>ISO 7</t>
        </is>
      </c>
      <c r="E2494" t="inlineStr">
        <is>
          <t>Personnel glove</t>
        </is>
      </c>
      <c r="F2494" t="n">
        <v>0</v>
      </c>
      <c r="G2494" t="inlineStr">
        <is>
          <t>Tech D</t>
        </is>
      </c>
      <c r="H2494">
        <f>INDEX(Limits!$B$2:$B$5,MATCH(E2494,Limits!$A$2:$A$5,0))</f>
        <v/>
      </c>
      <c r="I2494">
        <f>INDEX(Limits!$C$2:$C$5,MATCH(E2494,Limits!$A$2:$A$5,0))</f>
        <v/>
      </c>
      <c r="J2494">
        <f>IF(F2494&gt;=I2494,"Action",IF(F2494&gt;=H2494,"Alert","Pass"))</f>
        <v/>
      </c>
      <c r="K2494" s="4">
        <f>DATE(YEAR(B2494),MONTH(B2494),1)</f>
        <v/>
      </c>
    </row>
    <row r="2495">
      <c r="A2495" t="inlineStr">
        <is>
          <t>EM002494</t>
        </is>
      </c>
      <c r="B2495" s="7" t="n">
        <v>46210</v>
      </c>
      <c r="C2495" t="inlineStr">
        <is>
          <t>CR-102</t>
        </is>
      </c>
      <c r="D2495" t="inlineStr">
        <is>
          <t>ISO 7</t>
        </is>
      </c>
      <c r="E2495" t="inlineStr">
        <is>
          <t>Active air</t>
        </is>
      </c>
      <c r="F2495" t="n">
        <v>0</v>
      </c>
      <c r="G2495" t="inlineStr">
        <is>
          <t>Tech A</t>
        </is>
      </c>
      <c r="H2495">
        <f>INDEX(Limits!$B$2:$B$5,MATCH(E2495,Limits!$A$2:$A$5,0))</f>
        <v/>
      </c>
      <c r="I2495">
        <f>INDEX(Limits!$C$2:$C$5,MATCH(E2495,Limits!$A$2:$A$5,0))</f>
        <v/>
      </c>
      <c r="J2495">
        <f>IF(F2495&gt;=I2495,"Action",IF(F2495&gt;=H2495,"Alert","Pass"))</f>
        <v/>
      </c>
      <c r="K2495" s="4">
        <f>DATE(YEAR(B2495),MONTH(B2495),1)</f>
        <v/>
      </c>
    </row>
    <row r="2496">
      <c r="A2496" t="inlineStr">
        <is>
          <t>EM002495</t>
        </is>
      </c>
      <c r="B2496" s="7" t="n">
        <v>46210</v>
      </c>
      <c r="C2496" t="inlineStr">
        <is>
          <t>CR-102</t>
        </is>
      </c>
      <c r="D2496" t="inlineStr">
        <is>
          <t>ISO 7</t>
        </is>
      </c>
      <c r="E2496" t="inlineStr">
        <is>
          <t>Surface contact</t>
        </is>
      </c>
      <c r="F2496" t="n">
        <v>0</v>
      </c>
      <c r="G2496" t="inlineStr">
        <is>
          <t>Tech D</t>
        </is>
      </c>
      <c r="H2496">
        <f>INDEX(Limits!$B$2:$B$5,MATCH(E2496,Limits!$A$2:$A$5,0))</f>
        <v/>
      </c>
      <c r="I2496">
        <f>INDEX(Limits!$C$2:$C$5,MATCH(E2496,Limits!$A$2:$A$5,0))</f>
        <v/>
      </c>
      <c r="J2496">
        <f>IF(F2496&gt;=I2496,"Action",IF(F2496&gt;=H2496,"Alert","Pass"))</f>
        <v/>
      </c>
      <c r="K2496" s="4">
        <f>DATE(YEAR(B2496),MONTH(B2496),1)</f>
        <v/>
      </c>
    </row>
    <row r="2497">
      <c r="A2497" t="inlineStr">
        <is>
          <t>EM002496</t>
        </is>
      </c>
      <c r="B2497" s="7" t="n">
        <v>46210</v>
      </c>
      <c r="C2497" t="inlineStr">
        <is>
          <t>CR-102</t>
        </is>
      </c>
      <c r="D2497" t="inlineStr">
        <is>
          <t>ISO 7</t>
        </is>
      </c>
      <c r="E2497" t="inlineStr">
        <is>
          <t>Compressed air</t>
        </is>
      </c>
      <c r="F2497" t="n">
        <v>0</v>
      </c>
      <c r="G2497" t="inlineStr">
        <is>
          <t>Tech A</t>
        </is>
      </c>
      <c r="H2497">
        <f>INDEX(Limits!$B$2:$B$5,MATCH(E2497,Limits!$A$2:$A$5,0))</f>
        <v/>
      </c>
      <c r="I2497">
        <f>INDEX(Limits!$C$2:$C$5,MATCH(E2497,Limits!$A$2:$A$5,0))</f>
        <v/>
      </c>
      <c r="J2497">
        <f>IF(F2497&gt;=I2497,"Action",IF(F2497&gt;=H2497,"Alert","Pass"))</f>
        <v/>
      </c>
      <c r="K2497" s="4">
        <f>DATE(YEAR(B2497),MONTH(B2497),1)</f>
        <v/>
      </c>
    </row>
    <row r="2498">
      <c r="A2498" t="inlineStr">
        <is>
          <t>EM002497</t>
        </is>
      </c>
      <c r="B2498" s="7" t="n">
        <v>46210</v>
      </c>
      <c r="C2498" t="inlineStr">
        <is>
          <t>CR-102</t>
        </is>
      </c>
      <c r="D2498" t="inlineStr">
        <is>
          <t>ISO 7</t>
        </is>
      </c>
      <c r="E2498" t="inlineStr">
        <is>
          <t>Personnel glove</t>
        </is>
      </c>
      <c r="F2498" t="n">
        <v>0</v>
      </c>
      <c r="G2498" t="inlineStr">
        <is>
          <t>Tech B</t>
        </is>
      </c>
      <c r="H2498">
        <f>INDEX(Limits!$B$2:$B$5,MATCH(E2498,Limits!$A$2:$A$5,0))</f>
        <v/>
      </c>
      <c r="I2498">
        <f>INDEX(Limits!$C$2:$C$5,MATCH(E2498,Limits!$A$2:$A$5,0))</f>
        <v/>
      </c>
      <c r="J2498">
        <f>IF(F2498&gt;=I2498,"Action",IF(F2498&gt;=H2498,"Alert","Pass"))</f>
        <v/>
      </c>
      <c r="K2498" s="4">
        <f>DATE(YEAR(B2498),MONTH(B2498),1)</f>
        <v/>
      </c>
    </row>
    <row r="2499">
      <c r="A2499" t="inlineStr">
        <is>
          <t>EM002498</t>
        </is>
      </c>
      <c r="B2499" s="7" t="n">
        <v>46210</v>
      </c>
      <c r="C2499" t="inlineStr">
        <is>
          <t>CR-201</t>
        </is>
      </c>
      <c r="D2499" t="inlineStr">
        <is>
          <t>ISO 8</t>
        </is>
      </c>
      <c r="E2499" t="inlineStr">
        <is>
          <t>Active air</t>
        </is>
      </c>
      <c r="F2499" t="n">
        <v>1</v>
      </c>
      <c r="G2499" t="inlineStr">
        <is>
          <t>Tech A</t>
        </is>
      </c>
      <c r="H2499">
        <f>INDEX(Limits!$B$2:$B$5,MATCH(E2499,Limits!$A$2:$A$5,0))</f>
        <v/>
      </c>
      <c r="I2499">
        <f>INDEX(Limits!$C$2:$C$5,MATCH(E2499,Limits!$A$2:$A$5,0))</f>
        <v/>
      </c>
      <c r="J2499">
        <f>IF(F2499&gt;=I2499,"Action",IF(F2499&gt;=H2499,"Alert","Pass"))</f>
        <v/>
      </c>
      <c r="K2499" s="4">
        <f>DATE(YEAR(B2499),MONTH(B2499),1)</f>
        <v/>
      </c>
    </row>
    <row r="2500">
      <c r="A2500" t="inlineStr">
        <is>
          <t>EM002499</t>
        </is>
      </c>
      <c r="B2500" s="7" t="n">
        <v>46210</v>
      </c>
      <c r="C2500" t="inlineStr">
        <is>
          <t>CR-201</t>
        </is>
      </c>
      <c r="D2500" t="inlineStr">
        <is>
          <t>ISO 8</t>
        </is>
      </c>
      <c r="E2500" t="inlineStr">
        <is>
          <t>Surface contact</t>
        </is>
      </c>
      <c r="F2500" t="n">
        <v>0</v>
      </c>
      <c r="G2500" t="inlineStr">
        <is>
          <t>Tech C</t>
        </is>
      </c>
      <c r="H2500">
        <f>INDEX(Limits!$B$2:$B$5,MATCH(E2500,Limits!$A$2:$A$5,0))</f>
        <v/>
      </c>
      <c r="I2500">
        <f>INDEX(Limits!$C$2:$C$5,MATCH(E2500,Limits!$A$2:$A$5,0))</f>
        <v/>
      </c>
      <c r="J2500">
        <f>IF(F2500&gt;=I2500,"Action",IF(F2500&gt;=H2500,"Alert","Pass"))</f>
        <v/>
      </c>
      <c r="K2500" s="4">
        <f>DATE(YEAR(B2500),MONTH(B2500),1)</f>
        <v/>
      </c>
    </row>
    <row r="2501">
      <c r="A2501" t="inlineStr">
        <is>
          <t>EM002500</t>
        </is>
      </c>
      <c r="B2501" s="7" t="n">
        <v>46210</v>
      </c>
      <c r="C2501" t="inlineStr">
        <is>
          <t>CR-201</t>
        </is>
      </c>
      <c r="D2501" t="inlineStr">
        <is>
          <t>ISO 8</t>
        </is>
      </c>
      <c r="E2501" t="inlineStr">
        <is>
          <t>Compressed air</t>
        </is>
      </c>
      <c r="F2501" t="n">
        <v>1</v>
      </c>
      <c r="G2501" t="inlineStr">
        <is>
          <t>Tech D</t>
        </is>
      </c>
      <c r="H2501">
        <f>INDEX(Limits!$B$2:$B$5,MATCH(E2501,Limits!$A$2:$A$5,0))</f>
        <v/>
      </c>
      <c r="I2501">
        <f>INDEX(Limits!$C$2:$C$5,MATCH(E2501,Limits!$A$2:$A$5,0))</f>
        <v/>
      </c>
      <c r="J2501">
        <f>IF(F2501&gt;=I2501,"Action",IF(F2501&gt;=H2501,"Alert","Pass"))</f>
        <v/>
      </c>
      <c r="K2501" s="4">
        <f>DATE(YEAR(B2501),MONTH(B2501),1)</f>
        <v/>
      </c>
    </row>
    <row r="2502">
      <c r="A2502" t="inlineStr">
        <is>
          <t>EM002501</t>
        </is>
      </c>
      <c r="B2502" s="7" t="n">
        <v>46210</v>
      </c>
      <c r="C2502" t="inlineStr">
        <is>
          <t>CR-201</t>
        </is>
      </c>
      <c r="D2502" t="inlineStr">
        <is>
          <t>ISO 8</t>
        </is>
      </c>
      <c r="E2502" t="inlineStr">
        <is>
          <t>Personnel glove</t>
        </is>
      </c>
      <c r="F2502" t="n">
        <v>0</v>
      </c>
      <c r="G2502" t="inlineStr">
        <is>
          <t>Tech C</t>
        </is>
      </c>
      <c r="H2502">
        <f>INDEX(Limits!$B$2:$B$5,MATCH(E2502,Limits!$A$2:$A$5,0))</f>
        <v/>
      </c>
      <c r="I2502">
        <f>INDEX(Limits!$C$2:$C$5,MATCH(E2502,Limits!$A$2:$A$5,0))</f>
        <v/>
      </c>
      <c r="J2502">
        <f>IF(F2502&gt;=I2502,"Action",IF(F2502&gt;=H2502,"Alert","Pass"))</f>
        <v/>
      </c>
      <c r="K2502" s="4">
        <f>DATE(YEAR(B2502),MONTH(B2502),1)</f>
        <v/>
      </c>
    </row>
    <row r="2503">
      <c r="A2503" t="inlineStr">
        <is>
          <t>EM002502</t>
        </is>
      </c>
      <c r="B2503" s="7" t="n">
        <v>46210</v>
      </c>
      <c r="C2503" t="inlineStr">
        <is>
          <t>CR-202</t>
        </is>
      </c>
      <c r="D2503" t="inlineStr">
        <is>
          <t>ISO 8</t>
        </is>
      </c>
      <c r="E2503" t="inlineStr">
        <is>
          <t>Active air</t>
        </is>
      </c>
      <c r="F2503" t="n">
        <v>1</v>
      </c>
      <c r="G2503" t="inlineStr">
        <is>
          <t>Tech B</t>
        </is>
      </c>
      <c r="H2503">
        <f>INDEX(Limits!$B$2:$B$5,MATCH(E2503,Limits!$A$2:$A$5,0))</f>
        <v/>
      </c>
      <c r="I2503">
        <f>INDEX(Limits!$C$2:$C$5,MATCH(E2503,Limits!$A$2:$A$5,0))</f>
        <v/>
      </c>
      <c r="J2503">
        <f>IF(F2503&gt;=I2503,"Action",IF(F2503&gt;=H2503,"Alert","Pass"))</f>
        <v/>
      </c>
      <c r="K2503" s="4">
        <f>DATE(YEAR(B2503),MONTH(B2503),1)</f>
        <v/>
      </c>
    </row>
    <row r="2504">
      <c r="A2504" t="inlineStr">
        <is>
          <t>EM002503</t>
        </is>
      </c>
      <c r="B2504" s="7" t="n">
        <v>46210</v>
      </c>
      <c r="C2504" t="inlineStr">
        <is>
          <t>CR-202</t>
        </is>
      </c>
      <c r="D2504" t="inlineStr">
        <is>
          <t>ISO 8</t>
        </is>
      </c>
      <c r="E2504" t="inlineStr">
        <is>
          <t>Surface contact</t>
        </is>
      </c>
      <c r="F2504" t="n">
        <v>2</v>
      </c>
      <c r="G2504" t="inlineStr">
        <is>
          <t>Tech D</t>
        </is>
      </c>
      <c r="H2504">
        <f>INDEX(Limits!$B$2:$B$5,MATCH(E2504,Limits!$A$2:$A$5,0))</f>
        <v/>
      </c>
      <c r="I2504">
        <f>INDEX(Limits!$C$2:$C$5,MATCH(E2504,Limits!$A$2:$A$5,0))</f>
        <v/>
      </c>
      <c r="J2504">
        <f>IF(F2504&gt;=I2504,"Action",IF(F2504&gt;=H2504,"Alert","Pass"))</f>
        <v/>
      </c>
      <c r="K2504" s="4">
        <f>DATE(YEAR(B2504),MONTH(B2504),1)</f>
        <v/>
      </c>
    </row>
    <row r="2505">
      <c r="A2505" t="inlineStr">
        <is>
          <t>EM002504</t>
        </is>
      </c>
      <c r="B2505" s="7" t="n">
        <v>46210</v>
      </c>
      <c r="C2505" t="inlineStr">
        <is>
          <t>CR-202</t>
        </is>
      </c>
      <c r="D2505" t="inlineStr">
        <is>
          <t>ISO 8</t>
        </is>
      </c>
      <c r="E2505" t="inlineStr">
        <is>
          <t>Compressed air</t>
        </is>
      </c>
      <c r="F2505" t="n">
        <v>0</v>
      </c>
      <c r="G2505" t="inlineStr">
        <is>
          <t>Tech B</t>
        </is>
      </c>
      <c r="H2505">
        <f>INDEX(Limits!$B$2:$B$5,MATCH(E2505,Limits!$A$2:$A$5,0))</f>
        <v/>
      </c>
      <c r="I2505">
        <f>INDEX(Limits!$C$2:$C$5,MATCH(E2505,Limits!$A$2:$A$5,0))</f>
        <v/>
      </c>
      <c r="J2505">
        <f>IF(F2505&gt;=I2505,"Action",IF(F2505&gt;=H2505,"Alert","Pass"))</f>
        <v/>
      </c>
      <c r="K2505" s="4">
        <f>DATE(YEAR(B2505),MONTH(B2505),1)</f>
        <v/>
      </c>
    </row>
    <row r="2506">
      <c r="A2506" t="inlineStr">
        <is>
          <t>EM002505</t>
        </is>
      </c>
      <c r="B2506" s="7" t="n">
        <v>46210</v>
      </c>
      <c r="C2506" t="inlineStr">
        <is>
          <t>CR-202</t>
        </is>
      </c>
      <c r="D2506" t="inlineStr">
        <is>
          <t>ISO 8</t>
        </is>
      </c>
      <c r="E2506" t="inlineStr">
        <is>
          <t>Personnel glove</t>
        </is>
      </c>
      <c r="F2506" t="n">
        <v>0</v>
      </c>
      <c r="G2506" t="inlineStr">
        <is>
          <t>Tech A</t>
        </is>
      </c>
      <c r="H2506">
        <f>INDEX(Limits!$B$2:$B$5,MATCH(E2506,Limits!$A$2:$A$5,0))</f>
        <v/>
      </c>
      <c r="I2506">
        <f>INDEX(Limits!$C$2:$C$5,MATCH(E2506,Limits!$A$2:$A$5,0))</f>
        <v/>
      </c>
      <c r="J2506">
        <f>IF(F2506&gt;=I2506,"Action",IF(F2506&gt;=H2506,"Alert","Pass"))</f>
        <v/>
      </c>
      <c r="K2506" s="4">
        <f>DATE(YEAR(B2506),MONTH(B2506),1)</f>
        <v/>
      </c>
    </row>
    <row r="2507">
      <c r="A2507" t="inlineStr">
        <is>
          <t>EM002506</t>
        </is>
      </c>
      <c r="B2507" s="7" t="n">
        <v>46210</v>
      </c>
      <c r="C2507" t="inlineStr">
        <is>
          <t>Gowning</t>
        </is>
      </c>
      <c r="D2507" t="inlineStr">
        <is>
          <t>ISO 8</t>
        </is>
      </c>
      <c r="E2507" t="inlineStr">
        <is>
          <t>Active air</t>
        </is>
      </c>
      <c r="F2507" t="n">
        <v>2</v>
      </c>
      <c r="G2507" t="inlineStr">
        <is>
          <t>Tech D</t>
        </is>
      </c>
      <c r="H2507">
        <f>INDEX(Limits!$B$2:$B$5,MATCH(E2507,Limits!$A$2:$A$5,0))</f>
        <v/>
      </c>
      <c r="I2507">
        <f>INDEX(Limits!$C$2:$C$5,MATCH(E2507,Limits!$A$2:$A$5,0))</f>
        <v/>
      </c>
      <c r="J2507">
        <f>IF(F2507&gt;=I2507,"Action",IF(F2507&gt;=H2507,"Alert","Pass"))</f>
        <v/>
      </c>
      <c r="K2507" s="4">
        <f>DATE(YEAR(B2507),MONTH(B2507),1)</f>
        <v/>
      </c>
    </row>
    <row r="2508">
      <c r="A2508" t="inlineStr">
        <is>
          <t>EM002507</t>
        </is>
      </c>
      <c r="B2508" s="7" t="n">
        <v>46210</v>
      </c>
      <c r="C2508" t="inlineStr">
        <is>
          <t>Gowning</t>
        </is>
      </c>
      <c r="D2508" t="inlineStr">
        <is>
          <t>ISO 8</t>
        </is>
      </c>
      <c r="E2508" t="inlineStr">
        <is>
          <t>Surface contact</t>
        </is>
      </c>
      <c r="F2508" t="n">
        <v>0</v>
      </c>
      <c r="G2508" t="inlineStr">
        <is>
          <t>Tech A</t>
        </is>
      </c>
      <c r="H2508">
        <f>INDEX(Limits!$B$2:$B$5,MATCH(E2508,Limits!$A$2:$A$5,0))</f>
        <v/>
      </c>
      <c r="I2508">
        <f>INDEX(Limits!$C$2:$C$5,MATCH(E2508,Limits!$A$2:$A$5,0))</f>
        <v/>
      </c>
      <c r="J2508">
        <f>IF(F2508&gt;=I2508,"Action",IF(F2508&gt;=H2508,"Alert","Pass"))</f>
        <v/>
      </c>
      <c r="K2508" s="4">
        <f>DATE(YEAR(B2508),MONTH(B2508),1)</f>
        <v/>
      </c>
    </row>
    <row r="2509">
      <c r="A2509" t="inlineStr">
        <is>
          <t>EM002508</t>
        </is>
      </c>
      <c r="B2509" s="7" t="n">
        <v>46210</v>
      </c>
      <c r="C2509" t="inlineStr">
        <is>
          <t>Gowning</t>
        </is>
      </c>
      <c r="D2509" t="inlineStr">
        <is>
          <t>ISO 8</t>
        </is>
      </c>
      <c r="E2509" t="inlineStr">
        <is>
          <t>Personnel glove</t>
        </is>
      </c>
      <c r="F2509" t="n">
        <v>0</v>
      </c>
      <c r="G2509" t="inlineStr">
        <is>
          <t>Tech B</t>
        </is>
      </c>
      <c r="H2509">
        <f>INDEX(Limits!$B$2:$B$5,MATCH(E2509,Limits!$A$2:$A$5,0))</f>
        <v/>
      </c>
      <c r="I2509">
        <f>INDEX(Limits!$C$2:$C$5,MATCH(E2509,Limits!$A$2:$A$5,0))</f>
        <v/>
      </c>
      <c r="J2509">
        <f>IF(F2509&gt;=I2509,"Action",IF(F2509&gt;=H2509,"Alert","Pass"))</f>
        <v/>
      </c>
      <c r="K2509" s="4">
        <f>DATE(YEAR(B2509),MONTH(B2509),1)</f>
        <v/>
      </c>
    </row>
    <row r="2510">
      <c r="A2510" t="inlineStr">
        <is>
          <t>EM002509</t>
        </is>
      </c>
      <c r="B2510" s="7" t="n">
        <v>46211</v>
      </c>
      <c r="C2510" t="inlineStr">
        <is>
          <t>CR-101</t>
        </is>
      </c>
      <c r="D2510" t="inlineStr">
        <is>
          <t>ISO 7</t>
        </is>
      </c>
      <c r="E2510" t="inlineStr">
        <is>
          <t>Active air</t>
        </is>
      </c>
      <c r="F2510" t="n">
        <v>1</v>
      </c>
      <c r="G2510" t="inlineStr">
        <is>
          <t>Tech A</t>
        </is>
      </c>
      <c r="H2510">
        <f>INDEX(Limits!$B$2:$B$5,MATCH(E2510,Limits!$A$2:$A$5,0))</f>
        <v/>
      </c>
      <c r="I2510">
        <f>INDEX(Limits!$C$2:$C$5,MATCH(E2510,Limits!$A$2:$A$5,0))</f>
        <v/>
      </c>
      <c r="J2510">
        <f>IF(F2510&gt;=I2510,"Action",IF(F2510&gt;=H2510,"Alert","Pass"))</f>
        <v/>
      </c>
      <c r="K2510" s="4">
        <f>DATE(YEAR(B2510),MONTH(B2510),1)</f>
        <v/>
      </c>
    </row>
    <row r="2511">
      <c r="A2511" t="inlineStr">
        <is>
          <t>EM002510</t>
        </is>
      </c>
      <c r="B2511" s="7" t="n">
        <v>46211</v>
      </c>
      <c r="C2511" t="inlineStr">
        <is>
          <t>CR-101</t>
        </is>
      </c>
      <c r="D2511" t="inlineStr">
        <is>
          <t>ISO 7</t>
        </is>
      </c>
      <c r="E2511" t="inlineStr">
        <is>
          <t>Surface contact</t>
        </is>
      </c>
      <c r="F2511" t="n">
        <v>0</v>
      </c>
      <c r="G2511" t="inlineStr">
        <is>
          <t>Tech D</t>
        </is>
      </c>
      <c r="H2511">
        <f>INDEX(Limits!$B$2:$B$5,MATCH(E2511,Limits!$A$2:$A$5,0))</f>
        <v/>
      </c>
      <c r="I2511">
        <f>INDEX(Limits!$C$2:$C$5,MATCH(E2511,Limits!$A$2:$A$5,0))</f>
        <v/>
      </c>
      <c r="J2511">
        <f>IF(F2511&gt;=I2511,"Action",IF(F2511&gt;=H2511,"Alert","Pass"))</f>
        <v/>
      </c>
      <c r="K2511" s="4">
        <f>DATE(YEAR(B2511),MONTH(B2511),1)</f>
        <v/>
      </c>
    </row>
    <row r="2512">
      <c r="A2512" t="inlineStr">
        <is>
          <t>EM002511</t>
        </is>
      </c>
      <c r="B2512" s="7" t="n">
        <v>46211</v>
      </c>
      <c r="C2512" t="inlineStr">
        <is>
          <t>CR-101</t>
        </is>
      </c>
      <c r="D2512" t="inlineStr">
        <is>
          <t>ISO 7</t>
        </is>
      </c>
      <c r="E2512" t="inlineStr">
        <is>
          <t>Compressed air</t>
        </is>
      </c>
      <c r="F2512" t="n">
        <v>0</v>
      </c>
      <c r="G2512" t="inlineStr">
        <is>
          <t>Tech B</t>
        </is>
      </c>
      <c r="H2512">
        <f>INDEX(Limits!$B$2:$B$5,MATCH(E2512,Limits!$A$2:$A$5,0))</f>
        <v/>
      </c>
      <c r="I2512">
        <f>INDEX(Limits!$C$2:$C$5,MATCH(E2512,Limits!$A$2:$A$5,0))</f>
        <v/>
      </c>
      <c r="J2512">
        <f>IF(F2512&gt;=I2512,"Action",IF(F2512&gt;=H2512,"Alert","Pass"))</f>
        <v/>
      </c>
      <c r="K2512" s="4">
        <f>DATE(YEAR(B2512),MONTH(B2512),1)</f>
        <v/>
      </c>
    </row>
    <row r="2513">
      <c r="A2513" t="inlineStr">
        <is>
          <t>EM002512</t>
        </is>
      </c>
      <c r="B2513" s="7" t="n">
        <v>46211</v>
      </c>
      <c r="C2513" t="inlineStr">
        <is>
          <t>CR-101</t>
        </is>
      </c>
      <c r="D2513" t="inlineStr">
        <is>
          <t>ISO 7</t>
        </is>
      </c>
      <c r="E2513" t="inlineStr">
        <is>
          <t>Personnel glove</t>
        </is>
      </c>
      <c r="F2513" t="n">
        <v>0</v>
      </c>
      <c r="G2513" t="inlineStr">
        <is>
          <t>Tech B</t>
        </is>
      </c>
      <c r="H2513">
        <f>INDEX(Limits!$B$2:$B$5,MATCH(E2513,Limits!$A$2:$A$5,0))</f>
        <v/>
      </c>
      <c r="I2513">
        <f>INDEX(Limits!$C$2:$C$5,MATCH(E2513,Limits!$A$2:$A$5,0))</f>
        <v/>
      </c>
      <c r="J2513">
        <f>IF(F2513&gt;=I2513,"Action",IF(F2513&gt;=H2513,"Alert","Pass"))</f>
        <v/>
      </c>
      <c r="K2513" s="4">
        <f>DATE(YEAR(B2513),MONTH(B2513),1)</f>
        <v/>
      </c>
    </row>
    <row r="2514">
      <c r="A2514" t="inlineStr">
        <is>
          <t>EM002513</t>
        </is>
      </c>
      <c r="B2514" s="7" t="n">
        <v>46211</v>
      </c>
      <c r="C2514" t="inlineStr">
        <is>
          <t>CR-102</t>
        </is>
      </c>
      <c r="D2514" t="inlineStr">
        <is>
          <t>ISO 7</t>
        </is>
      </c>
      <c r="E2514" t="inlineStr">
        <is>
          <t>Active air</t>
        </is>
      </c>
      <c r="F2514" t="n">
        <v>2</v>
      </c>
      <c r="G2514" t="inlineStr">
        <is>
          <t>Tech C</t>
        </is>
      </c>
      <c r="H2514">
        <f>INDEX(Limits!$B$2:$B$5,MATCH(E2514,Limits!$A$2:$A$5,0))</f>
        <v/>
      </c>
      <c r="I2514">
        <f>INDEX(Limits!$C$2:$C$5,MATCH(E2514,Limits!$A$2:$A$5,0))</f>
        <v/>
      </c>
      <c r="J2514">
        <f>IF(F2514&gt;=I2514,"Action",IF(F2514&gt;=H2514,"Alert","Pass"))</f>
        <v/>
      </c>
      <c r="K2514" s="4">
        <f>DATE(YEAR(B2514),MONTH(B2514),1)</f>
        <v/>
      </c>
    </row>
    <row r="2515">
      <c r="A2515" t="inlineStr">
        <is>
          <t>EM002514</t>
        </is>
      </c>
      <c r="B2515" s="7" t="n">
        <v>46211</v>
      </c>
      <c r="C2515" t="inlineStr">
        <is>
          <t>CR-102</t>
        </is>
      </c>
      <c r="D2515" t="inlineStr">
        <is>
          <t>ISO 7</t>
        </is>
      </c>
      <c r="E2515" t="inlineStr">
        <is>
          <t>Surface contact</t>
        </is>
      </c>
      <c r="F2515" t="n">
        <v>0</v>
      </c>
      <c r="G2515" t="inlineStr">
        <is>
          <t>Tech A</t>
        </is>
      </c>
      <c r="H2515">
        <f>INDEX(Limits!$B$2:$B$5,MATCH(E2515,Limits!$A$2:$A$5,0))</f>
        <v/>
      </c>
      <c r="I2515">
        <f>INDEX(Limits!$C$2:$C$5,MATCH(E2515,Limits!$A$2:$A$5,0))</f>
        <v/>
      </c>
      <c r="J2515">
        <f>IF(F2515&gt;=I2515,"Action",IF(F2515&gt;=H2515,"Alert","Pass"))</f>
        <v/>
      </c>
      <c r="K2515" s="4">
        <f>DATE(YEAR(B2515),MONTH(B2515),1)</f>
        <v/>
      </c>
    </row>
    <row r="2516">
      <c r="A2516" t="inlineStr">
        <is>
          <t>EM002515</t>
        </is>
      </c>
      <c r="B2516" s="7" t="n">
        <v>46211</v>
      </c>
      <c r="C2516" t="inlineStr">
        <is>
          <t>CR-102</t>
        </is>
      </c>
      <c r="D2516" t="inlineStr">
        <is>
          <t>ISO 7</t>
        </is>
      </c>
      <c r="E2516" t="inlineStr">
        <is>
          <t>Compressed air</t>
        </is>
      </c>
      <c r="F2516" t="n">
        <v>0</v>
      </c>
      <c r="G2516" t="inlineStr">
        <is>
          <t>Tech B</t>
        </is>
      </c>
      <c r="H2516">
        <f>INDEX(Limits!$B$2:$B$5,MATCH(E2516,Limits!$A$2:$A$5,0))</f>
        <v/>
      </c>
      <c r="I2516">
        <f>INDEX(Limits!$C$2:$C$5,MATCH(E2516,Limits!$A$2:$A$5,0))</f>
        <v/>
      </c>
      <c r="J2516">
        <f>IF(F2516&gt;=I2516,"Action",IF(F2516&gt;=H2516,"Alert","Pass"))</f>
        <v/>
      </c>
      <c r="K2516" s="4">
        <f>DATE(YEAR(B2516),MONTH(B2516),1)</f>
        <v/>
      </c>
    </row>
    <row r="2517">
      <c r="A2517" t="inlineStr">
        <is>
          <t>EM002516</t>
        </is>
      </c>
      <c r="B2517" s="7" t="n">
        <v>46211</v>
      </c>
      <c r="C2517" t="inlineStr">
        <is>
          <t>CR-102</t>
        </is>
      </c>
      <c r="D2517" t="inlineStr">
        <is>
          <t>ISO 7</t>
        </is>
      </c>
      <c r="E2517" t="inlineStr">
        <is>
          <t>Personnel glove</t>
        </is>
      </c>
      <c r="F2517" t="n">
        <v>0</v>
      </c>
      <c r="G2517" t="inlineStr">
        <is>
          <t>Tech C</t>
        </is>
      </c>
      <c r="H2517">
        <f>INDEX(Limits!$B$2:$B$5,MATCH(E2517,Limits!$A$2:$A$5,0))</f>
        <v/>
      </c>
      <c r="I2517">
        <f>INDEX(Limits!$C$2:$C$5,MATCH(E2517,Limits!$A$2:$A$5,0))</f>
        <v/>
      </c>
      <c r="J2517">
        <f>IF(F2517&gt;=I2517,"Action",IF(F2517&gt;=H2517,"Alert","Pass"))</f>
        <v/>
      </c>
      <c r="K2517" s="4">
        <f>DATE(YEAR(B2517),MONTH(B2517),1)</f>
        <v/>
      </c>
    </row>
    <row r="2518">
      <c r="A2518" t="inlineStr">
        <is>
          <t>EM002517</t>
        </is>
      </c>
      <c r="B2518" s="7" t="n">
        <v>46211</v>
      </c>
      <c r="C2518" t="inlineStr">
        <is>
          <t>CR-201</t>
        </is>
      </c>
      <c r="D2518" t="inlineStr">
        <is>
          <t>ISO 8</t>
        </is>
      </c>
      <c r="E2518" t="inlineStr">
        <is>
          <t>Active air</t>
        </is>
      </c>
      <c r="F2518" t="n">
        <v>1</v>
      </c>
      <c r="G2518" t="inlineStr">
        <is>
          <t>Tech C</t>
        </is>
      </c>
      <c r="H2518">
        <f>INDEX(Limits!$B$2:$B$5,MATCH(E2518,Limits!$A$2:$A$5,0))</f>
        <v/>
      </c>
      <c r="I2518">
        <f>INDEX(Limits!$C$2:$C$5,MATCH(E2518,Limits!$A$2:$A$5,0))</f>
        <v/>
      </c>
      <c r="J2518">
        <f>IF(F2518&gt;=I2518,"Action",IF(F2518&gt;=H2518,"Alert","Pass"))</f>
        <v/>
      </c>
      <c r="K2518" s="4">
        <f>DATE(YEAR(B2518),MONTH(B2518),1)</f>
        <v/>
      </c>
    </row>
    <row r="2519">
      <c r="A2519" t="inlineStr">
        <is>
          <t>EM002518</t>
        </is>
      </c>
      <c r="B2519" s="7" t="n">
        <v>46211</v>
      </c>
      <c r="C2519" t="inlineStr">
        <is>
          <t>CR-201</t>
        </is>
      </c>
      <c r="D2519" t="inlineStr">
        <is>
          <t>ISO 8</t>
        </is>
      </c>
      <c r="E2519" t="inlineStr">
        <is>
          <t>Surface contact</t>
        </is>
      </c>
      <c r="F2519" t="n">
        <v>1</v>
      </c>
      <c r="G2519" t="inlineStr">
        <is>
          <t>Tech D</t>
        </is>
      </c>
      <c r="H2519">
        <f>INDEX(Limits!$B$2:$B$5,MATCH(E2519,Limits!$A$2:$A$5,0))</f>
        <v/>
      </c>
      <c r="I2519">
        <f>INDEX(Limits!$C$2:$C$5,MATCH(E2519,Limits!$A$2:$A$5,0))</f>
        <v/>
      </c>
      <c r="J2519">
        <f>IF(F2519&gt;=I2519,"Action",IF(F2519&gt;=H2519,"Alert","Pass"))</f>
        <v/>
      </c>
      <c r="K2519" s="4">
        <f>DATE(YEAR(B2519),MONTH(B2519),1)</f>
        <v/>
      </c>
    </row>
    <row r="2520">
      <c r="A2520" t="inlineStr">
        <is>
          <t>EM002519</t>
        </is>
      </c>
      <c r="B2520" s="7" t="n">
        <v>46211</v>
      </c>
      <c r="C2520" t="inlineStr">
        <is>
          <t>CR-201</t>
        </is>
      </c>
      <c r="D2520" t="inlineStr">
        <is>
          <t>ISO 8</t>
        </is>
      </c>
      <c r="E2520" t="inlineStr">
        <is>
          <t>Compressed air</t>
        </is>
      </c>
      <c r="F2520" t="n">
        <v>0</v>
      </c>
      <c r="G2520" t="inlineStr">
        <is>
          <t>Tech D</t>
        </is>
      </c>
      <c r="H2520">
        <f>INDEX(Limits!$B$2:$B$5,MATCH(E2520,Limits!$A$2:$A$5,0))</f>
        <v/>
      </c>
      <c r="I2520">
        <f>INDEX(Limits!$C$2:$C$5,MATCH(E2520,Limits!$A$2:$A$5,0))</f>
        <v/>
      </c>
      <c r="J2520">
        <f>IF(F2520&gt;=I2520,"Action",IF(F2520&gt;=H2520,"Alert","Pass"))</f>
        <v/>
      </c>
      <c r="K2520" s="4">
        <f>DATE(YEAR(B2520),MONTH(B2520),1)</f>
        <v/>
      </c>
    </row>
    <row r="2521">
      <c r="A2521" t="inlineStr">
        <is>
          <t>EM002520</t>
        </is>
      </c>
      <c r="B2521" s="7" t="n">
        <v>46211</v>
      </c>
      <c r="C2521" t="inlineStr">
        <is>
          <t>CR-201</t>
        </is>
      </c>
      <c r="D2521" t="inlineStr">
        <is>
          <t>ISO 8</t>
        </is>
      </c>
      <c r="E2521" t="inlineStr">
        <is>
          <t>Personnel glove</t>
        </is>
      </c>
      <c r="F2521" t="n">
        <v>0</v>
      </c>
      <c r="G2521" t="inlineStr">
        <is>
          <t>Tech B</t>
        </is>
      </c>
      <c r="H2521">
        <f>INDEX(Limits!$B$2:$B$5,MATCH(E2521,Limits!$A$2:$A$5,0))</f>
        <v/>
      </c>
      <c r="I2521">
        <f>INDEX(Limits!$C$2:$C$5,MATCH(E2521,Limits!$A$2:$A$5,0))</f>
        <v/>
      </c>
      <c r="J2521">
        <f>IF(F2521&gt;=I2521,"Action",IF(F2521&gt;=H2521,"Alert","Pass"))</f>
        <v/>
      </c>
      <c r="K2521" s="4">
        <f>DATE(YEAR(B2521),MONTH(B2521),1)</f>
        <v/>
      </c>
    </row>
    <row r="2522">
      <c r="A2522" t="inlineStr">
        <is>
          <t>EM002521</t>
        </is>
      </c>
      <c r="B2522" s="7" t="n">
        <v>46211</v>
      </c>
      <c r="C2522" t="inlineStr">
        <is>
          <t>CR-202</t>
        </is>
      </c>
      <c r="D2522" t="inlineStr">
        <is>
          <t>ISO 8</t>
        </is>
      </c>
      <c r="E2522" t="inlineStr">
        <is>
          <t>Active air</t>
        </is>
      </c>
      <c r="F2522" t="n">
        <v>0</v>
      </c>
      <c r="G2522" t="inlineStr">
        <is>
          <t>Tech C</t>
        </is>
      </c>
      <c r="H2522">
        <f>INDEX(Limits!$B$2:$B$5,MATCH(E2522,Limits!$A$2:$A$5,0))</f>
        <v/>
      </c>
      <c r="I2522">
        <f>INDEX(Limits!$C$2:$C$5,MATCH(E2522,Limits!$A$2:$A$5,0))</f>
        <v/>
      </c>
      <c r="J2522">
        <f>IF(F2522&gt;=I2522,"Action",IF(F2522&gt;=H2522,"Alert","Pass"))</f>
        <v/>
      </c>
      <c r="K2522" s="4">
        <f>DATE(YEAR(B2522),MONTH(B2522),1)</f>
        <v/>
      </c>
    </row>
    <row r="2523">
      <c r="A2523" t="inlineStr">
        <is>
          <t>EM002522</t>
        </is>
      </c>
      <c r="B2523" s="7" t="n">
        <v>46211</v>
      </c>
      <c r="C2523" t="inlineStr">
        <is>
          <t>CR-202</t>
        </is>
      </c>
      <c r="D2523" t="inlineStr">
        <is>
          <t>ISO 8</t>
        </is>
      </c>
      <c r="E2523" t="inlineStr">
        <is>
          <t>Surface contact</t>
        </is>
      </c>
      <c r="F2523" t="n">
        <v>1</v>
      </c>
      <c r="G2523" t="inlineStr">
        <is>
          <t>Tech A</t>
        </is>
      </c>
      <c r="H2523">
        <f>INDEX(Limits!$B$2:$B$5,MATCH(E2523,Limits!$A$2:$A$5,0))</f>
        <v/>
      </c>
      <c r="I2523">
        <f>INDEX(Limits!$C$2:$C$5,MATCH(E2523,Limits!$A$2:$A$5,0))</f>
        <v/>
      </c>
      <c r="J2523">
        <f>IF(F2523&gt;=I2523,"Action",IF(F2523&gt;=H2523,"Alert","Pass"))</f>
        <v/>
      </c>
      <c r="K2523" s="4">
        <f>DATE(YEAR(B2523),MONTH(B2523),1)</f>
        <v/>
      </c>
    </row>
    <row r="2524">
      <c r="A2524" t="inlineStr">
        <is>
          <t>EM002523</t>
        </is>
      </c>
      <c r="B2524" s="7" t="n">
        <v>46211</v>
      </c>
      <c r="C2524" t="inlineStr">
        <is>
          <t>CR-202</t>
        </is>
      </c>
      <c r="D2524" t="inlineStr">
        <is>
          <t>ISO 8</t>
        </is>
      </c>
      <c r="E2524" t="inlineStr">
        <is>
          <t>Compressed air</t>
        </is>
      </c>
      <c r="F2524" t="n">
        <v>0</v>
      </c>
      <c r="G2524" t="inlineStr">
        <is>
          <t>Tech D</t>
        </is>
      </c>
      <c r="H2524">
        <f>INDEX(Limits!$B$2:$B$5,MATCH(E2524,Limits!$A$2:$A$5,0))</f>
        <v/>
      </c>
      <c r="I2524">
        <f>INDEX(Limits!$C$2:$C$5,MATCH(E2524,Limits!$A$2:$A$5,0))</f>
        <v/>
      </c>
      <c r="J2524">
        <f>IF(F2524&gt;=I2524,"Action",IF(F2524&gt;=H2524,"Alert","Pass"))</f>
        <v/>
      </c>
      <c r="K2524" s="4">
        <f>DATE(YEAR(B2524),MONTH(B2524),1)</f>
        <v/>
      </c>
    </row>
    <row r="2525">
      <c r="A2525" t="inlineStr">
        <is>
          <t>EM002524</t>
        </is>
      </c>
      <c r="B2525" s="7" t="n">
        <v>46211</v>
      </c>
      <c r="C2525" t="inlineStr">
        <is>
          <t>CR-202</t>
        </is>
      </c>
      <c r="D2525" t="inlineStr">
        <is>
          <t>ISO 8</t>
        </is>
      </c>
      <c r="E2525" t="inlineStr">
        <is>
          <t>Personnel glove</t>
        </is>
      </c>
      <c r="F2525" t="n">
        <v>0</v>
      </c>
      <c r="G2525" t="inlineStr">
        <is>
          <t>Tech C</t>
        </is>
      </c>
      <c r="H2525">
        <f>INDEX(Limits!$B$2:$B$5,MATCH(E2525,Limits!$A$2:$A$5,0))</f>
        <v/>
      </c>
      <c r="I2525">
        <f>INDEX(Limits!$C$2:$C$5,MATCH(E2525,Limits!$A$2:$A$5,0))</f>
        <v/>
      </c>
      <c r="J2525">
        <f>IF(F2525&gt;=I2525,"Action",IF(F2525&gt;=H2525,"Alert","Pass"))</f>
        <v/>
      </c>
      <c r="K2525" s="4">
        <f>DATE(YEAR(B2525),MONTH(B2525),1)</f>
        <v/>
      </c>
    </row>
    <row r="2526">
      <c r="A2526" t="inlineStr">
        <is>
          <t>EM002525</t>
        </is>
      </c>
      <c r="B2526" s="7" t="n">
        <v>46211</v>
      </c>
      <c r="C2526" t="inlineStr">
        <is>
          <t>Gowning</t>
        </is>
      </c>
      <c r="D2526" t="inlineStr">
        <is>
          <t>ISO 8</t>
        </is>
      </c>
      <c r="E2526" t="inlineStr">
        <is>
          <t>Active air</t>
        </is>
      </c>
      <c r="F2526" t="n">
        <v>3</v>
      </c>
      <c r="G2526" t="inlineStr">
        <is>
          <t>Tech B</t>
        </is>
      </c>
      <c r="H2526">
        <f>INDEX(Limits!$B$2:$B$5,MATCH(E2526,Limits!$A$2:$A$5,0))</f>
        <v/>
      </c>
      <c r="I2526">
        <f>INDEX(Limits!$C$2:$C$5,MATCH(E2526,Limits!$A$2:$A$5,0))</f>
        <v/>
      </c>
      <c r="J2526">
        <f>IF(F2526&gt;=I2526,"Action",IF(F2526&gt;=H2526,"Alert","Pass"))</f>
        <v/>
      </c>
      <c r="K2526" s="4">
        <f>DATE(YEAR(B2526),MONTH(B2526),1)</f>
        <v/>
      </c>
    </row>
    <row r="2527">
      <c r="A2527" t="inlineStr">
        <is>
          <t>EM002526</t>
        </is>
      </c>
      <c r="B2527" s="7" t="n">
        <v>46211</v>
      </c>
      <c r="C2527" t="inlineStr">
        <is>
          <t>Gowning</t>
        </is>
      </c>
      <c r="D2527" t="inlineStr">
        <is>
          <t>ISO 8</t>
        </is>
      </c>
      <c r="E2527" t="inlineStr">
        <is>
          <t>Surface contact</t>
        </is>
      </c>
      <c r="F2527" t="n">
        <v>0</v>
      </c>
      <c r="G2527" t="inlineStr">
        <is>
          <t>Tech B</t>
        </is>
      </c>
      <c r="H2527">
        <f>INDEX(Limits!$B$2:$B$5,MATCH(E2527,Limits!$A$2:$A$5,0))</f>
        <v/>
      </c>
      <c r="I2527">
        <f>INDEX(Limits!$C$2:$C$5,MATCH(E2527,Limits!$A$2:$A$5,0))</f>
        <v/>
      </c>
      <c r="J2527">
        <f>IF(F2527&gt;=I2527,"Action",IF(F2527&gt;=H2527,"Alert","Pass"))</f>
        <v/>
      </c>
      <c r="K2527" s="4">
        <f>DATE(YEAR(B2527),MONTH(B2527),1)</f>
        <v/>
      </c>
    </row>
    <row r="2528">
      <c r="A2528" t="inlineStr">
        <is>
          <t>EM002527</t>
        </is>
      </c>
      <c r="B2528" s="7" t="n">
        <v>46211</v>
      </c>
      <c r="C2528" t="inlineStr">
        <is>
          <t>Gowning</t>
        </is>
      </c>
      <c r="D2528" t="inlineStr">
        <is>
          <t>ISO 8</t>
        </is>
      </c>
      <c r="E2528" t="inlineStr">
        <is>
          <t>Personnel glove</t>
        </is>
      </c>
      <c r="F2528" t="n">
        <v>0</v>
      </c>
      <c r="G2528" t="inlineStr">
        <is>
          <t>Tech B</t>
        </is>
      </c>
      <c r="H2528">
        <f>INDEX(Limits!$B$2:$B$5,MATCH(E2528,Limits!$A$2:$A$5,0))</f>
        <v/>
      </c>
      <c r="I2528">
        <f>INDEX(Limits!$C$2:$C$5,MATCH(E2528,Limits!$A$2:$A$5,0))</f>
        <v/>
      </c>
      <c r="J2528">
        <f>IF(F2528&gt;=I2528,"Action",IF(F2528&gt;=H2528,"Alert","Pass"))</f>
        <v/>
      </c>
      <c r="K2528" s="4">
        <f>DATE(YEAR(B2528),MONTH(B2528),1)</f>
        <v/>
      </c>
    </row>
    <row r="2529">
      <c r="A2529" t="inlineStr">
        <is>
          <t>EM002528</t>
        </is>
      </c>
      <c r="B2529" s="7" t="n">
        <v>46212</v>
      </c>
      <c r="C2529" t="inlineStr">
        <is>
          <t>CR-101</t>
        </is>
      </c>
      <c r="D2529" t="inlineStr">
        <is>
          <t>ISO 7</t>
        </is>
      </c>
      <c r="E2529" t="inlineStr">
        <is>
          <t>Active air</t>
        </is>
      </c>
      <c r="F2529" t="n">
        <v>0</v>
      </c>
      <c r="G2529" t="inlineStr">
        <is>
          <t>Tech C</t>
        </is>
      </c>
      <c r="H2529">
        <f>INDEX(Limits!$B$2:$B$5,MATCH(E2529,Limits!$A$2:$A$5,0))</f>
        <v/>
      </c>
      <c r="I2529">
        <f>INDEX(Limits!$C$2:$C$5,MATCH(E2529,Limits!$A$2:$A$5,0))</f>
        <v/>
      </c>
      <c r="J2529">
        <f>IF(F2529&gt;=I2529,"Action",IF(F2529&gt;=H2529,"Alert","Pass"))</f>
        <v/>
      </c>
      <c r="K2529" s="4">
        <f>DATE(YEAR(B2529),MONTH(B2529),1)</f>
        <v/>
      </c>
    </row>
    <row r="2530">
      <c r="A2530" t="inlineStr">
        <is>
          <t>EM002529</t>
        </is>
      </c>
      <c r="B2530" s="7" t="n">
        <v>46212</v>
      </c>
      <c r="C2530" t="inlineStr">
        <is>
          <t>CR-101</t>
        </is>
      </c>
      <c r="D2530" t="inlineStr">
        <is>
          <t>ISO 7</t>
        </is>
      </c>
      <c r="E2530" t="inlineStr">
        <is>
          <t>Surface contact</t>
        </is>
      </c>
      <c r="F2530" t="n">
        <v>0</v>
      </c>
      <c r="G2530" t="inlineStr">
        <is>
          <t>Tech D</t>
        </is>
      </c>
      <c r="H2530">
        <f>INDEX(Limits!$B$2:$B$5,MATCH(E2530,Limits!$A$2:$A$5,0))</f>
        <v/>
      </c>
      <c r="I2530">
        <f>INDEX(Limits!$C$2:$C$5,MATCH(E2530,Limits!$A$2:$A$5,0))</f>
        <v/>
      </c>
      <c r="J2530">
        <f>IF(F2530&gt;=I2530,"Action",IF(F2530&gt;=H2530,"Alert","Pass"))</f>
        <v/>
      </c>
      <c r="K2530" s="4">
        <f>DATE(YEAR(B2530),MONTH(B2530),1)</f>
        <v/>
      </c>
    </row>
    <row r="2531">
      <c r="A2531" t="inlineStr">
        <is>
          <t>EM002530</t>
        </is>
      </c>
      <c r="B2531" s="7" t="n">
        <v>46212</v>
      </c>
      <c r="C2531" t="inlineStr">
        <is>
          <t>CR-101</t>
        </is>
      </c>
      <c r="D2531" t="inlineStr">
        <is>
          <t>ISO 7</t>
        </is>
      </c>
      <c r="E2531" t="inlineStr">
        <is>
          <t>Compressed air</t>
        </is>
      </c>
      <c r="F2531" t="n">
        <v>0</v>
      </c>
      <c r="G2531" t="inlineStr">
        <is>
          <t>Tech A</t>
        </is>
      </c>
      <c r="H2531">
        <f>INDEX(Limits!$B$2:$B$5,MATCH(E2531,Limits!$A$2:$A$5,0))</f>
        <v/>
      </c>
      <c r="I2531">
        <f>INDEX(Limits!$C$2:$C$5,MATCH(E2531,Limits!$A$2:$A$5,0))</f>
        <v/>
      </c>
      <c r="J2531">
        <f>IF(F2531&gt;=I2531,"Action",IF(F2531&gt;=H2531,"Alert","Pass"))</f>
        <v/>
      </c>
      <c r="K2531" s="4">
        <f>DATE(YEAR(B2531),MONTH(B2531),1)</f>
        <v/>
      </c>
    </row>
    <row r="2532">
      <c r="A2532" t="inlineStr">
        <is>
          <t>EM002531</t>
        </is>
      </c>
      <c r="B2532" s="7" t="n">
        <v>46212</v>
      </c>
      <c r="C2532" t="inlineStr">
        <is>
          <t>CR-101</t>
        </is>
      </c>
      <c r="D2532" t="inlineStr">
        <is>
          <t>ISO 7</t>
        </is>
      </c>
      <c r="E2532" t="inlineStr">
        <is>
          <t>Personnel glove</t>
        </is>
      </c>
      <c r="F2532" t="n">
        <v>0</v>
      </c>
      <c r="G2532" t="inlineStr">
        <is>
          <t>Tech C</t>
        </is>
      </c>
      <c r="H2532">
        <f>INDEX(Limits!$B$2:$B$5,MATCH(E2532,Limits!$A$2:$A$5,0))</f>
        <v/>
      </c>
      <c r="I2532">
        <f>INDEX(Limits!$C$2:$C$5,MATCH(E2532,Limits!$A$2:$A$5,0))</f>
        <v/>
      </c>
      <c r="J2532">
        <f>IF(F2532&gt;=I2532,"Action",IF(F2532&gt;=H2532,"Alert","Pass"))</f>
        <v/>
      </c>
      <c r="K2532" s="4">
        <f>DATE(YEAR(B2532),MONTH(B2532),1)</f>
        <v/>
      </c>
    </row>
    <row r="2533">
      <c r="A2533" t="inlineStr">
        <is>
          <t>EM002532</t>
        </is>
      </c>
      <c r="B2533" s="7" t="n">
        <v>46212</v>
      </c>
      <c r="C2533" t="inlineStr">
        <is>
          <t>CR-102</t>
        </is>
      </c>
      <c r="D2533" t="inlineStr">
        <is>
          <t>ISO 7</t>
        </is>
      </c>
      <c r="E2533" t="inlineStr">
        <is>
          <t>Active air</t>
        </is>
      </c>
      <c r="F2533" t="n">
        <v>0</v>
      </c>
      <c r="G2533" t="inlineStr">
        <is>
          <t>Tech C</t>
        </is>
      </c>
      <c r="H2533">
        <f>INDEX(Limits!$B$2:$B$5,MATCH(E2533,Limits!$A$2:$A$5,0))</f>
        <v/>
      </c>
      <c r="I2533">
        <f>INDEX(Limits!$C$2:$C$5,MATCH(E2533,Limits!$A$2:$A$5,0))</f>
        <v/>
      </c>
      <c r="J2533">
        <f>IF(F2533&gt;=I2533,"Action",IF(F2533&gt;=H2533,"Alert","Pass"))</f>
        <v/>
      </c>
      <c r="K2533" s="4">
        <f>DATE(YEAR(B2533),MONTH(B2533),1)</f>
        <v/>
      </c>
    </row>
    <row r="2534">
      <c r="A2534" t="inlineStr">
        <is>
          <t>EM002533</t>
        </is>
      </c>
      <c r="B2534" s="7" t="n">
        <v>46212</v>
      </c>
      <c r="C2534" t="inlineStr">
        <is>
          <t>CR-102</t>
        </is>
      </c>
      <c r="D2534" t="inlineStr">
        <is>
          <t>ISO 7</t>
        </is>
      </c>
      <c r="E2534" t="inlineStr">
        <is>
          <t>Surface contact</t>
        </is>
      </c>
      <c r="F2534" t="n">
        <v>1</v>
      </c>
      <c r="G2534" t="inlineStr">
        <is>
          <t>Tech A</t>
        </is>
      </c>
      <c r="H2534">
        <f>INDEX(Limits!$B$2:$B$5,MATCH(E2534,Limits!$A$2:$A$5,0))</f>
        <v/>
      </c>
      <c r="I2534">
        <f>INDEX(Limits!$C$2:$C$5,MATCH(E2534,Limits!$A$2:$A$5,0))</f>
        <v/>
      </c>
      <c r="J2534">
        <f>IF(F2534&gt;=I2534,"Action",IF(F2534&gt;=H2534,"Alert","Pass"))</f>
        <v/>
      </c>
      <c r="K2534" s="4">
        <f>DATE(YEAR(B2534),MONTH(B2534),1)</f>
        <v/>
      </c>
    </row>
    <row r="2535">
      <c r="A2535" t="inlineStr">
        <is>
          <t>EM002534</t>
        </is>
      </c>
      <c r="B2535" s="7" t="n">
        <v>46212</v>
      </c>
      <c r="C2535" t="inlineStr">
        <is>
          <t>CR-102</t>
        </is>
      </c>
      <c r="D2535" t="inlineStr">
        <is>
          <t>ISO 7</t>
        </is>
      </c>
      <c r="E2535" t="inlineStr">
        <is>
          <t>Compressed air</t>
        </is>
      </c>
      <c r="F2535" t="n">
        <v>0</v>
      </c>
      <c r="G2535" t="inlineStr">
        <is>
          <t>Tech D</t>
        </is>
      </c>
      <c r="H2535">
        <f>INDEX(Limits!$B$2:$B$5,MATCH(E2535,Limits!$A$2:$A$5,0))</f>
        <v/>
      </c>
      <c r="I2535">
        <f>INDEX(Limits!$C$2:$C$5,MATCH(E2535,Limits!$A$2:$A$5,0))</f>
        <v/>
      </c>
      <c r="J2535">
        <f>IF(F2535&gt;=I2535,"Action",IF(F2535&gt;=H2535,"Alert","Pass"))</f>
        <v/>
      </c>
      <c r="K2535" s="4">
        <f>DATE(YEAR(B2535),MONTH(B2535),1)</f>
        <v/>
      </c>
    </row>
    <row r="2536">
      <c r="A2536" t="inlineStr">
        <is>
          <t>EM002535</t>
        </is>
      </c>
      <c r="B2536" s="7" t="n">
        <v>46212</v>
      </c>
      <c r="C2536" t="inlineStr">
        <is>
          <t>CR-102</t>
        </is>
      </c>
      <c r="D2536" t="inlineStr">
        <is>
          <t>ISO 7</t>
        </is>
      </c>
      <c r="E2536" t="inlineStr">
        <is>
          <t>Personnel glove</t>
        </is>
      </c>
      <c r="F2536" t="n">
        <v>0</v>
      </c>
      <c r="G2536" t="inlineStr">
        <is>
          <t>Tech D</t>
        </is>
      </c>
      <c r="H2536">
        <f>INDEX(Limits!$B$2:$B$5,MATCH(E2536,Limits!$A$2:$A$5,0))</f>
        <v/>
      </c>
      <c r="I2536">
        <f>INDEX(Limits!$C$2:$C$5,MATCH(E2536,Limits!$A$2:$A$5,0))</f>
        <v/>
      </c>
      <c r="J2536">
        <f>IF(F2536&gt;=I2536,"Action",IF(F2536&gt;=H2536,"Alert","Pass"))</f>
        <v/>
      </c>
      <c r="K2536" s="4">
        <f>DATE(YEAR(B2536),MONTH(B2536),1)</f>
        <v/>
      </c>
    </row>
    <row r="2537">
      <c r="A2537" t="inlineStr">
        <is>
          <t>EM002536</t>
        </is>
      </c>
      <c r="B2537" s="7" t="n">
        <v>46212</v>
      </c>
      <c r="C2537" t="inlineStr">
        <is>
          <t>CR-201</t>
        </is>
      </c>
      <c r="D2537" t="inlineStr">
        <is>
          <t>ISO 8</t>
        </is>
      </c>
      <c r="E2537" t="inlineStr">
        <is>
          <t>Active air</t>
        </is>
      </c>
      <c r="F2537" t="n">
        <v>2</v>
      </c>
      <c r="G2537" t="inlineStr">
        <is>
          <t>Tech C</t>
        </is>
      </c>
      <c r="H2537">
        <f>INDEX(Limits!$B$2:$B$5,MATCH(E2537,Limits!$A$2:$A$5,0))</f>
        <v/>
      </c>
      <c r="I2537">
        <f>INDEX(Limits!$C$2:$C$5,MATCH(E2537,Limits!$A$2:$A$5,0))</f>
        <v/>
      </c>
      <c r="J2537">
        <f>IF(F2537&gt;=I2537,"Action",IF(F2537&gt;=H2537,"Alert","Pass"))</f>
        <v/>
      </c>
      <c r="K2537" s="4">
        <f>DATE(YEAR(B2537),MONTH(B2537),1)</f>
        <v/>
      </c>
    </row>
    <row r="2538">
      <c r="A2538" t="inlineStr">
        <is>
          <t>EM002537</t>
        </is>
      </c>
      <c r="B2538" s="7" t="n">
        <v>46212</v>
      </c>
      <c r="C2538" t="inlineStr">
        <is>
          <t>CR-201</t>
        </is>
      </c>
      <c r="D2538" t="inlineStr">
        <is>
          <t>ISO 8</t>
        </is>
      </c>
      <c r="E2538" t="inlineStr">
        <is>
          <t>Surface contact</t>
        </is>
      </c>
      <c r="F2538" t="n">
        <v>1</v>
      </c>
      <c r="G2538" t="inlineStr">
        <is>
          <t>Tech B</t>
        </is>
      </c>
      <c r="H2538">
        <f>INDEX(Limits!$B$2:$B$5,MATCH(E2538,Limits!$A$2:$A$5,0))</f>
        <v/>
      </c>
      <c r="I2538">
        <f>INDEX(Limits!$C$2:$C$5,MATCH(E2538,Limits!$A$2:$A$5,0))</f>
        <v/>
      </c>
      <c r="J2538">
        <f>IF(F2538&gt;=I2538,"Action",IF(F2538&gt;=H2538,"Alert","Pass"))</f>
        <v/>
      </c>
      <c r="K2538" s="4">
        <f>DATE(YEAR(B2538),MONTH(B2538),1)</f>
        <v/>
      </c>
    </row>
    <row r="2539">
      <c r="A2539" t="inlineStr">
        <is>
          <t>EM002538</t>
        </is>
      </c>
      <c r="B2539" s="7" t="n">
        <v>46212</v>
      </c>
      <c r="C2539" t="inlineStr">
        <is>
          <t>CR-201</t>
        </is>
      </c>
      <c r="D2539" t="inlineStr">
        <is>
          <t>ISO 8</t>
        </is>
      </c>
      <c r="E2539" t="inlineStr">
        <is>
          <t>Compressed air</t>
        </is>
      </c>
      <c r="F2539" t="n">
        <v>0</v>
      </c>
      <c r="G2539" t="inlineStr">
        <is>
          <t>Tech C</t>
        </is>
      </c>
      <c r="H2539">
        <f>INDEX(Limits!$B$2:$B$5,MATCH(E2539,Limits!$A$2:$A$5,0))</f>
        <v/>
      </c>
      <c r="I2539">
        <f>INDEX(Limits!$C$2:$C$5,MATCH(E2539,Limits!$A$2:$A$5,0))</f>
        <v/>
      </c>
      <c r="J2539">
        <f>IF(F2539&gt;=I2539,"Action",IF(F2539&gt;=H2539,"Alert","Pass"))</f>
        <v/>
      </c>
      <c r="K2539" s="4">
        <f>DATE(YEAR(B2539),MONTH(B2539),1)</f>
        <v/>
      </c>
    </row>
    <row r="2540">
      <c r="A2540" t="inlineStr">
        <is>
          <t>EM002539</t>
        </is>
      </c>
      <c r="B2540" s="7" t="n">
        <v>46212</v>
      </c>
      <c r="C2540" t="inlineStr">
        <is>
          <t>CR-201</t>
        </is>
      </c>
      <c r="D2540" t="inlineStr">
        <is>
          <t>ISO 8</t>
        </is>
      </c>
      <c r="E2540" t="inlineStr">
        <is>
          <t>Personnel glove</t>
        </is>
      </c>
      <c r="F2540" t="n">
        <v>0</v>
      </c>
      <c r="G2540" t="inlineStr">
        <is>
          <t>Tech B</t>
        </is>
      </c>
      <c r="H2540">
        <f>INDEX(Limits!$B$2:$B$5,MATCH(E2540,Limits!$A$2:$A$5,0))</f>
        <v/>
      </c>
      <c r="I2540">
        <f>INDEX(Limits!$C$2:$C$5,MATCH(E2540,Limits!$A$2:$A$5,0))</f>
        <v/>
      </c>
      <c r="J2540">
        <f>IF(F2540&gt;=I2540,"Action",IF(F2540&gt;=H2540,"Alert","Pass"))</f>
        <v/>
      </c>
      <c r="K2540" s="4">
        <f>DATE(YEAR(B2540),MONTH(B2540),1)</f>
        <v/>
      </c>
    </row>
    <row r="2541">
      <c r="A2541" t="inlineStr">
        <is>
          <t>EM002540</t>
        </is>
      </c>
      <c r="B2541" s="7" t="n">
        <v>46212</v>
      </c>
      <c r="C2541" t="inlineStr">
        <is>
          <t>CR-202</t>
        </is>
      </c>
      <c r="D2541" t="inlineStr">
        <is>
          <t>ISO 8</t>
        </is>
      </c>
      <c r="E2541" t="inlineStr">
        <is>
          <t>Active air</t>
        </is>
      </c>
      <c r="F2541" t="n">
        <v>4</v>
      </c>
      <c r="G2541" t="inlineStr">
        <is>
          <t>Tech D</t>
        </is>
      </c>
      <c r="H2541">
        <f>INDEX(Limits!$B$2:$B$5,MATCH(E2541,Limits!$A$2:$A$5,0))</f>
        <v/>
      </c>
      <c r="I2541">
        <f>INDEX(Limits!$C$2:$C$5,MATCH(E2541,Limits!$A$2:$A$5,0))</f>
        <v/>
      </c>
      <c r="J2541">
        <f>IF(F2541&gt;=I2541,"Action",IF(F2541&gt;=H2541,"Alert","Pass"))</f>
        <v/>
      </c>
      <c r="K2541" s="4">
        <f>DATE(YEAR(B2541),MONTH(B2541),1)</f>
        <v/>
      </c>
    </row>
    <row r="2542">
      <c r="A2542" t="inlineStr">
        <is>
          <t>EM002541</t>
        </is>
      </c>
      <c r="B2542" s="7" t="n">
        <v>46212</v>
      </c>
      <c r="C2542" t="inlineStr">
        <is>
          <t>CR-202</t>
        </is>
      </c>
      <c r="D2542" t="inlineStr">
        <is>
          <t>ISO 8</t>
        </is>
      </c>
      <c r="E2542" t="inlineStr">
        <is>
          <t>Surface contact</t>
        </is>
      </c>
      <c r="F2542" t="n">
        <v>3</v>
      </c>
      <c r="G2542" t="inlineStr">
        <is>
          <t>Tech A</t>
        </is>
      </c>
      <c r="H2542">
        <f>INDEX(Limits!$B$2:$B$5,MATCH(E2542,Limits!$A$2:$A$5,0))</f>
        <v/>
      </c>
      <c r="I2542">
        <f>INDEX(Limits!$C$2:$C$5,MATCH(E2542,Limits!$A$2:$A$5,0))</f>
        <v/>
      </c>
      <c r="J2542">
        <f>IF(F2542&gt;=I2542,"Action",IF(F2542&gt;=H2542,"Alert","Pass"))</f>
        <v/>
      </c>
      <c r="K2542" s="4">
        <f>DATE(YEAR(B2542),MONTH(B2542),1)</f>
        <v/>
      </c>
    </row>
    <row r="2543">
      <c r="A2543" t="inlineStr">
        <is>
          <t>EM002542</t>
        </is>
      </c>
      <c r="B2543" s="7" t="n">
        <v>46212</v>
      </c>
      <c r="C2543" t="inlineStr">
        <is>
          <t>CR-202</t>
        </is>
      </c>
      <c r="D2543" t="inlineStr">
        <is>
          <t>ISO 8</t>
        </is>
      </c>
      <c r="E2543" t="inlineStr">
        <is>
          <t>Compressed air</t>
        </is>
      </c>
      <c r="F2543" t="n">
        <v>0</v>
      </c>
      <c r="G2543" t="inlineStr">
        <is>
          <t>Tech B</t>
        </is>
      </c>
      <c r="H2543">
        <f>INDEX(Limits!$B$2:$B$5,MATCH(E2543,Limits!$A$2:$A$5,0))</f>
        <v/>
      </c>
      <c r="I2543">
        <f>INDEX(Limits!$C$2:$C$5,MATCH(E2543,Limits!$A$2:$A$5,0))</f>
        <v/>
      </c>
      <c r="J2543">
        <f>IF(F2543&gt;=I2543,"Action",IF(F2543&gt;=H2543,"Alert","Pass"))</f>
        <v/>
      </c>
      <c r="K2543" s="4">
        <f>DATE(YEAR(B2543),MONTH(B2543),1)</f>
        <v/>
      </c>
    </row>
    <row r="2544">
      <c r="A2544" t="inlineStr">
        <is>
          <t>EM002543</t>
        </is>
      </c>
      <c r="B2544" s="7" t="n">
        <v>46212</v>
      </c>
      <c r="C2544" t="inlineStr">
        <is>
          <t>CR-202</t>
        </is>
      </c>
      <c r="D2544" t="inlineStr">
        <is>
          <t>ISO 8</t>
        </is>
      </c>
      <c r="E2544" t="inlineStr">
        <is>
          <t>Personnel glove</t>
        </is>
      </c>
      <c r="F2544" t="n">
        <v>2</v>
      </c>
      <c r="G2544" t="inlineStr">
        <is>
          <t>Tech B</t>
        </is>
      </c>
      <c r="H2544">
        <f>INDEX(Limits!$B$2:$B$5,MATCH(E2544,Limits!$A$2:$A$5,0))</f>
        <v/>
      </c>
      <c r="I2544">
        <f>INDEX(Limits!$C$2:$C$5,MATCH(E2544,Limits!$A$2:$A$5,0))</f>
        <v/>
      </c>
      <c r="J2544">
        <f>IF(F2544&gt;=I2544,"Action",IF(F2544&gt;=H2544,"Alert","Pass"))</f>
        <v/>
      </c>
      <c r="K2544" s="4">
        <f>DATE(YEAR(B2544),MONTH(B2544),1)</f>
        <v/>
      </c>
    </row>
    <row r="2545">
      <c r="A2545" t="inlineStr">
        <is>
          <t>EM002544</t>
        </is>
      </c>
      <c r="B2545" s="7" t="n">
        <v>46212</v>
      </c>
      <c r="C2545" t="inlineStr">
        <is>
          <t>Gowning</t>
        </is>
      </c>
      <c r="D2545" t="inlineStr">
        <is>
          <t>ISO 8</t>
        </is>
      </c>
      <c r="E2545" t="inlineStr">
        <is>
          <t>Active air</t>
        </is>
      </c>
      <c r="F2545" t="n">
        <v>3</v>
      </c>
      <c r="G2545" t="inlineStr">
        <is>
          <t>Tech A</t>
        </is>
      </c>
      <c r="H2545">
        <f>INDEX(Limits!$B$2:$B$5,MATCH(E2545,Limits!$A$2:$A$5,0))</f>
        <v/>
      </c>
      <c r="I2545">
        <f>INDEX(Limits!$C$2:$C$5,MATCH(E2545,Limits!$A$2:$A$5,0))</f>
        <v/>
      </c>
      <c r="J2545">
        <f>IF(F2545&gt;=I2545,"Action",IF(F2545&gt;=H2545,"Alert","Pass"))</f>
        <v/>
      </c>
      <c r="K2545" s="4">
        <f>DATE(YEAR(B2545),MONTH(B2545),1)</f>
        <v/>
      </c>
    </row>
    <row r="2546">
      <c r="A2546" t="inlineStr">
        <is>
          <t>EM002545</t>
        </is>
      </c>
      <c r="B2546" s="7" t="n">
        <v>46212</v>
      </c>
      <c r="C2546" t="inlineStr">
        <is>
          <t>Gowning</t>
        </is>
      </c>
      <c r="D2546" t="inlineStr">
        <is>
          <t>ISO 8</t>
        </is>
      </c>
      <c r="E2546" t="inlineStr">
        <is>
          <t>Surface contact</t>
        </is>
      </c>
      <c r="F2546" t="n">
        <v>0</v>
      </c>
      <c r="G2546" t="inlineStr">
        <is>
          <t>Tech D</t>
        </is>
      </c>
      <c r="H2546">
        <f>INDEX(Limits!$B$2:$B$5,MATCH(E2546,Limits!$A$2:$A$5,0))</f>
        <v/>
      </c>
      <c r="I2546">
        <f>INDEX(Limits!$C$2:$C$5,MATCH(E2546,Limits!$A$2:$A$5,0))</f>
        <v/>
      </c>
      <c r="J2546">
        <f>IF(F2546&gt;=I2546,"Action",IF(F2546&gt;=H2546,"Alert","Pass"))</f>
        <v/>
      </c>
      <c r="K2546" s="4">
        <f>DATE(YEAR(B2546),MONTH(B2546),1)</f>
        <v/>
      </c>
    </row>
    <row r="2547">
      <c r="A2547" t="inlineStr">
        <is>
          <t>EM002546</t>
        </is>
      </c>
      <c r="B2547" s="7" t="n">
        <v>46212</v>
      </c>
      <c r="C2547" t="inlineStr">
        <is>
          <t>Gowning</t>
        </is>
      </c>
      <c r="D2547" t="inlineStr">
        <is>
          <t>ISO 8</t>
        </is>
      </c>
      <c r="E2547" t="inlineStr">
        <is>
          <t>Personnel glove</t>
        </is>
      </c>
      <c r="F2547" t="n">
        <v>0</v>
      </c>
      <c r="G2547" t="inlineStr">
        <is>
          <t>Tech B</t>
        </is>
      </c>
      <c r="H2547">
        <f>INDEX(Limits!$B$2:$B$5,MATCH(E2547,Limits!$A$2:$A$5,0))</f>
        <v/>
      </c>
      <c r="I2547">
        <f>INDEX(Limits!$C$2:$C$5,MATCH(E2547,Limits!$A$2:$A$5,0))</f>
        <v/>
      </c>
      <c r="J2547">
        <f>IF(F2547&gt;=I2547,"Action",IF(F2547&gt;=H2547,"Alert","Pass"))</f>
        <v/>
      </c>
      <c r="K2547" s="4">
        <f>DATE(YEAR(B2547),MONTH(B2547),1)</f>
        <v/>
      </c>
    </row>
    <row r="2548">
      <c r="A2548" t="inlineStr">
        <is>
          <t>EM002547</t>
        </is>
      </c>
      <c r="B2548" s="7" t="n">
        <v>46213</v>
      </c>
      <c r="C2548" t="inlineStr">
        <is>
          <t>CR-101</t>
        </is>
      </c>
      <c r="D2548" t="inlineStr">
        <is>
          <t>ISO 7</t>
        </is>
      </c>
      <c r="E2548" t="inlineStr">
        <is>
          <t>Active air</t>
        </is>
      </c>
      <c r="F2548" t="n">
        <v>1</v>
      </c>
      <c r="G2548" t="inlineStr">
        <is>
          <t>Tech A</t>
        </is>
      </c>
      <c r="H2548">
        <f>INDEX(Limits!$B$2:$B$5,MATCH(E2548,Limits!$A$2:$A$5,0))</f>
        <v/>
      </c>
      <c r="I2548">
        <f>INDEX(Limits!$C$2:$C$5,MATCH(E2548,Limits!$A$2:$A$5,0))</f>
        <v/>
      </c>
      <c r="J2548">
        <f>IF(F2548&gt;=I2548,"Action",IF(F2548&gt;=H2548,"Alert","Pass"))</f>
        <v/>
      </c>
      <c r="K2548" s="4">
        <f>DATE(YEAR(B2548),MONTH(B2548),1)</f>
        <v/>
      </c>
    </row>
    <row r="2549">
      <c r="A2549" t="inlineStr">
        <is>
          <t>EM002548</t>
        </is>
      </c>
      <c r="B2549" s="7" t="n">
        <v>46213</v>
      </c>
      <c r="C2549" t="inlineStr">
        <is>
          <t>CR-101</t>
        </is>
      </c>
      <c r="D2549" t="inlineStr">
        <is>
          <t>ISO 7</t>
        </is>
      </c>
      <c r="E2549" t="inlineStr">
        <is>
          <t>Surface contact</t>
        </is>
      </c>
      <c r="F2549" t="n">
        <v>0</v>
      </c>
      <c r="G2549" t="inlineStr">
        <is>
          <t>Tech D</t>
        </is>
      </c>
      <c r="H2549">
        <f>INDEX(Limits!$B$2:$B$5,MATCH(E2549,Limits!$A$2:$A$5,0))</f>
        <v/>
      </c>
      <c r="I2549">
        <f>INDEX(Limits!$C$2:$C$5,MATCH(E2549,Limits!$A$2:$A$5,0))</f>
        <v/>
      </c>
      <c r="J2549">
        <f>IF(F2549&gt;=I2549,"Action",IF(F2549&gt;=H2549,"Alert","Pass"))</f>
        <v/>
      </c>
      <c r="K2549" s="4">
        <f>DATE(YEAR(B2549),MONTH(B2549),1)</f>
        <v/>
      </c>
    </row>
    <row r="2550">
      <c r="A2550" t="inlineStr">
        <is>
          <t>EM002549</t>
        </is>
      </c>
      <c r="B2550" s="7" t="n">
        <v>46213</v>
      </c>
      <c r="C2550" t="inlineStr">
        <is>
          <t>CR-101</t>
        </is>
      </c>
      <c r="D2550" t="inlineStr">
        <is>
          <t>ISO 7</t>
        </is>
      </c>
      <c r="E2550" t="inlineStr">
        <is>
          <t>Compressed air</t>
        </is>
      </c>
      <c r="F2550" t="n">
        <v>0</v>
      </c>
      <c r="G2550" t="inlineStr">
        <is>
          <t>Tech C</t>
        </is>
      </c>
      <c r="H2550">
        <f>INDEX(Limits!$B$2:$B$5,MATCH(E2550,Limits!$A$2:$A$5,0))</f>
        <v/>
      </c>
      <c r="I2550">
        <f>INDEX(Limits!$C$2:$C$5,MATCH(E2550,Limits!$A$2:$A$5,0))</f>
        <v/>
      </c>
      <c r="J2550">
        <f>IF(F2550&gt;=I2550,"Action",IF(F2550&gt;=H2550,"Alert","Pass"))</f>
        <v/>
      </c>
      <c r="K2550" s="4">
        <f>DATE(YEAR(B2550),MONTH(B2550),1)</f>
        <v/>
      </c>
    </row>
    <row r="2551">
      <c r="A2551" t="inlineStr">
        <is>
          <t>EM002550</t>
        </is>
      </c>
      <c r="B2551" s="7" t="n">
        <v>46213</v>
      </c>
      <c r="C2551" t="inlineStr">
        <is>
          <t>CR-101</t>
        </is>
      </c>
      <c r="D2551" t="inlineStr">
        <is>
          <t>ISO 7</t>
        </is>
      </c>
      <c r="E2551" t="inlineStr">
        <is>
          <t>Personnel glove</t>
        </is>
      </c>
      <c r="F2551" t="n">
        <v>0</v>
      </c>
      <c r="G2551" t="inlineStr">
        <is>
          <t>Tech B</t>
        </is>
      </c>
      <c r="H2551">
        <f>INDEX(Limits!$B$2:$B$5,MATCH(E2551,Limits!$A$2:$A$5,0))</f>
        <v/>
      </c>
      <c r="I2551">
        <f>INDEX(Limits!$C$2:$C$5,MATCH(E2551,Limits!$A$2:$A$5,0))</f>
        <v/>
      </c>
      <c r="J2551">
        <f>IF(F2551&gt;=I2551,"Action",IF(F2551&gt;=H2551,"Alert","Pass"))</f>
        <v/>
      </c>
      <c r="K2551" s="4">
        <f>DATE(YEAR(B2551),MONTH(B2551),1)</f>
        <v/>
      </c>
    </row>
    <row r="2552">
      <c r="A2552" t="inlineStr">
        <is>
          <t>EM002551</t>
        </is>
      </c>
      <c r="B2552" s="7" t="n">
        <v>46213</v>
      </c>
      <c r="C2552" t="inlineStr">
        <is>
          <t>CR-102</t>
        </is>
      </c>
      <c r="D2552" t="inlineStr">
        <is>
          <t>ISO 7</t>
        </is>
      </c>
      <c r="E2552" t="inlineStr">
        <is>
          <t>Active air</t>
        </is>
      </c>
      <c r="F2552" t="n">
        <v>1</v>
      </c>
      <c r="G2552" t="inlineStr">
        <is>
          <t>Tech C</t>
        </is>
      </c>
      <c r="H2552">
        <f>INDEX(Limits!$B$2:$B$5,MATCH(E2552,Limits!$A$2:$A$5,0))</f>
        <v/>
      </c>
      <c r="I2552">
        <f>INDEX(Limits!$C$2:$C$5,MATCH(E2552,Limits!$A$2:$A$5,0))</f>
        <v/>
      </c>
      <c r="J2552">
        <f>IF(F2552&gt;=I2552,"Action",IF(F2552&gt;=H2552,"Alert","Pass"))</f>
        <v/>
      </c>
      <c r="K2552" s="4">
        <f>DATE(YEAR(B2552),MONTH(B2552),1)</f>
        <v/>
      </c>
    </row>
    <row r="2553">
      <c r="A2553" t="inlineStr">
        <is>
          <t>EM002552</t>
        </is>
      </c>
      <c r="B2553" s="7" t="n">
        <v>46213</v>
      </c>
      <c r="C2553" t="inlineStr">
        <is>
          <t>CR-102</t>
        </is>
      </c>
      <c r="D2553" t="inlineStr">
        <is>
          <t>ISO 7</t>
        </is>
      </c>
      <c r="E2553" t="inlineStr">
        <is>
          <t>Surface contact</t>
        </is>
      </c>
      <c r="F2553" t="n">
        <v>1</v>
      </c>
      <c r="G2553" t="inlineStr">
        <is>
          <t>Tech A</t>
        </is>
      </c>
      <c r="H2553">
        <f>INDEX(Limits!$B$2:$B$5,MATCH(E2553,Limits!$A$2:$A$5,0))</f>
        <v/>
      </c>
      <c r="I2553">
        <f>INDEX(Limits!$C$2:$C$5,MATCH(E2553,Limits!$A$2:$A$5,0))</f>
        <v/>
      </c>
      <c r="J2553">
        <f>IF(F2553&gt;=I2553,"Action",IF(F2553&gt;=H2553,"Alert","Pass"))</f>
        <v/>
      </c>
      <c r="K2553" s="4">
        <f>DATE(YEAR(B2553),MONTH(B2553),1)</f>
        <v/>
      </c>
    </row>
    <row r="2554">
      <c r="A2554" t="inlineStr">
        <is>
          <t>EM002553</t>
        </is>
      </c>
      <c r="B2554" s="7" t="n">
        <v>46213</v>
      </c>
      <c r="C2554" t="inlineStr">
        <is>
          <t>CR-102</t>
        </is>
      </c>
      <c r="D2554" t="inlineStr">
        <is>
          <t>ISO 7</t>
        </is>
      </c>
      <c r="E2554" t="inlineStr">
        <is>
          <t>Compressed air</t>
        </is>
      </c>
      <c r="F2554" t="n">
        <v>0</v>
      </c>
      <c r="G2554" t="inlineStr">
        <is>
          <t>Tech B</t>
        </is>
      </c>
      <c r="H2554">
        <f>INDEX(Limits!$B$2:$B$5,MATCH(E2554,Limits!$A$2:$A$5,0))</f>
        <v/>
      </c>
      <c r="I2554">
        <f>INDEX(Limits!$C$2:$C$5,MATCH(E2554,Limits!$A$2:$A$5,0))</f>
        <v/>
      </c>
      <c r="J2554">
        <f>IF(F2554&gt;=I2554,"Action",IF(F2554&gt;=H2554,"Alert","Pass"))</f>
        <v/>
      </c>
      <c r="K2554" s="4">
        <f>DATE(YEAR(B2554),MONTH(B2554),1)</f>
        <v/>
      </c>
    </row>
    <row r="2555">
      <c r="A2555" t="inlineStr">
        <is>
          <t>EM002554</t>
        </is>
      </c>
      <c r="B2555" s="7" t="n">
        <v>46213</v>
      </c>
      <c r="C2555" t="inlineStr">
        <is>
          <t>CR-102</t>
        </is>
      </c>
      <c r="D2555" t="inlineStr">
        <is>
          <t>ISO 7</t>
        </is>
      </c>
      <c r="E2555" t="inlineStr">
        <is>
          <t>Personnel glove</t>
        </is>
      </c>
      <c r="F2555" t="n">
        <v>0</v>
      </c>
      <c r="G2555" t="inlineStr">
        <is>
          <t>Tech A</t>
        </is>
      </c>
      <c r="H2555">
        <f>INDEX(Limits!$B$2:$B$5,MATCH(E2555,Limits!$A$2:$A$5,0))</f>
        <v/>
      </c>
      <c r="I2555">
        <f>INDEX(Limits!$C$2:$C$5,MATCH(E2555,Limits!$A$2:$A$5,0))</f>
        <v/>
      </c>
      <c r="J2555">
        <f>IF(F2555&gt;=I2555,"Action",IF(F2555&gt;=H2555,"Alert","Pass"))</f>
        <v/>
      </c>
      <c r="K2555" s="4">
        <f>DATE(YEAR(B2555),MONTH(B2555),1)</f>
        <v/>
      </c>
    </row>
    <row r="2556">
      <c r="A2556" t="inlineStr">
        <is>
          <t>EM002555</t>
        </is>
      </c>
      <c r="B2556" s="7" t="n">
        <v>46213</v>
      </c>
      <c r="C2556" t="inlineStr">
        <is>
          <t>CR-201</t>
        </is>
      </c>
      <c r="D2556" t="inlineStr">
        <is>
          <t>ISO 8</t>
        </is>
      </c>
      <c r="E2556" t="inlineStr">
        <is>
          <t>Active air</t>
        </is>
      </c>
      <c r="F2556" t="n">
        <v>3</v>
      </c>
      <c r="G2556" t="inlineStr">
        <is>
          <t>Tech B</t>
        </is>
      </c>
      <c r="H2556">
        <f>INDEX(Limits!$B$2:$B$5,MATCH(E2556,Limits!$A$2:$A$5,0))</f>
        <v/>
      </c>
      <c r="I2556">
        <f>INDEX(Limits!$C$2:$C$5,MATCH(E2556,Limits!$A$2:$A$5,0))</f>
        <v/>
      </c>
      <c r="J2556">
        <f>IF(F2556&gt;=I2556,"Action",IF(F2556&gt;=H2556,"Alert","Pass"))</f>
        <v/>
      </c>
      <c r="K2556" s="4">
        <f>DATE(YEAR(B2556),MONTH(B2556),1)</f>
        <v/>
      </c>
    </row>
    <row r="2557">
      <c r="A2557" t="inlineStr">
        <is>
          <t>EM002556</t>
        </is>
      </c>
      <c r="B2557" s="7" t="n">
        <v>46213</v>
      </c>
      <c r="C2557" t="inlineStr">
        <is>
          <t>CR-201</t>
        </is>
      </c>
      <c r="D2557" t="inlineStr">
        <is>
          <t>ISO 8</t>
        </is>
      </c>
      <c r="E2557" t="inlineStr">
        <is>
          <t>Surface contact</t>
        </is>
      </c>
      <c r="F2557" t="n">
        <v>2</v>
      </c>
      <c r="G2557" t="inlineStr">
        <is>
          <t>Tech D</t>
        </is>
      </c>
      <c r="H2557">
        <f>INDEX(Limits!$B$2:$B$5,MATCH(E2557,Limits!$A$2:$A$5,0))</f>
        <v/>
      </c>
      <c r="I2557">
        <f>INDEX(Limits!$C$2:$C$5,MATCH(E2557,Limits!$A$2:$A$5,0))</f>
        <v/>
      </c>
      <c r="J2557">
        <f>IF(F2557&gt;=I2557,"Action",IF(F2557&gt;=H2557,"Alert","Pass"))</f>
        <v/>
      </c>
      <c r="K2557" s="4">
        <f>DATE(YEAR(B2557),MONTH(B2557),1)</f>
        <v/>
      </c>
    </row>
    <row r="2558">
      <c r="A2558" t="inlineStr">
        <is>
          <t>EM002557</t>
        </is>
      </c>
      <c r="B2558" s="7" t="n">
        <v>46213</v>
      </c>
      <c r="C2558" t="inlineStr">
        <is>
          <t>CR-201</t>
        </is>
      </c>
      <c r="D2558" t="inlineStr">
        <is>
          <t>ISO 8</t>
        </is>
      </c>
      <c r="E2558" t="inlineStr">
        <is>
          <t>Compressed air</t>
        </is>
      </c>
      <c r="F2558" t="n">
        <v>0</v>
      </c>
      <c r="G2558" t="inlineStr">
        <is>
          <t>Tech B</t>
        </is>
      </c>
      <c r="H2558">
        <f>INDEX(Limits!$B$2:$B$5,MATCH(E2558,Limits!$A$2:$A$5,0))</f>
        <v/>
      </c>
      <c r="I2558">
        <f>INDEX(Limits!$C$2:$C$5,MATCH(E2558,Limits!$A$2:$A$5,0))</f>
        <v/>
      </c>
      <c r="J2558">
        <f>IF(F2558&gt;=I2558,"Action",IF(F2558&gt;=H2558,"Alert","Pass"))</f>
        <v/>
      </c>
      <c r="K2558" s="4">
        <f>DATE(YEAR(B2558),MONTH(B2558),1)</f>
        <v/>
      </c>
    </row>
    <row r="2559">
      <c r="A2559" t="inlineStr">
        <is>
          <t>EM002558</t>
        </is>
      </c>
      <c r="B2559" s="7" t="n">
        <v>46213</v>
      </c>
      <c r="C2559" t="inlineStr">
        <is>
          <t>CR-201</t>
        </is>
      </c>
      <c r="D2559" t="inlineStr">
        <is>
          <t>ISO 8</t>
        </is>
      </c>
      <c r="E2559" t="inlineStr">
        <is>
          <t>Personnel glove</t>
        </is>
      </c>
      <c r="F2559" t="n">
        <v>0</v>
      </c>
      <c r="G2559" t="inlineStr">
        <is>
          <t>Tech D</t>
        </is>
      </c>
      <c r="H2559">
        <f>INDEX(Limits!$B$2:$B$5,MATCH(E2559,Limits!$A$2:$A$5,0))</f>
        <v/>
      </c>
      <c r="I2559">
        <f>INDEX(Limits!$C$2:$C$5,MATCH(E2559,Limits!$A$2:$A$5,0))</f>
        <v/>
      </c>
      <c r="J2559">
        <f>IF(F2559&gt;=I2559,"Action",IF(F2559&gt;=H2559,"Alert","Pass"))</f>
        <v/>
      </c>
      <c r="K2559" s="4">
        <f>DATE(YEAR(B2559),MONTH(B2559),1)</f>
        <v/>
      </c>
    </row>
    <row r="2560">
      <c r="A2560" t="inlineStr">
        <is>
          <t>EM002559</t>
        </is>
      </c>
      <c r="B2560" s="7" t="n">
        <v>46213</v>
      </c>
      <c r="C2560" t="inlineStr">
        <is>
          <t>CR-202</t>
        </is>
      </c>
      <c r="D2560" t="inlineStr">
        <is>
          <t>ISO 8</t>
        </is>
      </c>
      <c r="E2560" t="inlineStr">
        <is>
          <t>Active air</t>
        </is>
      </c>
      <c r="F2560" t="n">
        <v>1</v>
      </c>
      <c r="G2560" t="inlineStr">
        <is>
          <t>Tech A</t>
        </is>
      </c>
      <c r="H2560">
        <f>INDEX(Limits!$B$2:$B$5,MATCH(E2560,Limits!$A$2:$A$5,0))</f>
        <v/>
      </c>
      <c r="I2560">
        <f>INDEX(Limits!$C$2:$C$5,MATCH(E2560,Limits!$A$2:$A$5,0))</f>
        <v/>
      </c>
      <c r="J2560">
        <f>IF(F2560&gt;=I2560,"Action",IF(F2560&gt;=H2560,"Alert","Pass"))</f>
        <v/>
      </c>
      <c r="K2560" s="4">
        <f>DATE(YEAR(B2560),MONTH(B2560),1)</f>
        <v/>
      </c>
    </row>
    <row r="2561">
      <c r="A2561" t="inlineStr">
        <is>
          <t>EM002560</t>
        </is>
      </c>
      <c r="B2561" s="7" t="n">
        <v>46213</v>
      </c>
      <c r="C2561" t="inlineStr">
        <is>
          <t>CR-202</t>
        </is>
      </c>
      <c r="D2561" t="inlineStr">
        <is>
          <t>ISO 8</t>
        </is>
      </c>
      <c r="E2561" t="inlineStr">
        <is>
          <t>Surface contact</t>
        </is>
      </c>
      <c r="F2561" t="n">
        <v>0</v>
      </c>
      <c r="G2561" t="inlineStr">
        <is>
          <t>Tech C</t>
        </is>
      </c>
      <c r="H2561">
        <f>INDEX(Limits!$B$2:$B$5,MATCH(E2561,Limits!$A$2:$A$5,0))</f>
        <v/>
      </c>
      <c r="I2561">
        <f>INDEX(Limits!$C$2:$C$5,MATCH(E2561,Limits!$A$2:$A$5,0))</f>
        <v/>
      </c>
      <c r="J2561">
        <f>IF(F2561&gt;=I2561,"Action",IF(F2561&gt;=H2561,"Alert","Pass"))</f>
        <v/>
      </c>
      <c r="K2561" s="4">
        <f>DATE(YEAR(B2561),MONTH(B2561),1)</f>
        <v/>
      </c>
    </row>
    <row r="2562">
      <c r="A2562" t="inlineStr">
        <is>
          <t>EM002561</t>
        </is>
      </c>
      <c r="B2562" s="7" t="n">
        <v>46213</v>
      </c>
      <c r="C2562" t="inlineStr">
        <is>
          <t>CR-202</t>
        </is>
      </c>
      <c r="D2562" t="inlineStr">
        <is>
          <t>ISO 8</t>
        </is>
      </c>
      <c r="E2562" t="inlineStr">
        <is>
          <t>Compressed air</t>
        </is>
      </c>
      <c r="F2562" t="n">
        <v>0</v>
      </c>
      <c r="G2562" t="inlineStr">
        <is>
          <t>Tech A</t>
        </is>
      </c>
      <c r="H2562">
        <f>INDEX(Limits!$B$2:$B$5,MATCH(E2562,Limits!$A$2:$A$5,0))</f>
        <v/>
      </c>
      <c r="I2562">
        <f>INDEX(Limits!$C$2:$C$5,MATCH(E2562,Limits!$A$2:$A$5,0))</f>
        <v/>
      </c>
      <c r="J2562">
        <f>IF(F2562&gt;=I2562,"Action",IF(F2562&gt;=H2562,"Alert","Pass"))</f>
        <v/>
      </c>
      <c r="K2562" s="4">
        <f>DATE(YEAR(B2562),MONTH(B2562),1)</f>
        <v/>
      </c>
    </row>
    <row r="2563">
      <c r="A2563" t="inlineStr">
        <is>
          <t>EM002562</t>
        </is>
      </c>
      <c r="B2563" s="7" t="n">
        <v>46213</v>
      </c>
      <c r="C2563" t="inlineStr">
        <is>
          <t>CR-202</t>
        </is>
      </c>
      <c r="D2563" t="inlineStr">
        <is>
          <t>ISO 8</t>
        </is>
      </c>
      <c r="E2563" t="inlineStr">
        <is>
          <t>Personnel glove</t>
        </is>
      </c>
      <c r="F2563" t="n">
        <v>0</v>
      </c>
      <c r="G2563" t="inlineStr">
        <is>
          <t>Tech B</t>
        </is>
      </c>
      <c r="H2563">
        <f>INDEX(Limits!$B$2:$B$5,MATCH(E2563,Limits!$A$2:$A$5,0))</f>
        <v/>
      </c>
      <c r="I2563">
        <f>INDEX(Limits!$C$2:$C$5,MATCH(E2563,Limits!$A$2:$A$5,0))</f>
        <v/>
      </c>
      <c r="J2563">
        <f>IF(F2563&gt;=I2563,"Action",IF(F2563&gt;=H2563,"Alert","Pass"))</f>
        <v/>
      </c>
      <c r="K2563" s="4">
        <f>DATE(YEAR(B2563),MONTH(B2563),1)</f>
        <v/>
      </c>
    </row>
    <row r="2564">
      <c r="A2564" t="inlineStr">
        <is>
          <t>EM002563</t>
        </is>
      </c>
      <c r="B2564" s="7" t="n">
        <v>46213</v>
      </c>
      <c r="C2564" t="inlineStr">
        <is>
          <t>Gowning</t>
        </is>
      </c>
      <c r="D2564" t="inlineStr">
        <is>
          <t>ISO 8</t>
        </is>
      </c>
      <c r="E2564" t="inlineStr">
        <is>
          <t>Active air</t>
        </is>
      </c>
      <c r="F2564" t="n">
        <v>1</v>
      </c>
      <c r="G2564" t="inlineStr">
        <is>
          <t>Tech B</t>
        </is>
      </c>
      <c r="H2564">
        <f>INDEX(Limits!$B$2:$B$5,MATCH(E2564,Limits!$A$2:$A$5,0))</f>
        <v/>
      </c>
      <c r="I2564">
        <f>INDEX(Limits!$C$2:$C$5,MATCH(E2564,Limits!$A$2:$A$5,0))</f>
        <v/>
      </c>
      <c r="J2564">
        <f>IF(F2564&gt;=I2564,"Action",IF(F2564&gt;=H2564,"Alert","Pass"))</f>
        <v/>
      </c>
      <c r="K2564" s="4">
        <f>DATE(YEAR(B2564),MONTH(B2564),1)</f>
        <v/>
      </c>
    </row>
    <row r="2565">
      <c r="A2565" t="inlineStr">
        <is>
          <t>EM002564</t>
        </is>
      </c>
      <c r="B2565" s="7" t="n">
        <v>46213</v>
      </c>
      <c r="C2565" t="inlineStr">
        <is>
          <t>Gowning</t>
        </is>
      </c>
      <c r="D2565" t="inlineStr">
        <is>
          <t>ISO 8</t>
        </is>
      </c>
      <c r="E2565" t="inlineStr">
        <is>
          <t>Surface contact</t>
        </is>
      </c>
      <c r="F2565" t="n">
        <v>3</v>
      </c>
      <c r="G2565" t="inlineStr">
        <is>
          <t>Tech B</t>
        </is>
      </c>
      <c r="H2565">
        <f>INDEX(Limits!$B$2:$B$5,MATCH(E2565,Limits!$A$2:$A$5,0))</f>
        <v/>
      </c>
      <c r="I2565">
        <f>INDEX(Limits!$C$2:$C$5,MATCH(E2565,Limits!$A$2:$A$5,0))</f>
        <v/>
      </c>
      <c r="J2565">
        <f>IF(F2565&gt;=I2565,"Action",IF(F2565&gt;=H2565,"Alert","Pass"))</f>
        <v/>
      </c>
      <c r="K2565" s="4">
        <f>DATE(YEAR(B2565),MONTH(B2565),1)</f>
        <v/>
      </c>
    </row>
    <row r="2566">
      <c r="A2566" t="inlineStr">
        <is>
          <t>EM002565</t>
        </is>
      </c>
      <c r="B2566" s="7" t="n">
        <v>46213</v>
      </c>
      <c r="C2566" t="inlineStr">
        <is>
          <t>Gowning</t>
        </is>
      </c>
      <c r="D2566" t="inlineStr">
        <is>
          <t>ISO 8</t>
        </is>
      </c>
      <c r="E2566" t="inlineStr">
        <is>
          <t>Personnel glove</t>
        </is>
      </c>
      <c r="F2566" t="n">
        <v>0</v>
      </c>
      <c r="G2566" t="inlineStr">
        <is>
          <t>Tech A</t>
        </is>
      </c>
      <c r="H2566">
        <f>INDEX(Limits!$B$2:$B$5,MATCH(E2566,Limits!$A$2:$A$5,0))</f>
        <v/>
      </c>
      <c r="I2566">
        <f>INDEX(Limits!$C$2:$C$5,MATCH(E2566,Limits!$A$2:$A$5,0))</f>
        <v/>
      </c>
      <c r="J2566">
        <f>IF(F2566&gt;=I2566,"Action",IF(F2566&gt;=H2566,"Alert","Pass"))</f>
        <v/>
      </c>
      <c r="K2566" s="4">
        <f>DATE(YEAR(B2566),MONTH(B2566),1)</f>
        <v/>
      </c>
    </row>
    <row r="2567">
      <c r="A2567" t="inlineStr">
        <is>
          <t>EM002566</t>
        </is>
      </c>
      <c r="B2567" s="7" t="n">
        <v>46216</v>
      </c>
      <c r="C2567" t="inlineStr">
        <is>
          <t>CR-101</t>
        </is>
      </c>
      <c r="D2567" t="inlineStr">
        <is>
          <t>ISO 7</t>
        </is>
      </c>
      <c r="E2567" t="inlineStr">
        <is>
          <t>Active air</t>
        </is>
      </c>
      <c r="F2567" t="n">
        <v>4</v>
      </c>
      <c r="G2567" t="inlineStr">
        <is>
          <t>Tech B</t>
        </is>
      </c>
      <c r="H2567">
        <f>INDEX(Limits!$B$2:$B$5,MATCH(E2567,Limits!$A$2:$A$5,0))</f>
        <v/>
      </c>
      <c r="I2567">
        <f>INDEX(Limits!$C$2:$C$5,MATCH(E2567,Limits!$A$2:$A$5,0))</f>
        <v/>
      </c>
      <c r="J2567">
        <f>IF(F2567&gt;=I2567,"Action",IF(F2567&gt;=H2567,"Alert","Pass"))</f>
        <v/>
      </c>
      <c r="K2567" s="4">
        <f>DATE(YEAR(B2567),MONTH(B2567),1)</f>
        <v/>
      </c>
    </row>
    <row r="2568">
      <c r="A2568" t="inlineStr">
        <is>
          <t>EM002567</t>
        </is>
      </c>
      <c r="B2568" s="7" t="n">
        <v>46216</v>
      </c>
      <c r="C2568" t="inlineStr">
        <is>
          <t>CR-101</t>
        </is>
      </c>
      <c r="D2568" t="inlineStr">
        <is>
          <t>ISO 7</t>
        </is>
      </c>
      <c r="E2568" t="inlineStr">
        <is>
          <t>Surface contact</t>
        </is>
      </c>
      <c r="F2568" t="n">
        <v>0</v>
      </c>
      <c r="G2568" t="inlineStr">
        <is>
          <t>Tech A</t>
        </is>
      </c>
      <c r="H2568">
        <f>INDEX(Limits!$B$2:$B$5,MATCH(E2568,Limits!$A$2:$A$5,0))</f>
        <v/>
      </c>
      <c r="I2568">
        <f>INDEX(Limits!$C$2:$C$5,MATCH(E2568,Limits!$A$2:$A$5,0))</f>
        <v/>
      </c>
      <c r="J2568">
        <f>IF(F2568&gt;=I2568,"Action",IF(F2568&gt;=H2568,"Alert","Pass"))</f>
        <v/>
      </c>
      <c r="K2568" s="4">
        <f>DATE(YEAR(B2568),MONTH(B2568),1)</f>
        <v/>
      </c>
    </row>
    <row r="2569">
      <c r="A2569" t="inlineStr">
        <is>
          <t>EM002568</t>
        </is>
      </c>
      <c r="B2569" s="7" t="n">
        <v>46216</v>
      </c>
      <c r="C2569" t="inlineStr">
        <is>
          <t>CR-101</t>
        </is>
      </c>
      <c r="D2569" t="inlineStr">
        <is>
          <t>ISO 7</t>
        </is>
      </c>
      <c r="E2569" t="inlineStr">
        <is>
          <t>Compressed air</t>
        </is>
      </c>
      <c r="F2569" t="n">
        <v>0</v>
      </c>
      <c r="G2569" t="inlineStr">
        <is>
          <t>Tech C</t>
        </is>
      </c>
      <c r="H2569">
        <f>INDEX(Limits!$B$2:$B$5,MATCH(E2569,Limits!$A$2:$A$5,0))</f>
        <v/>
      </c>
      <c r="I2569">
        <f>INDEX(Limits!$C$2:$C$5,MATCH(E2569,Limits!$A$2:$A$5,0))</f>
        <v/>
      </c>
      <c r="J2569">
        <f>IF(F2569&gt;=I2569,"Action",IF(F2569&gt;=H2569,"Alert","Pass"))</f>
        <v/>
      </c>
      <c r="K2569" s="4">
        <f>DATE(YEAR(B2569),MONTH(B2569),1)</f>
        <v/>
      </c>
    </row>
    <row r="2570">
      <c r="A2570" t="inlineStr">
        <is>
          <t>EM002569</t>
        </is>
      </c>
      <c r="B2570" s="7" t="n">
        <v>46216</v>
      </c>
      <c r="C2570" t="inlineStr">
        <is>
          <t>CR-101</t>
        </is>
      </c>
      <c r="D2570" t="inlineStr">
        <is>
          <t>ISO 7</t>
        </is>
      </c>
      <c r="E2570" t="inlineStr">
        <is>
          <t>Personnel glove</t>
        </is>
      </c>
      <c r="F2570" t="n">
        <v>0</v>
      </c>
      <c r="G2570" t="inlineStr">
        <is>
          <t>Tech A</t>
        </is>
      </c>
      <c r="H2570">
        <f>INDEX(Limits!$B$2:$B$5,MATCH(E2570,Limits!$A$2:$A$5,0))</f>
        <v/>
      </c>
      <c r="I2570">
        <f>INDEX(Limits!$C$2:$C$5,MATCH(E2570,Limits!$A$2:$A$5,0))</f>
        <v/>
      </c>
      <c r="J2570">
        <f>IF(F2570&gt;=I2570,"Action",IF(F2570&gt;=H2570,"Alert","Pass"))</f>
        <v/>
      </c>
      <c r="K2570" s="4">
        <f>DATE(YEAR(B2570),MONTH(B2570),1)</f>
        <v/>
      </c>
    </row>
    <row r="2571">
      <c r="A2571" t="inlineStr">
        <is>
          <t>EM002570</t>
        </is>
      </c>
      <c r="B2571" s="7" t="n">
        <v>46216</v>
      </c>
      <c r="C2571" t="inlineStr">
        <is>
          <t>CR-102</t>
        </is>
      </c>
      <c r="D2571" t="inlineStr">
        <is>
          <t>ISO 7</t>
        </is>
      </c>
      <c r="E2571" t="inlineStr">
        <is>
          <t>Active air</t>
        </is>
      </c>
      <c r="F2571" t="n">
        <v>0</v>
      </c>
      <c r="G2571" t="inlineStr">
        <is>
          <t>Tech C</t>
        </is>
      </c>
      <c r="H2571">
        <f>INDEX(Limits!$B$2:$B$5,MATCH(E2571,Limits!$A$2:$A$5,0))</f>
        <v/>
      </c>
      <c r="I2571">
        <f>INDEX(Limits!$C$2:$C$5,MATCH(E2571,Limits!$A$2:$A$5,0))</f>
        <v/>
      </c>
      <c r="J2571">
        <f>IF(F2571&gt;=I2571,"Action",IF(F2571&gt;=H2571,"Alert","Pass"))</f>
        <v/>
      </c>
      <c r="K2571" s="4">
        <f>DATE(YEAR(B2571),MONTH(B2571),1)</f>
        <v/>
      </c>
    </row>
    <row r="2572">
      <c r="A2572" t="inlineStr">
        <is>
          <t>EM002571</t>
        </is>
      </c>
      <c r="B2572" s="7" t="n">
        <v>46216</v>
      </c>
      <c r="C2572" t="inlineStr">
        <is>
          <t>CR-102</t>
        </is>
      </c>
      <c r="D2572" t="inlineStr">
        <is>
          <t>ISO 7</t>
        </is>
      </c>
      <c r="E2572" t="inlineStr">
        <is>
          <t>Surface contact</t>
        </is>
      </c>
      <c r="F2572" t="n">
        <v>0</v>
      </c>
      <c r="G2572" t="inlineStr">
        <is>
          <t>Tech D</t>
        </is>
      </c>
      <c r="H2572">
        <f>INDEX(Limits!$B$2:$B$5,MATCH(E2572,Limits!$A$2:$A$5,0))</f>
        <v/>
      </c>
      <c r="I2572">
        <f>INDEX(Limits!$C$2:$C$5,MATCH(E2572,Limits!$A$2:$A$5,0))</f>
        <v/>
      </c>
      <c r="J2572">
        <f>IF(F2572&gt;=I2572,"Action",IF(F2572&gt;=H2572,"Alert","Pass"))</f>
        <v/>
      </c>
      <c r="K2572" s="4">
        <f>DATE(YEAR(B2572),MONTH(B2572),1)</f>
        <v/>
      </c>
    </row>
    <row r="2573">
      <c r="A2573" t="inlineStr">
        <is>
          <t>EM002572</t>
        </is>
      </c>
      <c r="B2573" s="7" t="n">
        <v>46216</v>
      </c>
      <c r="C2573" t="inlineStr">
        <is>
          <t>CR-102</t>
        </is>
      </c>
      <c r="D2573" t="inlineStr">
        <is>
          <t>ISO 7</t>
        </is>
      </c>
      <c r="E2573" t="inlineStr">
        <is>
          <t>Compressed air</t>
        </is>
      </c>
      <c r="F2573" t="n">
        <v>0</v>
      </c>
      <c r="G2573" t="inlineStr">
        <is>
          <t>Tech B</t>
        </is>
      </c>
      <c r="H2573">
        <f>INDEX(Limits!$B$2:$B$5,MATCH(E2573,Limits!$A$2:$A$5,0))</f>
        <v/>
      </c>
      <c r="I2573">
        <f>INDEX(Limits!$C$2:$C$5,MATCH(E2573,Limits!$A$2:$A$5,0))</f>
        <v/>
      </c>
      <c r="J2573">
        <f>IF(F2573&gt;=I2573,"Action",IF(F2573&gt;=H2573,"Alert","Pass"))</f>
        <v/>
      </c>
      <c r="K2573" s="4">
        <f>DATE(YEAR(B2573),MONTH(B2573),1)</f>
        <v/>
      </c>
    </row>
    <row r="2574">
      <c r="A2574" t="inlineStr">
        <is>
          <t>EM002573</t>
        </is>
      </c>
      <c r="B2574" s="7" t="n">
        <v>46216</v>
      </c>
      <c r="C2574" t="inlineStr">
        <is>
          <t>CR-102</t>
        </is>
      </c>
      <c r="D2574" t="inlineStr">
        <is>
          <t>ISO 7</t>
        </is>
      </c>
      <c r="E2574" t="inlineStr">
        <is>
          <t>Personnel glove</t>
        </is>
      </c>
      <c r="F2574" t="n">
        <v>1</v>
      </c>
      <c r="G2574" t="inlineStr">
        <is>
          <t>Tech C</t>
        </is>
      </c>
      <c r="H2574">
        <f>INDEX(Limits!$B$2:$B$5,MATCH(E2574,Limits!$A$2:$A$5,0))</f>
        <v/>
      </c>
      <c r="I2574">
        <f>INDEX(Limits!$C$2:$C$5,MATCH(E2574,Limits!$A$2:$A$5,0))</f>
        <v/>
      </c>
      <c r="J2574">
        <f>IF(F2574&gt;=I2574,"Action",IF(F2574&gt;=H2574,"Alert","Pass"))</f>
        <v/>
      </c>
      <c r="K2574" s="4">
        <f>DATE(YEAR(B2574),MONTH(B2574),1)</f>
        <v/>
      </c>
    </row>
    <row r="2575">
      <c r="A2575" t="inlineStr">
        <is>
          <t>EM002574</t>
        </is>
      </c>
      <c r="B2575" s="7" t="n">
        <v>46216</v>
      </c>
      <c r="C2575" t="inlineStr">
        <is>
          <t>CR-201</t>
        </is>
      </c>
      <c r="D2575" t="inlineStr">
        <is>
          <t>ISO 8</t>
        </is>
      </c>
      <c r="E2575" t="inlineStr">
        <is>
          <t>Active air</t>
        </is>
      </c>
      <c r="F2575" t="n">
        <v>3</v>
      </c>
      <c r="G2575" t="inlineStr">
        <is>
          <t>Tech D</t>
        </is>
      </c>
      <c r="H2575">
        <f>INDEX(Limits!$B$2:$B$5,MATCH(E2575,Limits!$A$2:$A$5,0))</f>
        <v/>
      </c>
      <c r="I2575">
        <f>INDEX(Limits!$C$2:$C$5,MATCH(E2575,Limits!$A$2:$A$5,0))</f>
        <v/>
      </c>
      <c r="J2575">
        <f>IF(F2575&gt;=I2575,"Action",IF(F2575&gt;=H2575,"Alert","Pass"))</f>
        <v/>
      </c>
      <c r="K2575" s="4">
        <f>DATE(YEAR(B2575),MONTH(B2575),1)</f>
        <v/>
      </c>
    </row>
    <row r="2576">
      <c r="A2576" t="inlineStr">
        <is>
          <t>EM002575</t>
        </is>
      </c>
      <c r="B2576" s="7" t="n">
        <v>46216</v>
      </c>
      <c r="C2576" t="inlineStr">
        <is>
          <t>CR-201</t>
        </is>
      </c>
      <c r="D2576" t="inlineStr">
        <is>
          <t>ISO 8</t>
        </is>
      </c>
      <c r="E2576" t="inlineStr">
        <is>
          <t>Surface contact</t>
        </is>
      </c>
      <c r="F2576" t="n">
        <v>0</v>
      </c>
      <c r="G2576" t="inlineStr">
        <is>
          <t>Tech D</t>
        </is>
      </c>
      <c r="H2576">
        <f>INDEX(Limits!$B$2:$B$5,MATCH(E2576,Limits!$A$2:$A$5,0))</f>
        <v/>
      </c>
      <c r="I2576">
        <f>INDEX(Limits!$C$2:$C$5,MATCH(E2576,Limits!$A$2:$A$5,0))</f>
        <v/>
      </c>
      <c r="J2576">
        <f>IF(F2576&gt;=I2576,"Action",IF(F2576&gt;=H2576,"Alert","Pass"))</f>
        <v/>
      </c>
      <c r="K2576" s="4">
        <f>DATE(YEAR(B2576),MONTH(B2576),1)</f>
        <v/>
      </c>
    </row>
    <row r="2577">
      <c r="A2577" t="inlineStr">
        <is>
          <t>EM002576</t>
        </is>
      </c>
      <c r="B2577" s="7" t="n">
        <v>46216</v>
      </c>
      <c r="C2577" t="inlineStr">
        <is>
          <t>CR-201</t>
        </is>
      </c>
      <c r="D2577" t="inlineStr">
        <is>
          <t>ISO 8</t>
        </is>
      </c>
      <c r="E2577" t="inlineStr">
        <is>
          <t>Compressed air</t>
        </is>
      </c>
      <c r="F2577" t="n">
        <v>0</v>
      </c>
      <c r="G2577" t="inlineStr">
        <is>
          <t>Tech A</t>
        </is>
      </c>
      <c r="H2577">
        <f>INDEX(Limits!$B$2:$B$5,MATCH(E2577,Limits!$A$2:$A$5,0))</f>
        <v/>
      </c>
      <c r="I2577">
        <f>INDEX(Limits!$C$2:$C$5,MATCH(E2577,Limits!$A$2:$A$5,0))</f>
        <v/>
      </c>
      <c r="J2577">
        <f>IF(F2577&gt;=I2577,"Action",IF(F2577&gt;=H2577,"Alert","Pass"))</f>
        <v/>
      </c>
      <c r="K2577" s="4">
        <f>DATE(YEAR(B2577),MONTH(B2577),1)</f>
        <v/>
      </c>
    </row>
    <row r="2578">
      <c r="A2578" t="inlineStr">
        <is>
          <t>EM002577</t>
        </is>
      </c>
      <c r="B2578" s="7" t="n">
        <v>46216</v>
      </c>
      <c r="C2578" t="inlineStr">
        <is>
          <t>CR-201</t>
        </is>
      </c>
      <c r="D2578" t="inlineStr">
        <is>
          <t>ISO 8</t>
        </is>
      </c>
      <c r="E2578" t="inlineStr">
        <is>
          <t>Personnel glove</t>
        </is>
      </c>
      <c r="F2578" t="n">
        <v>0</v>
      </c>
      <c r="G2578" t="inlineStr">
        <is>
          <t>Tech A</t>
        </is>
      </c>
      <c r="H2578">
        <f>INDEX(Limits!$B$2:$B$5,MATCH(E2578,Limits!$A$2:$A$5,0))</f>
        <v/>
      </c>
      <c r="I2578">
        <f>INDEX(Limits!$C$2:$C$5,MATCH(E2578,Limits!$A$2:$A$5,0))</f>
        <v/>
      </c>
      <c r="J2578">
        <f>IF(F2578&gt;=I2578,"Action",IF(F2578&gt;=H2578,"Alert","Pass"))</f>
        <v/>
      </c>
      <c r="K2578" s="4">
        <f>DATE(YEAR(B2578),MONTH(B2578),1)</f>
        <v/>
      </c>
    </row>
    <row r="2579">
      <c r="A2579" t="inlineStr">
        <is>
          <t>EM002578</t>
        </is>
      </c>
      <c r="B2579" s="7" t="n">
        <v>46216</v>
      </c>
      <c r="C2579" t="inlineStr">
        <is>
          <t>CR-202</t>
        </is>
      </c>
      <c r="D2579" t="inlineStr">
        <is>
          <t>ISO 8</t>
        </is>
      </c>
      <c r="E2579" t="inlineStr">
        <is>
          <t>Active air</t>
        </is>
      </c>
      <c r="F2579" t="n">
        <v>4</v>
      </c>
      <c r="G2579" t="inlineStr">
        <is>
          <t>Tech A</t>
        </is>
      </c>
      <c r="H2579">
        <f>INDEX(Limits!$B$2:$B$5,MATCH(E2579,Limits!$A$2:$A$5,0))</f>
        <v/>
      </c>
      <c r="I2579">
        <f>INDEX(Limits!$C$2:$C$5,MATCH(E2579,Limits!$A$2:$A$5,0))</f>
        <v/>
      </c>
      <c r="J2579">
        <f>IF(F2579&gt;=I2579,"Action",IF(F2579&gt;=H2579,"Alert","Pass"))</f>
        <v/>
      </c>
      <c r="K2579" s="4">
        <f>DATE(YEAR(B2579),MONTH(B2579),1)</f>
        <v/>
      </c>
    </row>
    <row r="2580">
      <c r="A2580" t="inlineStr">
        <is>
          <t>EM002579</t>
        </is>
      </c>
      <c r="B2580" s="7" t="n">
        <v>46216</v>
      </c>
      <c r="C2580" t="inlineStr">
        <is>
          <t>CR-202</t>
        </is>
      </c>
      <c r="D2580" t="inlineStr">
        <is>
          <t>ISO 8</t>
        </is>
      </c>
      <c r="E2580" t="inlineStr">
        <is>
          <t>Surface contact</t>
        </is>
      </c>
      <c r="F2580" t="n">
        <v>3</v>
      </c>
      <c r="G2580" t="inlineStr">
        <is>
          <t>Tech B</t>
        </is>
      </c>
      <c r="H2580">
        <f>INDEX(Limits!$B$2:$B$5,MATCH(E2580,Limits!$A$2:$A$5,0))</f>
        <v/>
      </c>
      <c r="I2580">
        <f>INDEX(Limits!$C$2:$C$5,MATCH(E2580,Limits!$A$2:$A$5,0))</f>
        <v/>
      </c>
      <c r="J2580">
        <f>IF(F2580&gt;=I2580,"Action",IF(F2580&gt;=H2580,"Alert","Pass"))</f>
        <v/>
      </c>
      <c r="K2580" s="4">
        <f>DATE(YEAR(B2580),MONTH(B2580),1)</f>
        <v/>
      </c>
    </row>
    <row r="2581">
      <c r="A2581" t="inlineStr">
        <is>
          <t>EM002580</t>
        </is>
      </c>
      <c r="B2581" s="7" t="n">
        <v>46216</v>
      </c>
      <c r="C2581" t="inlineStr">
        <is>
          <t>CR-202</t>
        </is>
      </c>
      <c r="D2581" t="inlineStr">
        <is>
          <t>ISO 8</t>
        </is>
      </c>
      <c r="E2581" t="inlineStr">
        <is>
          <t>Compressed air</t>
        </is>
      </c>
      <c r="F2581" t="n">
        <v>0</v>
      </c>
      <c r="G2581" t="inlineStr">
        <is>
          <t>Tech A</t>
        </is>
      </c>
      <c r="H2581">
        <f>INDEX(Limits!$B$2:$B$5,MATCH(E2581,Limits!$A$2:$A$5,0))</f>
        <v/>
      </c>
      <c r="I2581">
        <f>INDEX(Limits!$C$2:$C$5,MATCH(E2581,Limits!$A$2:$A$5,0))</f>
        <v/>
      </c>
      <c r="J2581">
        <f>IF(F2581&gt;=I2581,"Action",IF(F2581&gt;=H2581,"Alert","Pass"))</f>
        <v/>
      </c>
      <c r="K2581" s="4">
        <f>DATE(YEAR(B2581),MONTH(B2581),1)</f>
        <v/>
      </c>
    </row>
    <row r="2582">
      <c r="A2582" t="inlineStr">
        <is>
          <t>EM002581</t>
        </is>
      </c>
      <c r="B2582" s="7" t="n">
        <v>46216</v>
      </c>
      <c r="C2582" t="inlineStr">
        <is>
          <t>CR-202</t>
        </is>
      </c>
      <c r="D2582" t="inlineStr">
        <is>
          <t>ISO 8</t>
        </is>
      </c>
      <c r="E2582" t="inlineStr">
        <is>
          <t>Personnel glove</t>
        </is>
      </c>
      <c r="F2582" t="n">
        <v>1</v>
      </c>
      <c r="G2582" t="inlineStr">
        <is>
          <t>Tech C</t>
        </is>
      </c>
      <c r="H2582">
        <f>INDEX(Limits!$B$2:$B$5,MATCH(E2582,Limits!$A$2:$A$5,0))</f>
        <v/>
      </c>
      <c r="I2582">
        <f>INDEX(Limits!$C$2:$C$5,MATCH(E2582,Limits!$A$2:$A$5,0))</f>
        <v/>
      </c>
      <c r="J2582">
        <f>IF(F2582&gt;=I2582,"Action",IF(F2582&gt;=H2582,"Alert","Pass"))</f>
        <v/>
      </c>
      <c r="K2582" s="4">
        <f>DATE(YEAR(B2582),MONTH(B2582),1)</f>
        <v/>
      </c>
    </row>
    <row r="2583">
      <c r="A2583" t="inlineStr">
        <is>
          <t>EM002582</t>
        </is>
      </c>
      <c r="B2583" s="7" t="n">
        <v>46216</v>
      </c>
      <c r="C2583" t="inlineStr">
        <is>
          <t>Gowning</t>
        </is>
      </c>
      <c r="D2583" t="inlineStr">
        <is>
          <t>ISO 8</t>
        </is>
      </c>
      <c r="E2583" t="inlineStr">
        <is>
          <t>Active air</t>
        </is>
      </c>
      <c r="F2583" t="n">
        <v>4</v>
      </c>
      <c r="G2583" t="inlineStr">
        <is>
          <t>Tech A</t>
        </is>
      </c>
      <c r="H2583">
        <f>INDEX(Limits!$B$2:$B$5,MATCH(E2583,Limits!$A$2:$A$5,0))</f>
        <v/>
      </c>
      <c r="I2583">
        <f>INDEX(Limits!$C$2:$C$5,MATCH(E2583,Limits!$A$2:$A$5,0))</f>
        <v/>
      </c>
      <c r="J2583">
        <f>IF(F2583&gt;=I2583,"Action",IF(F2583&gt;=H2583,"Alert","Pass"))</f>
        <v/>
      </c>
      <c r="K2583" s="4">
        <f>DATE(YEAR(B2583),MONTH(B2583),1)</f>
        <v/>
      </c>
    </row>
    <row r="2584">
      <c r="A2584" t="inlineStr">
        <is>
          <t>EM002583</t>
        </is>
      </c>
      <c r="B2584" s="7" t="n">
        <v>46216</v>
      </c>
      <c r="C2584" t="inlineStr">
        <is>
          <t>Gowning</t>
        </is>
      </c>
      <c r="D2584" t="inlineStr">
        <is>
          <t>ISO 8</t>
        </is>
      </c>
      <c r="E2584" t="inlineStr">
        <is>
          <t>Surface contact</t>
        </is>
      </c>
      <c r="F2584" t="n">
        <v>0</v>
      </c>
      <c r="G2584" t="inlineStr">
        <is>
          <t>Tech B</t>
        </is>
      </c>
      <c r="H2584">
        <f>INDEX(Limits!$B$2:$B$5,MATCH(E2584,Limits!$A$2:$A$5,0))</f>
        <v/>
      </c>
      <c r="I2584">
        <f>INDEX(Limits!$C$2:$C$5,MATCH(E2584,Limits!$A$2:$A$5,0))</f>
        <v/>
      </c>
      <c r="J2584">
        <f>IF(F2584&gt;=I2584,"Action",IF(F2584&gt;=H2584,"Alert","Pass"))</f>
        <v/>
      </c>
      <c r="K2584" s="4">
        <f>DATE(YEAR(B2584),MONTH(B2584),1)</f>
        <v/>
      </c>
    </row>
    <row r="2585">
      <c r="A2585" t="inlineStr">
        <is>
          <t>EM002584</t>
        </is>
      </c>
      <c r="B2585" s="7" t="n">
        <v>46216</v>
      </c>
      <c r="C2585" t="inlineStr">
        <is>
          <t>Gowning</t>
        </is>
      </c>
      <c r="D2585" t="inlineStr">
        <is>
          <t>ISO 8</t>
        </is>
      </c>
      <c r="E2585" t="inlineStr">
        <is>
          <t>Personnel glove</t>
        </is>
      </c>
      <c r="F2585" t="n">
        <v>0</v>
      </c>
      <c r="G2585" t="inlineStr">
        <is>
          <t>Tech D</t>
        </is>
      </c>
      <c r="H2585">
        <f>INDEX(Limits!$B$2:$B$5,MATCH(E2585,Limits!$A$2:$A$5,0))</f>
        <v/>
      </c>
      <c r="I2585">
        <f>INDEX(Limits!$C$2:$C$5,MATCH(E2585,Limits!$A$2:$A$5,0))</f>
        <v/>
      </c>
      <c r="J2585">
        <f>IF(F2585&gt;=I2585,"Action",IF(F2585&gt;=H2585,"Alert","Pass"))</f>
        <v/>
      </c>
      <c r="K2585" s="4">
        <f>DATE(YEAR(B2585),MONTH(B2585),1)</f>
        <v/>
      </c>
    </row>
    <row r="2586">
      <c r="A2586" t="inlineStr">
        <is>
          <t>EM002585</t>
        </is>
      </c>
      <c r="B2586" s="7" t="n">
        <v>46217</v>
      </c>
      <c r="C2586" t="inlineStr">
        <is>
          <t>CR-101</t>
        </is>
      </c>
      <c r="D2586" t="inlineStr">
        <is>
          <t>ISO 7</t>
        </is>
      </c>
      <c r="E2586" t="inlineStr">
        <is>
          <t>Active air</t>
        </is>
      </c>
      <c r="F2586" t="n">
        <v>2</v>
      </c>
      <c r="G2586" t="inlineStr">
        <is>
          <t>Tech B</t>
        </is>
      </c>
      <c r="H2586">
        <f>INDEX(Limits!$B$2:$B$5,MATCH(E2586,Limits!$A$2:$A$5,0))</f>
        <v/>
      </c>
      <c r="I2586">
        <f>INDEX(Limits!$C$2:$C$5,MATCH(E2586,Limits!$A$2:$A$5,0))</f>
        <v/>
      </c>
      <c r="J2586">
        <f>IF(F2586&gt;=I2586,"Action",IF(F2586&gt;=H2586,"Alert","Pass"))</f>
        <v/>
      </c>
      <c r="K2586" s="4">
        <f>DATE(YEAR(B2586),MONTH(B2586),1)</f>
        <v/>
      </c>
    </row>
    <row r="2587">
      <c r="A2587" t="inlineStr">
        <is>
          <t>EM002586</t>
        </is>
      </c>
      <c r="B2587" s="7" t="n">
        <v>46217</v>
      </c>
      <c r="C2587" t="inlineStr">
        <is>
          <t>CR-101</t>
        </is>
      </c>
      <c r="D2587" t="inlineStr">
        <is>
          <t>ISO 7</t>
        </is>
      </c>
      <c r="E2587" t="inlineStr">
        <is>
          <t>Surface contact</t>
        </is>
      </c>
      <c r="F2587" t="n">
        <v>1</v>
      </c>
      <c r="G2587" t="inlineStr">
        <is>
          <t>Tech C</t>
        </is>
      </c>
      <c r="H2587">
        <f>INDEX(Limits!$B$2:$B$5,MATCH(E2587,Limits!$A$2:$A$5,0))</f>
        <v/>
      </c>
      <c r="I2587">
        <f>INDEX(Limits!$C$2:$C$5,MATCH(E2587,Limits!$A$2:$A$5,0))</f>
        <v/>
      </c>
      <c r="J2587">
        <f>IF(F2587&gt;=I2587,"Action",IF(F2587&gt;=H2587,"Alert","Pass"))</f>
        <v/>
      </c>
      <c r="K2587" s="4">
        <f>DATE(YEAR(B2587),MONTH(B2587),1)</f>
        <v/>
      </c>
    </row>
    <row r="2588">
      <c r="A2588" t="inlineStr">
        <is>
          <t>EM002587</t>
        </is>
      </c>
      <c r="B2588" s="7" t="n">
        <v>46217</v>
      </c>
      <c r="C2588" t="inlineStr">
        <is>
          <t>CR-101</t>
        </is>
      </c>
      <c r="D2588" t="inlineStr">
        <is>
          <t>ISO 7</t>
        </is>
      </c>
      <c r="E2588" t="inlineStr">
        <is>
          <t>Compressed air</t>
        </is>
      </c>
      <c r="F2588" t="n">
        <v>0</v>
      </c>
      <c r="G2588" t="inlineStr">
        <is>
          <t>Tech A</t>
        </is>
      </c>
      <c r="H2588">
        <f>INDEX(Limits!$B$2:$B$5,MATCH(E2588,Limits!$A$2:$A$5,0))</f>
        <v/>
      </c>
      <c r="I2588">
        <f>INDEX(Limits!$C$2:$C$5,MATCH(E2588,Limits!$A$2:$A$5,0))</f>
        <v/>
      </c>
      <c r="J2588">
        <f>IF(F2588&gt;=I2588,"Action",IF(F2588&gt;=H2588,"Alert","Pass"))</f>
        <v/>
      </c>
      <c r="K2588" s="4">
        <f>DATE(YEAR(B2588),MONTH(B2588),1)</f>
        <v/>
      </c>
    </row>
    <row r="2589">
      <c r="A2589" t="inlineStr">
        <is>
          <t>EM002588</t>
        </is>
      </c>
      <c r="B2589" s="7" t="n">
        <v>46217</v>
      </c>
      <c r="C2589" t="inlineStr">
        <is>
          <t>CR-101</t>
        </is>
      </c>
      <c r="D2589" t="inlineStr">
        <is>
          <t>ISO 7</t>
        </is>
      </c>
      <c r="E2589" t="inlineStr">
        <is>
          <t>Personnel glove</t>
        </is>
      </c>
      <c r="F2589" t="n">
        <v>0</v>
      </c>
      <c r="G2589" t="inlineStr">
        <is>
          <t>Tech D</t>
        </is>
      </c>
      <c r="H2589">
        <f>INDEX(Limits!$B$2:$B$5,MATCH(E2589,Limits!$A$2:$A$5,0))</f>
        <v/>
      </c>
      <c r="I2589">
        <f>INDEX(Limits!$C$2:$C$5,MATCH(E2589,Limits!$A$2:$A$5,0))</f>
        <v/>
      </c>
      <c r="J2589">
        <f>IF(F2589&gt;=I2589,"Action",IF(F2589&gt;=H2589,"Alert","Pass"))</f>
        <v/>
      </c>
      <c r="K2589" s="4">
        <f>DATE(YEAR(B2589),MONTH(B2589),1)</f>
        <v/>
      </c>
    </row>
    <row r="2590">
      <c r="A2590" t="inlineStr">
        <is>
          <t>EM002589</t>
        </is>
      </c>
      <c r="B2590" s="7" t="n">
        <v>46217</v>
      </c>
      <c r="C2590" t="inlineStr">
        <is>
          <t>CR-102</t>
        </is>
      </c>
      <c r="D2590" t="inlineStr">
        <is>
          <t>ISO 7</t>
        </is>
      </c>
      <c r="E2590" t="inlineStr">
        <is>
          <t>Active air</t>
        </is>
      </c>
      <c r="F2590" t="n">
        <v>1</v>
      </c>
      <c r="G2590" t="inlineStr">
        <is>
          <t>Tech C</t>
        </is>
      </c>
      <c r="H2590">
        <f>INDEX(Limits!$B$2:$B$5,MATCH(E2590,Limits!$A$2:$A$5,0))</f>
        <v/>
      </c>
      <c r="I2590">
        <f>INDEX(Limits!$C$2:$C$5,MATCH(E2590,Limits!$A$2:$A$5,0))</f>
        <v/>
      </c>
      <c r="J2590">
        <f>IF(F2590&gt;=I2590,"Action",IF(F2590&gt;=H2590,"Alert","Pass"))</f>
        <v/>
      </c>
      <c r="K2590" s="4">
        <f>DATE(YEAR(B2590),MONTH(B2590),1)</f>
        <v/>
      </c>
    </row>
    <row r="2591">
      <c r="A2591" t="inlineStr">
        <is>
          <t>EM002590</t>
        </is>
      </c>
      <c r="B2591" s="7" t="n">
        <v>46217</v>
      </c>
      <c r="C2591" t="inlineStr">
        <is>
          <t>CR-102</t>
        </is>
      </c>
      <c r="D2591" t="inlineStr">
        <is>
          <t>ISO 7</t>
        </is>
      </c>
      <c r="E2591" t="inlineStr">
        <is>
          <t>Surface contact</t>
        </is>
      </c>
      <c r="F2591" t="n">
        <v>0</v>
      </c>
      <c r="G2591" t="inlineStr">
        <is>
          <t>Tech C</t>
        </is>
      </c>
      <c r="H2591">
        <f>INDEX(Limits!$B$2:$B$5,MATCH(E2591,Limits!$A$2:$A$5,0))</f>
        <v/>
      </c>
      <c r="I2591">
        <f>INDEX(Limits!$C$2:$C$5,MATCH(E2591,Limits!$A$2:$A$5,0))</f>
        <v/>
      </c>
      <c r="J2591">
        <f>IF(F2591&gt;=I2591,"Action",IF(F2591&gt;=H2591,"Alert","Pass"))</f>
        <v/>
      </c>
      <c r="K2591" s="4">
        <f>DATE(YEAR(B2591),MONTH(B2591),1)</f>
        <v/>
      </c>
    </row>
    <row r="2592">
      <c r="A2592" t="inlineStr">
        <is>
          <t>EM002591</t>
        </is>
      </c>
      <c r="B2592" s="7" t="n">
        <v>46217</v>
      </c>
      <c r="C2592" t="inlineStr">
        <is>
          <t>CR-102</t>
        </is>
      </c>
      <c r="D2592" t="inlineStr">
        <is>
          <t>ISO 7</t>
        </is>
      </c>
      <c r="E2592" t="inlineStr">
        <is>
          <t>Compressed air</t>
        </is>
      </c>
      <c r="F2592" t="n">
        <v>0</v>
      </c>
      <c r="G2592" t="inlineStr">
        <is>
          <t>Tech A</t>
        </is>
      </c>
      <c r="H2592">
        <f>INDEX(Limits!$B$2:$B$5,MATCH(E2592,Limits!$A$2:$A$5,0))</f>
        <v/>
      </c>
      <c r="I2592">
        <f>INDEX(Limits!$C$2:$C$5,MATCH(E2592,Limits!$A$2:$A$5,0))</f>
        <v/>
      </c>
      <c r="J2592">
        <f>IF(F2592&gt;=I2592,"Action",IF(F2592&gt;=H2592,"Alert","Pass"))</f>
        <v/>
      </c>
      <c r="K2592" s="4">
        <f>DATE(YEAR(B2592),MONTH(B2592),1)</f>
        <v/>
      </c>
    </row>
    <row r="2593">
      <c r="A2593" t="inlineStr">
        <is>
          <t>EM002592</t>
        </is>
      </c>
      <c r="B2593" s="7" t="n">
        <v>46217</v>
      </c>
      <c r="C2593" t="inlineStr">
        <is>
          <t>CR-102</t>
        </is>
      </c>
      <c r="D2593" t="inlineStr">
        <is>
          <t>ISO 7</t>
        </is>
      </c>
      <c r="E2593" t="inlineStr">
        <is>
          <t>Personnel glove</t>
        </is>
      </c>
      <c r="F2593" t="n">
        <v>0</v>
      </c>
      <c r="G2593" t="inlineStr">
        <is>
          <t>Tech C</t>
        </is>
      </c>
      <c r="H2593">
        <f>INDEX(Limits!$B$2:$B$5,MATCH(E2593,Limits!$A$2:$A$5,0))</f>
        <v/>
      </c>
      <c r="I2593">
        <f>INDEX(Limits!$C$2:$C$5,MATCH(E2593,Limits!$A$2:$A$5,0))</f>
        <v/>
      </c>
      <c r="J2593">
        <f>IF(F2593&gt;=I2593,"Action",IF(F2593&gt;=H2593,"Alert","Pass"))</f>
        <v/>
      </c>
      <c r="K2593" s="4">
        <f>DATE(YEAR(B2593),MONTH(B2593),1)</f>
        <v/>
      </c>
    </row>
    <row r="2594">
      <c r="A2594" t="inlineStr">
        <is>
          <t>EM002593</t>
        </is>
      </c>
      <c r="B2594" s="7" t="n">
        <v>46217</v>
      </c>
      <c r="C2594" t="inlineStr">
        <is>
          <t>CR-201</t>
        </is>
      </c>
      <c r="D2594" t="inlineStr">
        <is>
          <t>ISO 8</t>
        </is>
      </c>
      <c r="E2594" t="inlineStr">
        <is>
          <t>Active air</t>
        </is>
      </c>
      <c r="F2594" t="n">
        <v>0</v>
      </c>
      <c r="G2594" t="inlineStr">
        <is>
          <t>Tech D</t>
        </is>
      </c>
      <c r="H2594">
        <f>INDEX(Limits!$B$2:$B$5,MATCH(E2594,Limits!$A$2:$A$5,0))</f>
        <v/>
      </c>
      <c r="I2594">
        <f>INDEX(Limits!$C$2:$C$5,MATCH(E2594,Limits!$A$2:$A$5,0))</f>
        <v/>
      </c>
      <c r="J2594">
        <f>IF(F2594&gt;=I2594,"Action",IF(F2594&gt;=H2594,"Alert","Pass"))</f>
        <v/>
      </c>
      <c r="K2594" s="4">
        <f>DATE(YEAR(B2594),MONTH(B2594),1)</f>
        <v/>
      </c>
    </row>
    <row r="2595">
      <c r="A2595" t="inlineStr">
        <is>
          <t>EM002594</t>
        </is>
      </c>
      <c r="B2595" s="7" t="n">
        <v>46217</v>
      </c>
      <c r="C2595" t="inlineStr">
        <is>
          <t>CR-201</t>
        </is>
      </c>
      <c r="D2595" t="inlineStr">
        <is>
          <t>ISO 8</t>
        </is>
      </c>
      <c r="E2595" t="inlineStr">
        <is>
          <t>Surface contact</t>
        </is>
      </c>
      <c r="F2595" t="n">
        <v>0</v>
      </c>
      <c r="G2595" t="inlineStr">
        <is>
          <t>Tech A</t>
        </is>
      </c>
      <c r="H2595">
        <f>INDEX(Limits!$B$2:$B$5,MATCH(E2595,Limits!$A$2:$A$5,0))</f>
        <v/>
      </c>
      <c r="I2595">
        <f>INDEX(Limits!$C$2:$C$5,MATCH(E2595,Limits!$A$2:$A$5,0))</f>
        <v/>
      </c>
      <c r="J2595">
        <f>IF(F2595&gt;=I2595,"Action",IF(F2595&gt;=H2595,"Alert","Pass"))</f>
        <v/>
      </c>
      <c r="K2595" s="4">
        <f>DATE(YEAR(B2595),MONTH(B2595),1)</f>
        <v/>
      </c>
    </row>
    <row r="2596">
      <c r="A2596" t="inlineStr">
        <is>
          <t>EM002595</t>
        </is>
      </c>
      <c r="B2596" s="7" t="n">
        <v>46217</v>
      </c>
      <c r="C2596" t="inlineStr">
        <is>
          <t>CR-201</t>
        </is>
      </c>
      <c r="D2596" t="inlineStr">
        <is>
          <t>ISO 8</t>
        </is>
      </c>
      <c r="E2596" t="inlineStr">
        <is>
          <t>Compressed air</t>
        </is>
      </c>
      <c r="F2596" t="n">
        <v>0</v>
      </c>
      <c r="G2596" t="inlineStr">
        <is>
          <t>Tech A</t>
        </is>
      </c>
      <c r="H2596">
        <f>INDEX(Limits!$B$2:$B$5,MATCH(E2596,Limits!$A$2:$A$5,0))</f>
        <v/>
      </c>
      <c r="I2596">
        <f>INDEX(Limits!$C$2:$C$5,MATCH(E2596,Limits!$A$2:$A$5,0))</f>
        <v/>
      </c>
      <c r="J2596">
        <f>IF(F2596&gt;=I2596,"Action",IF(F2596&gt;=H2596,"Alert","Pass"))</f>
        <v/>
      </c>
      <c r="K2596" s="4">
        <f>DATE(YEAR(B2596),MONTH(B2596),1)</f>
        <v/>
      </c>
    </row>
    <row r="2597">
      <c r="A2597" t="inlineStr">
        <is>
          <t>EM002596</t>
        </is>
      </c>
      <c r="B2597" s="7" t="n">
        <v>46217</v>
      </c>
      <c r="C2597" t="inlineStr">
        <is>
          <t>CR-201</t>
        </is>
      </c>
      <c r="D2597" t="inlineStr">
        <is>
          <t>ISO 8</t>
        </is>
      </c>
      <c r="E2597" t="inlineStr">
        <is>
          <t>Personnel glove</t>
        </is>
      </c>
      <c r="F2597" t="n">
        <v>0</v>
      </c>
      <c r="G2597" t="inlineStr">
        <is>
          <t>Tech D</t>
        </is>
      </c>
      <c r="H2597">
        <f>INDEX(Limits!$B$2:$B$5,MATCH(E2597,Limits!$A$2:$A$5,0))</f>
        <v/>
      </c>
      <c r="I2597">
        <f>INDEX(Limits!$C$2:$C$5,MATCH(E2597,Limits!$A$2:$A$5,0))</f>
        <v/>
      </c>
      <c r="J2597">
        <f>IF(F2597&gt;=I2597,"Action",IF(F2597&gt;=H2597,"Alert","Pass"))</f>
        <v/>
      </c>
      <c r="K2597" s="4">
        <f>DATE(YEAR(B2597),MONTH(B2597),1)</f>
        <v/>
      </c>
    </row>
    <row r="2598">
      <c r="A2598" t="inlineStr">
        <is>
          <t>EM002597</t>
        </is>
      </c>
      <c r="B2598" s="7" t="n">
        <v>46217</v>
      </c>
      <c r="C2598" t="inlineStr">
        <is>
          <t>CR-202</t>
        </is>
      </c>
      <c r="D2598" t="inlineStr">
        <is>
          <t>ISO 8</t>
        </is>
      </c>
      <c r="E2598" t="inlineStr">
        <is>
          <t>Active air</t>
        </is>
      </c>
      <c r="F2598" t="n">
        <v>5</v>
      </c>
      <c r="G2598" t="inlineStr">
        <is>
          <t>Tech A</t>
        </is>
      </c>
      <c r="H2598">
        <f>INDEX(Limits!$B$2:$B$5,MATCH(E2598,Limits!$A$2:$A$5,0))</f>
        <v/>
      </c>
      <c r="I2598">
        <f>INDEX(Limits!$C$2:$C$5,MATCH(E2598,Limits!$A$2:$A$5,0))</f>
        <v/>
      </c>
      <c r="J2598">
        <f>IF(F2598&gt;=I2598,"Action",IF(F2598&gt;=H2598,"Alert","Pass"))</f>
        <v/>
      </c>
      <c r="K2598" s="4">
        <f>DATE(YEAR(B2598),MONTH(B2598),1)</f>
        <v/>
      </c>
    </row>
    <row r="2599">
      <c r="A2599" t="inlineStr">
        <is>
          <t>EM002598</t>
        </is>
      </c>
      <c r="B2599" s="7" t="n">
        <v>46217</v>
      </c>
      <c r="C2599" t="inlineStr">
        <is>
          <t>CR-202</t>
        </is>
      </c>
      <c r="D2599" t="inlineStr">
        <is>
          <t>ISO 8</t>
        </is>
      </c>
      <c r="E2599" t="inlineStr">
        <is>
          <t>Surface contact</t>
        </is>
      </c>
      <c r="F2599" t="n">
        <v>1</v>
      </c>
      <c r="G2599" t="inlineStr">
        <is>
          <t>Tech D</t>
        </is>
      </c>
      <c r="H2599">
        <f>INDEX(Limits!$B$2:$B$5,MATCH(E2599,Limits!$A$2:$A$5,0))</f>
        <v/>
      </c>
      <c r="I2599">
        <f>INDEX(Limits!$C$2:$C$5,MATCH(E2599,Limits!$A$2:$A$5,0))</f>
        <v/>
      </c>
      <c r="J2599">
        <f>IF(F2599&gt;=I2599,"Action",IF(F2599&gt;=H2599,"Alert","Pass"))</f>
        <v/>
      </c>
      <c r="K2599" s="4">
        <f>DATE(YEAR(B2599),MONTH(B2599),1)</f>
        <v/>
      </c>
    </row>
    <row r="2600">
      <c r="A2600" t="inlineStr">
        <is>
          <t>EM002599</t>
        </is>
      </c>
      <c r="B2600" s="7" t="n">
        <v>46217</v>
      </c>
      <c r="C2600" t="inlineStr">
        <is>
          <t>CR-202</t>
        </is>
      </c>
      <c r="D2600" t="inlineStr">
        <is>
          <t>ISO 8</t>
        </is>
      </c>
      <c r="E2600" t="inlineStr">
        <is>
          <t>Compressed air</t>
        </is>
      </c>
      <c r="F2600" t="n">
        <v>0</v>
      </c>
      <c r="G2600" t="inlineStr">
        <is>
          <t>Tech C</t>
        </is>
      </c>
      <c r="H2600">
        <f>INDEX(Limits!$B$2:$B$5,MATCH(E2600,Limits!$A$2:$A$5,0))</f>
        <v/>
      </c>
      <c r="I2600">
        <f>INDEX(Limits!$C$2:$C$5,MATCH(E2600,Limits!$A$2:$A$5,0))</f>
        <v/>
      </c>
      <c r="J2600">
        <f>IF(F2600&gt;=I2600,"Action",IF(F2600&gt;=H2600,"Alert","Pass"))</f>
        <v/>
      </c>
      <c r="K2600" s="4">
        <f>DATE(YEAR(B2600),MONTH(B2600),1)</f>
        <v/>
      </c>
    </row>
    <row r="2601">
      <c r="A2601" t="inlineStr">
        <is>
          <t>EM002600</t>
        </is>
      </c>
      <c r="B2601" s="7" t="n">
        <v>46217</v>
      </c>
      <c r="C2601" t="inlineStr">
        <is>
          <t>CR-202</t>
        </is>
      </c>
      <c r="D2601" t="inlineStr">
        <is>
          <t>ISO 8</t>
        </is>
      </c>
      <c r="E2601" t="inlineStr">
        <is>
          <t>Personnel glove</t>
        </is>
      </c>
      <c r="F2601" t="n">
        <v>0</v>
      </c>
      <c r="G2601" t="inlineStr">
        <is>
          <t>Tech A</t>
        </is>
      </c>
      <c r="H2601">
        <f>INDEX(Limits!$B$2:$B$5,MATCH(E2601,Limits!$A$2:$A$5,0))</f>
        <v/>
      </c>
      <c r="I2601">
        <f>INDEX(Limits!$C$2:$C$5,MATCH(E2601,Limits!$A$2:$A$5,0))</f>
        <v/>
      </c>
      <c r="J2601">
        <f>IF(F2601&gt;=I2601,"Action",IF(F2601&gt;=H2601,"Alert","Pass"))</f>
        <v/>
      </c>
      <c r="K2601" s="4">
        <f>DATE(YEAR(B2601),MONTH(B2601),1)</f>
        <v/>
      </c>
    </row>
    <row r="2602">
      <c r="A2602" t="inlineStr">
        <is>
          <t>EM002601</t>
        </is>
      </c>
      <c r="B2602" s="7" t="n">
        <v>46217</v>
      </c>
      <c r="C2602" t="inlineStr">
        <is>
          <t>Gowning</t>
        </is>
      </c>
      <c r="D2602" t="inlineStr">
        <is>
          <t>ISO 8</t>
        </is>
      </c>
      <c r="E2602" t="inlineStr">
        <is>
          <t>Active air</t>
        </is>
      </c>
      <c r="F2602" t="n">
        <v>2</v>
      </c>
      <c r="G2602" t="inlineStr">
        <is>
          <t>Tech B</t>
        </is>
      </c>
      <c r="H2602">
        <f>INDEX(Limits!$B$2:$B$5,MATCH(E2602,Limits!$A$2:$A$5,0))</f>
        <v/>
      </c>
      <c r="I2602">
        <f>INDEX(Limits!$C$2:$C$5,MATCH(E2602,Limits!$A$2:$A$5,0))</f>
        <v/>
      </c>
      <c r="J2602">
        <f>IF(F2602&gt;=I2602,"Action",IF(F2602&gt;=H2602,"Alert","Pass"))</f>
        <v/>
      </c>
      <c r="K2602" s="4">
        <f>DATE(YEAR(B2602),MONTH(B2602),1)</f>
        <v/>
      </c>
    </row>
    <row r="2603">
      <c r="A2603" t="inlineStr">
        <is>
          <t>EM002602</t>
        </is>
      </c>
      <c r="B2603" s="7" t="n">
        <v>46217</v>
      </c>
      <c r="C2603" t="inlineStr">
        <is>
          <t>Gowning</t>
        </is>
      </c>
      <c r="D2603" t="inlineStr">
        <is>
          <t>ISO 8</t>
        </is>
      </c>
      <c r="E2603" t="inlineStr">
        <is>
          <t>Surface contact</t>
        </is>
      </c>
      <c r="F2603" t="n">
        <v>1</v>
      </c>
      <c r="G2603" t="inlineStr">
        <is>
          <t>Tech A</t>
        </is>
      </c>
      <c r="H2603">
        <f>INDEX(Limits!$B$2:$B$5,MATCH(E2603,Limits!$A$2:$A$5,0))</f>
        <v/>
      </c>
      <c r="I2603">
        <f>INDEX(Limits!$C$2:$C$5,MATCH(E2603,Limits!$A$2:$A$5,0))</f>
        <v/>
      </c>
      <c r="J2603">
        <f>IF(F2603&gt;=I2603,"Action",IF(F2603&gt;=H2603,"Alert","Pass"))</f>
        <v/>
      </c>
      <c r="K2603" s="4">
        <f>DATE(YEAR(B2603),MONTH(B2603),1)</f>
        <v/>
      </c>
    </row>
    <row r="2604">
      <c r="A2604" t="inlineStr">
        <is>
          <t>EM002603</t>
        </is>
      </c>
      <c r="B2604" s="7" t="n">
        <v>46217</v>
      </c>
      <c r="C2604" t="inlineStr">
        <is>
          <t>Gowning</t>
        </is>
      </c>
      <c r="D2604" t="inlineStr">
        <is>
          <t>ISO 8</t>
        </is>
      </c>
      <c r="E2604" t="inlineStr">
        <is>
          <t>Personnel glove</t>
        </is>
      </c>
      <c r="F2604" t="n">
        <v>0</v>
      </c>
      <c r="G2604" t="inlineStr">
        <is>
          <t>Tech C</t>
        </is>
      </c>
      <c r="H2604">
        <f>INDEX(Limits!$B$2:$B$5,MATCH(E2604,Limits!$A$2:$A$5,0))</f>
        <v/>
      </c>
      <c r="I2604">
        <f>INDEX(Limits!$C$2:$C$5,MATCH(E2604,Limits!$A$2:$A$5,0))</f>
        <v/>
      </c>
      <c r="J2604">
        <f>IF(F2604&gt;=I2604,"Action",IF(F2604&gt;=H2604,"Alert","Pass"))</f>
        <v/>
      </c>
      <c r="K2604" s="4">
        <f>DATE(YEAR(B2604),MONTH(B2604),1)</f>
        <v/>
      </c>
    </row>
    <row r="2605">
      <c r="A2605" t="inlineStr">
        <is>
          <t>EM002604</t>
        </is>
      </c>
      <c r="B2605" s="7" t="n">
        <v>46218</v>
      </c>
      <c r="C2605" t="inlineStr">
        <is>
          <t>CR-101</t>
        </is>
      </c>
      <c r="D2605" t="inlineStr">
        <is>
          <t>ISO 7</t>
        </is>
      </c>
      <c r="E2605" t="inlineStr">
        <is>
          <t>Active air</t>
        </is>
      </c>
      <c r="F2605" t="n">
        <v>1</v>
      </c>
      <c r="G2605" t="inlineStr">
        <is>
          <t>Tech C</t>
        </is>
      </c>
      <c r="H2605">
        <f>INDEX(Limits!$B$2:$B$5,MATCH(E2605,Limits!$A$2:$A$5,0))</f>
        <v/>
      </c>
      <c r="I2605">
        <f>INDEX(Limits!$C$2:$C$5,MATCH(E2605,Limits!$A$2:$A$5,0))</f>
        <v/>
      </c>
      <c r="J2605">
        <f>IF(F2605&gt;=I2605,"Action",IF(F2605&gt;=H2605,"Alert","Pass"))</f>
        <v/>
      </c>
      <c r="K2605" s="4">
        <f>DATE(YEAR(B2605),MONTH(B2605),1)</f>
        <v/>
      </c>
    </row>
    <row r="2606">
      <c r="A2606" t="inlineStr">
        <is>
          <t>EM002605</t>
        </is>
      </c>
      <c r="B2606" s="7" t="n">
        <v>46218</v>
      </c>
      <c r="C2606" t="inlineStr">
        <is>
          <t>CR-101</t>
        </is>
      </c>
      <c r="D2606" t="inlineStr">
        <is>
          <t>ISO 7</t>
        </is>
      </c>
      <c r="E2606" t="inlineStr">
        <is>
          <t>Surface contact</t>
        </is>
      </c>
      <c r="F2606" t="n">
        <v>0</v>
      </c>
      <c r="G2606" t="inlineStr">
        <is>
          <t>Tech A</t>
        </is>
      </c>
      <c r="H2606">
        <f>INDEX(Limits!$B$2:$B$5,MATCH(E2606,Limits!$A$2:$A$5,0))</f>
        <v/>
      </c>
      <c r="I2606">
        <f>INDEX(Limits!$C$2:$C$5,MATCH(E2606,Limits!$A$2:$A$5,0))</f>
        <v/>
      </c>
      <c r="J2606">
        <f>IF(F2606&gt;=I2606,"Action",IF(F2606&gt;=H2606,"Alert","Pass"))</f>
        <v/>
      </c>
      <c r="K2606" s="4">
        <f>DATE(YEAR(B2606),MONTH(B2606),1)</f>
        <v/>
      </c>
    </row>
    <row r="2607">
      <c r="A2607" t="inlineStr">
        <is>
          <t>EM002606</t>
        </is>
      </c>
      <c r="B2607" s="7" t="n">
        <v>46218</v>
      </c>
      <c r="C2607" t="inlineStr">
        <is>
          <t>CR-101</t>
        </is>
      </c>
      <c r="D2607" t="inlineStr">
        <is>
          <t>ISO 7</t>
        </is>
      </c>
      <c r="E2607" t="inlineStr">
        <is>
          <t>Compressed air</t>
        </is>
      </c>
      <c r="F2607" t="n">
        <v>0</v>
      </c>
      <c r="G2607" t="inlineStr">
        <is>
          <t>Tech A</t>
        </is>
      </c>
      <c r="H2607">
        <f>INDEX(Limits!$B$2:$B$5,MATCH(E2607,Limits!$A$2:$A$5,0))</f>
        <v/>
      </c>
      <c r="I2607">
        <f>INDEX(Limits!$C$2:$C$5,MATCH(E2607,Limits!$A$2:$A$5,0))</f>
        <v/>
      </c>
      <c r="J2607">
        <f>IF(F2607&gt;=I2607,"Action",IF(F2607&gt;=H2607,"Alert","Pass"))</f>
        <v/>
      </c>
      <c r="K2607" s="4">
        <f>DATE(YEAR(B2607),MONTH(B2607),1)</f>
        <v/>
      </c>
    </row>
    <row r="2608">
      <c r="A2608" t="inlineStr">
        <is>
          <t>EM002607</t>
        </is>
      </c>
      <c r="B2608" s="7" t="n">
        <v>46218</v>
      </c>
      <c r="C2608" t="inlineStr">
        <is>
          <t>CR-101</t>
        </is>
      </c>
      <c r="D2608" t="inlineStr">
        <is>
          <t>ISO 7</t>
        </is>
      </c>
      <c r="E2608" t="inlineStr">
        <is>
          <t>Personnel glove</t>
        </is>
      </c>
      <c r="F2608" t="n">
        <v>0</v>
      </c>
      <c r="G2608" t="inlineStr">
        <is>
          <t>Tech C</t>
        </is>
      </c>
      <c r="H2608">
        <f>INDEX(Limits!$B$2:$B$5,MATCH(E2608,Limits!$A$2:$A$5,0))</f>
        <v/>
      </c>
      <c r="I2608">
        <f>INDEX(Limits!$C$2:$C$5,MATCH(E2608,Limits!$A$2:$A$5,0))</f>
        <v/>
      </c>
      <c r="J2608">
        <f>IF(F2608&gt;=I2608,"Action",IF(F2608&gt;=H2608,"Alert","Pass"))</f>
        <v/>
      </c>
      <c r="K2608" s="4">
        <f>DATE(YEAR(B2608),MONTH(B2608),1)</f>
        <v/>
      </c>
    </row>
    <row r="2609">
      <c r="A2609" t="inlineStr">
        <is>
          <t>EM002608</t>
        </is>
      </c>
      <c r="B2609" s="7" t="n">
        <v>46218</v>
      </c>
      <c r="C2609" t="inlineStr">
        <is>
          <t>CR-102</t>
        </is>
      </c>
      <c r="D2609" t="inlineStr">
        <is>
          <t>ISO 7</t>
        </is>
      </c>
      <c r="E2609" t="inlineStr">
        <is>
          <t>Active air</t>
        </is>
      </c>
      <c r="F2609" t="n">
        <v>3</v>
      </c>
      <c r="G2609" t="inlineStr">
        <is>
          <t>Tech A</t>
        </is>
      </c>
      <c r="H2609">
        <f>INDEX(Limits!$B$2:$B$5,MATCH(E2609,Limits!$A$2:$A$5,0))</f>
        <v/>
      </c>
      <c r="I2609">
        <f>INDEX(Limits!$C$2:$C$5,MATCH(E2609,Limits!$A$2:$A$5,0))</f>
        <v/>
      </c>
      <c r="J2609">
        <f>IF(F2609&gt;=I2609,"Action",IF(F2609&gt;=H2609,"Alert","Pass"))</f>
        <v/>
      </c>
      <c r="K2609" s="4">
        <f>DATE(YEAR(B2609),MONTH(B2609),1)</f>
        <v/>
      </c>
    </row>
    <row r="2610">
      <c r="A2610" t="inlineStr">
        <is>
          <t>EM002609</t>
        </is>
      </c>
      <c r="B2610" s="7" t="n">
        <v>46218</v>
      </c>
      <c r="C2610" t="inlineStr">
        <is>
          <t>CR-102</t>
        </is>
      </c>
      <c r="D2610" t="inlineStr">
        <is>
          <t>ISO 7</t>
        </is>
      </c>
      <c r="E2610" t="inlineStr">
        <is>
          <t>Surface contact</t>
        </is>
      </c>
      <c r="F2610" t="n">
        <v>1</v>
      </c>
      <c r="G2610" t="inlineStr">
        <is>
          <t>Tech B</t>
        </is>
      </c>
      <c r="H2610">
        <f>INDEX(Limits!$B$2:$B$5,MATCH(E2610,Limits!$A$2:$A$5,0))</f>
        <v/>
      </c>
      <c r="I2610">
        <f>INDEX(Limits!$C$2:$C$5,MATCH(E2610,Limits!$A$2:$A$5,0))</f>
        <v/>
      </c>
      <c r="J2610">
        <f>IF(F2610&gt;=I2610,"Action",IF(F2610&gt;=H2610,"Alert","Pass"))</f>
        <v/>
      </c>
      <c r="K2610" s="4">
        <f>DATE(YEAR(B2610),MONTH(B2610),1)</f>
        <v/>
      </c>
    </row>
    <row r="2611">
      <c r="A2611" t="inlineStr">
        <is>
          <t>EM002610</t>
        </is>
      </c>
      <c r="B2611" s="7" t="n">
        <v>46218</v>
      </c>
      <c r="C2611" t="inlineStr">
        <is>
          <t>CR-102</t>
        </is>
      </c>
      <c r="D2611" t="inlineStr">
        <is>
          <t>ISO 7</t>
        </is>
      </c>
      <c r="E2611" t="inlineStr">
        <is>
          <t>Compressed air</t>
        </is>
      </c>
      <c r="F2611" t="n">
        <v>0</v>
      </c>
      <c r="G2611" t="inlineStr">
        <is>
          <t>Tech A</t>
        </is>
      </c>
      <c r="H2611">
        <f>INDEX(Limits!$B$2:$B$5,MATCH(E2611,Limits!$A$2:$A$5,0))</f>
        <v/>
      </c>
      <c r="I2611">
        <f>INDEX(Limits!$C$2:$C$5,MATCH(E2611,Limits!$A$2:$A$5,0))</f>
        <v/>
      </c>
      <c r="J2611">
        <f>IF(F2611&gt;=I2611,"Action",IF(F2611&gt;=H2611,"Alert","Pass"))</f>
        <v/>
      </c>
      <c r="K2611" s="4">
        <f>DATE(YEAR(B2611),MONTH(B2611),1)</f>
        <v/>
      </c>
    </row>
    <row r="2612">
      <c r="A2612" t="inlineStr">
        <is>
          <t>EM002611</t>
        </is>
      </c>
      <c r="B2612" s="7" t="n">
        <v>46218</v>
      </c>
      <c r="C2612" t="inlineStr">
        <is>
          <t>CR-102</t>
        </is>
      </c>
      <c r="D2612" t="inlineStr">
        <is>
          <t>ISO 7</t>
        </is>
      </c>
      <c r="E2612" t="inlineStr">
        <is>
          <t>Personnel glove</t>
        </is>
      </c>
      <c r="F2612" t="n">
        <v>0</v>
      </c>
      <c r="G2612" t="inlineStr">
        <is>
          <t>Tech B</t>
        </is>
      </c>
      <c r="H2612">
        <f>INDEX(Limits!$B$2:$B$5,MATCH(E2612,Limits!$A$2:$A$5,0))</f>
        <v/>
      </c>
      <c r="I2612">
        <f>INDEX(Limits!$C$2:$C$5,MATCH(E2612,Limits!$A$2:$A$5,0))</f>
        <v/>
      </c>
      <c r="J2612">
        <f>IF(F2612&gt;=I2612,"Action",IF(F2612&gt;=H2612,"Alert","Pass"))</f>
        <v/>
      </c>
      <c r="K2612" s="4">
        <f>DATE(YEAR(B2612),MONTH(B2612),1)</f>
        <v/>
      </c>
    </row>
    <row r="2613">
      <c r="A2613" t="inlineStr">
        <is>
          <t>EM002612</t>
        </is>
      </c>
      <c r="B2613" s="7" t="n">
        <v>46218</v>
      </c>
      <c r="C2613" t="inlineStr">
        <is>
          <t>CR-201</t>
        </is>
      </c>
      <c r="D2613" t="inlineStr">
        <is>
          <t>ISO 8</t>
        </is>
      </c>
      <c r="E2613" t="inlineStr">
        <is>
          <t>Active air</t>
        </is>
      </c>
      <c r="F2613" t="n">
        <v>3</v>
      </c>
      <c r="G2613" t="inlineStr">
        <is>
          <t>Tech B</t>
        </is>
      </c>
      <c r="H2613">
        <f>INDEX(Limits!$B$2:$B$5,MATCH(E2613,Limits!$A$2:$A$5,0))</f>
        <v/>
      </c>
      <c r="I2613">
        <f>INDEX(Limits!$C$2:$C$5,MATCH(E2613,Limits!$A$2:$A$5,0))</f>
        <v/>
      </c>
      <c r="J2613">
        <f>IF(F2613&gt;=I2613,"Action",IF(F2613&gt;=H2613,"Alert","Pass"))</f>
        <v/>
      </c>
      <c r="K2613" s="4">
        <f>DATE(YEAR(B2613),MONTH(B2613),1)</f>
        <v/>
      </c>
    </row>
    <row r="2614">
      <c r="A2614" t="inlineStr">
        <is>
          <t>EM002613</t>
        </is>
      </c>
      <c r="B2614" s="7" t="n">
        <v>46218</v>
      </c>
      <c r="C2614" t="inlineStr">
        <is>
          <t>CR-201</t>
        </is>
      </c>
      <c r="D2614" t="inlineStr">
        <is>
          <t>ISO 8</t>
        </is>
      </c>
      <c r="E2614" t="inlineStr">
        <is>
          <t>Surface contact</t>
        </is>
      </c>
      <c r="F2614" t="n">
        <v>0</v>
      </c>
      <c r="G2614" t="inlineStr">
        <is>
          <t>Tech A</t>
        </is>
      </c>
      <c r="H2614">
        <f>INDEX(Limits!$B$2:$B$5,MATCH(E2614,Limits!$A$2:$A$5,0))</f>
        <v/>
      </c>
      <c r="I2614">
        <f>INDEX(Limits!$C$2:$C$5,MATCH(E2614,Limits!$A$2:$A$5,0))</f>
        <v/>
      </c>
      <c r="J2614">
        <f>IF(F2614&gt;=I2614,"Action",IF(F2614&gt;=H2614,"Alert","Pass"))</f>
        <v/>
      </c>
      <c r="K2614" s="4">
        <f>DATE(YEAR(B2614),MONTH(B2614),1)</f>
        <v/>
      </c>
    </row>
    <row r="2615">
      <c r="A2615" t="inlineStr">
        <is>
          <t>EM002614</t>
        </is>
      </c>
      <c r="B2615" s="7" t="n">
        <v>46218</v>
      </c>
      <c r="C2615" t="inlineStr">
        <is>
          <t>CR-201</t>
        </is>
      </c>
      <c r="D2615" t="inlineStr">
        <is>
          <t>ISO 8</t>
        </is>
      </c>
      <c r="E2615" t="inlineStr">
        <is>
          <t>Compressed air</t>
        </is>
      </c>
      <c r="F2615" t="n">
        <v>0</v>
      </c>
      <c r="G2615" t="inlineStr">
        <is>
          <t>Tech A</t>
        </is>
      </c>
      <c r="H2615">
        <f>INDEX(Limits!$B$2:$B$5,MATCH(E2615,Limits!$A$2:$A$5,0))</f>
        <v/>
      </c>
      <c r="I2615">
        <f>INDEX(Limits!$C$2:$C$5,MATCH(E2615,Limits!$A$2:$A$5,0))</f>
        <v/>
      </c>
      <c r="J2615">
        <f>IF(F2615&gt;=I2615,"Action",IF(F2615&gt;=H2615,"Alert","Pass"))</f>
        <v/>
      </c>
      <c r="K2615" s="4">
        <f>DATE(YEAR(B2615),MONTH(B2615),1)</f>
        <v/>
      </c>
    </row>
    <row r="2616">
      <c r="A2616" t="inlineStr">
        <is>
          <t>EM002615</t>
        </is>
      </c>
      <c r="B2616" s="7" t="n">
        <v>46218</v>
      </c>
      <c r="C2616" t="inlineStr">
        <is>
          <t>CR-201</t>
        </is>
      </c>
      <c r="D2616" t="inlineStr">
        <is>
          <t>ISO 8</t>
        </is>
      </c>
      <c r="E2616" t="inlineStr">
        <is>
          <t>Personnel glove</t>
        </is>
      </c>
      <c r="F2616" t="n">
        <v>0</v>
      </c>
      <c r="G2616" t="inlineStr">
        <is>
          <t>Tech C</t>
        </is>
      </c>
      <c r="H2616">
        <f>INDEX(Limits!$B$2:$B$5,MATCH(E2616,Limits!$A$2:$A$5,0))</f>
        <v/>
      </c>
      <c r="I2616">
        <f>INDEX(Limits!$C$2:$C$5,MATCH(E2616,Limits!$A$2:$A$5,0))</f>
        <v/>
      </c>
      <c r="J2616">
        <f>IF(F2616&gt;=I2616,"Action",IF(F2616&gt;=H2616,"Alert","Pass"))</f>
        <v/>
      </c>
      <c r="K2616" s="4">
        <f>DATE(YEAR(B2616),MONTH(B2616),1)</f>
        <v/>
      </c>
    </row>
    <row r="2617">
      <c r="A2617" t="inlineStr">
        <is>
          <t>EM002616</t>
        </is>
      </c>
      <c r="B2617" s="7" t="n">
        <v>46218</v>
      </c>
      <c r="C2617" t="inlineStr">
        <is>
          <t>CR-202</t>
        </is>
      </c>
      <c r="D2617" t="inlineStr">
        <is>
          <t>ISO 8</t>
        </is>
      </c>
      <c r="E2617" t="inlineStr">
        <is>
          <t>Active air</t>
        </is>
      </c>
      <c r="F2617" t="n">
        <v>1</v>
      </c>
      <c r="G2617" t="inlineStr">
        <is>
          <t>Tech D</t>
        </is>
      </c>
      <c r="H2617">
        <f>INDEX(Limits!$B$2:$B$5,MATCH(E2617,Limits!$A$2:$A$5,0))</f>
        <v/>
      </c>
      <c r="I2617">
        <f>INDEX(Limits!$C$2:$C$5,MATCH(E2617,Limits!$A$2:$A$5,0))</f>
        <v/>
      </c>
      <c r="J2617">
        <f>IF(F2617&gt;=I2617,"Action",IF(F2617&gt;=H2617,"Alert","Pass"))</f>
        <v/>
      </c>
      <c r="K2617" s="4">
        <f>DATE(YEAR(B2617),MONTH(B2617),1)</f>
        <v/>
      </c>
    </row>
    <row r="2618">
      <c r="A2618" t="inlineStr">
        <is>
          <t>EM002617</t>
        </is>
      </c>
      <c r="B2618" s="7" t="n">
        <v>46218</v>
      </c>
      <c r="C2618" t="inlineStr">
        <is>
          <t>CR-202</t>
        </is>
      </c>
      <c r="D2618" t="inlineStr">
        <is>
          <t>ISO 8</t>
        </is>
      </c>
      <c r="E2618" t="inlineStr">
        <is>
          <t>Surface contact</t>
        </is>
      </c>
      <c r="F2618" t="n">
        <v>1</v>
      </c>
      <c r="G2618" t="inlineStr">
        <is>
          <t>Tech B</t>
        </is>
      </c>
      <c r="H2618">
        <f>INDEX(Limits!$B$2:$B$5,MATCH(E2618,Limits!$A$2:$A$5,0))</f>
        <v/>
      </c>
      <c r="I2618">
        <f>INDEX(Limits!$C$2:$C$5,MATCH(E2618,Limits!$A$2:$A$5,0))</f>
        <v/>
      </c>
      <c r="J2618">
        <f>IF(F2618&gt;=I2618,"Action",IF(F2618&gt;=H2618,"Alert","Pass"))</f>
        <v/>
      </c>
      <c r="K2618" s="4">
        <f>DATE(YEAR(B2618),MONTH(B2618),1)</f>
        <v/>
      </c>
    </row>
    <row r="2619">
      <c r="A2619" t="inlineStr">
        <is>
          <t>EM002618</t>
        </is>
      </c>
      <c r="B2619" s="7" t="n">
        <v>46218</v>
      </c>
      <c r="C2619" t="inlineStr">
        <is>
          <t>CR-202</t>
        </is>
      </c>
      <c r="D2619" t="inlineStr">
        <is>
          <t>ISO 8</t>
        </is>
      </c>
      <c r="E2619" t="inlineStr">
        <is>
          <t>Compressed air</t>
        </is>
      </c>
      <c r="F2619" t="n">
        <v>0</v>
      </c>
      <c r="G2619" t="inlineStr">
        <is>
          <t>Tech D</t>
        </is>
      </c>
      <c r="H2619">
        <f>INDEX(Limits!$B$2:$B$5,MATCH(E2619,Limits!$A$2:$A$5,0))</f>
        <v/>
      </c>
      <c r="I2619">
        <f>INDEX(Limits!$C$2:$C$5,MATCH(E2619,Limits!$A$2:$A$5,0))</f>
        <v/>
      </c>
      <c r="J2619">
        <f>IF(F2619&gt;=I2619,"Action",IF(F2619&gt;=H2619,"Alert","Pass"))</f>
        <v/>
      </c>
      <c r="K2619" s="4">
        <f>DATE(YEAR(B2619),MONTH(B2619),1)</f>
        <v/>
      </c>
    </row>
    <row r="2620">
      <c r="A2620" t="inlineStr">
        <is>
          <t>EM002619</t>
        </is>
      </c>
      <c r="B2620" s="7" t="n">
        <v>46218</v>
      </c>
      <c r="C2620" t="inlineStr">
        <is>
          <t>CR-202</t>
        </is>
      </c>
      <c r="D2620" t="inlineStr">
        <is>
          <t>ISO 8</t>
        </is>
      </c>
      <c r="E2620" t="inlineStr">
        <is>
          <t>Personnel glove</t>
        </is>
      </c>
      <c r="F2620" t="n">
        <v>1</v>
      </c>
      <c r="G2620" t="inlineStr">
        <is>
          <t>Tech A</t>
        </is>
      </c>
      <c r="H2620">
        <f>INDEX(Limits!$B$2:$B$5,MATCH(E2620,Limits!$A$2:$A$5,0))</f>
        <v/>
      </c>
      <c r="I2620">
        <f>INDEX(Limits!$C$2:$C$5,MATCH(E2620,Limits!$A$2:$A$5,0))</f>
        <v/>
      </c>
      <c r="J2620">
        <f>IF(F2620&gt;=I2620,"Action",IF(F2620&gt;=H2620,"Alert","Pass"))</f>
        <v/>
      </c>
      <c r="K2620" s="4">
        <f>DATE(YEAR(B2620),MONTH(B2620),1)</f>
        <v/>
      </c>
    </row>
    <row r="2621">
      <c r="A2621" t="inlineStr">
        <is>
          <t>EM002620</t>
        </is>
      </c>
      <c r="B2621" s="7" t="n">
        <v>46218</v>
      </c>
      <c r="C2621" t="inlineStr">
        <is>
          <t>Gowning</t>
        </is>
      </c>
      <c r="D2621" t="inlineStr">
        <is>
          <t>ISO 8</t>
        </is>
      </c>
      <c r="E2621" t="inlineStr">
        <is>
          <t>Active air</t>
        </is>
      </c>
      <c r="F2621" t="n">
        <v>1</v>
      </c>
      <c r="G2621" t="inlineStr">
        <is>
          <t>Tech D</t>
        </is>
      </c>
      <c r="H2621">
        <f>INDEX(Limits!$B$2:$B$5,MATCH(E2621,Limits!$A$2:$A$5,0))</f>
        <v/>
      </c>
      <c r="I2621">
        <f>INDEX(Limits!$C$2:$C$5,MATCH(E2621,Limits!$A$2:$A$5,0))</f>
        <v/>
      </c>
      <c r="J2621">
        <f>IF(F2621&gt;=I2621,"Action",IF(F2621&gt;=H2621,"Alert","Pass"))</f>
        <v/>
      </c>
      <c r="K2621" s="4">
        <f>DATE(YEAR(B2621),MONTH(B2621),1)</f>
        <v/>
      </c>
    </row>
    <row r="2622">
      <c r="A2622" t="inlineStr">
        <is>
          <t>EM002621</t>
        </is>
      </c>
      <c r="B2622" s="7" t="n">
        <v>46218</v>
      </c>
      <c r="C2622" t="inlineStr">
        <is>
          <t>Gowning</t>
        </is>
      </c>
      <c r="D2622" t="inlineStr">
        <is>
          <t>ISO 8</t>
        </is>
      </c>
      <c r="E2622" t="inlineStr">
        <is>
          <t>Surface contact</t>
        </is>
      </c>
      <c r="F2622" t="n">
        <v>2</v>
      </c>
      <c r="G2622" t="inlineStr">
        <is>
          <t>Tech B</t>
        </is>
      </c>
      <c r="H2622">
        <f>INDEX(Limits!$B$2:$B$5,MATCH(E2622,Limits!$A$2:$A$5,0))</f>
        <v/>
      </c>
      <c r="I2622">
        <f>INDEX(Limits!$C$2:$C$5,MATCH(E2622,Limits!$A$2:$A$5,0))</f>
        <v/>
      </c>
      <c r="J2622">
        <f>IF(F2622&gt;=I2622,"Action",IF(F2622&gt;=H2622,"Alert","Pass"))</f>
        <v/>
      </c>
      <c r="K2622" s="4">
        <f>DATE(YEAR(B2622),MONTH(B2622),1)</f>
        <v/>
      </c>
    </row>
    <row r="2623">
      <c r="A2623" t="inlineStr">
        <is>
          <t>EM002622</t>
        </is>
      </c>
      <c r="B2623" s="7" t="n">
        <v>46218</v>
      </c>
      <c r="C2623" t="inlineStr">
        <is>
          <t>Gowning</t>
        </is>
      </c>
      <c r="D2623" t="inlineStr">
        <is>
          <t>ISO 8</t>
        </is>
      </c>
      <c r="E2623" t="inlineStr">
        <is>
          <t>Personnel glove</t>
        </is>
      </c>
      <c r="F2623" t="n">
        <v>0</v>
      </c>
      <c r="G2623" t="inlineStr">
        <is>
          <t>Tech C</t>
        </is>
      </c>
      <c r="H2623">
        <f>INDEX(Limits!$B$2:$B$5,MATCH(E2623,Limits!$A$2:$A$5,0))</f>
        <v/>
      </c>
      <c r="I2623">
        <f>INDEX(Limits!$C$2:$C$5,MATCH(E2623,Limits!$A$2:$A$5,0))</f>
        <v/>
      </c>
      <c r="J2623">
        <f>IF(F2623&gt;=I2623,"Action",IF(F2623&gt;=H2623,"Alert","Pass"))</f>
        <v/>
      </c>
      <c r="K2623" s="4">
        <f>DATE(YEAR(B2623),MONTH(B2623),1)</f>
        <v/>
      </c>
    </row>
    <row r="2624">
      <c r="A2624" t="inlineStr">
        <is>
          <t>EM002623</t>
        </is>
      </c>
      <c r="B2624" s="7" t="n">
        <v>46219</v>
      </c>
      <c r="C2624" t="inlineStr">
        <is>
          <t>CR-101</t>
        </is>
      </c>
      <c r="D2624" t="inlineStr">
        <is>
          <t>ISO 7</t>
        </is>
      </c>
      <c r="E2624" t="inlineStr">
        <is>
          <t>Active air</t>
        </is>
      </c>
      <c r="F2624" t="n">
        <v>4</v>
      </c>
      <c r="G2624" t="inlineStr">
        <is>
          <t>Tech B</t>
        </is>
      </c>
      <c r="H2624">
        <f>INDEX(Limits!$B$2:$B$5,MATCH(E2624,Limits!$A$2:$A$5,0))</f>
        <v/>
      </c>
      <c r="I2624">
        <f>INDEX(Limits!$C$2:$C$5,MATCH(E2624,Limits!$A$2:$A$5,0))</f>
        <v/>
      </c>
      <c r="J2624">
        <f>IF(F2624&gt;=I2624,"Action",IF(F2624&gt;=H2624,"Alert","Pass"))</f>
        <v/>
      </c>
      <c r="K2624" s="4">
        <f>DATE(YEAR(B2624),MONTH(B2624),1)</f>
        <v/>
      </c>
    </row>
    <row r="2625">
      <c r="A2625" t="inlineStr">
        <is>
          <t>EM002624</t>
        </is>
      </c>
      <c r="B2625" s="7" t="n">
        <v>46219</v>
      </c>
      <c r="C2625" t="inlineStr">
        <is>
          <t>CR-101</t>
        </is>
      </c>
      <c r="D2625" t="inlineStr">
        <is>
          <t>ISO 7</t>
        </is>
      </c>
      <c r="E2625" t="inlineStr">
        <is>
          <t>Surface contact</t>
        </is>
      </c>
      <c r="F2625" t="n">
        <v>1</v>
      </c>
      <c r="G2625" t="inlineStr">
        <is>
          <t>Tech C</t>
        </is>
      </c>
      <c r="H2625">
        <f>INDEX(Limits!$B$2:$B$5,MATCH(E2625,Limits!$A$2:$A$5,0))</f>
        <v/>
      </c>
      <c r="I2625">
        <f>INDEX(Limits!$C$2:$C$5,MATCH(E2625,Limits!$A$2:$A$5,0))</f>
        <v/>
      </c>
      <c r="J2625">
        <f>IF(F2625&gt;=I2625,"Action",IF(F2625&gt;=H2625,"Alert","Pass"))</f>
        <v/>
      </c>
      <c r="K2625" s="4">
        <f>DATE(YEAR(B2625),MONTH(B2625),1)</f>
        <v/>
      </c>
    </row>
    <row r="2626">
      <c r="A2626" t="inlineStr">
        <is>
          <t>EM002625</t>
        </is>
      </c>
      <c r="B2626" s="7" t="n">
        <v>46219</v>
      </c>
      <c r="C2626" t="inlineStr">
        <is>
          <t>CR-101</t>
        </is>
      </c>
      <c r="D2626" t="inlineStr">
        <is>
          <t>ISO 7</t>
        </is>
      </c>
      <c r="E2626" t="inlineStr">
        <is>
          <t>Compressed air</t>
        </is>
      </c>
      <c r="F2626" t="n">
        <v>0</v>
      </c>
      <c r="G2626" t="inlineStr">
        <is>
          <t>Tech B</t>
        </is>
      </c>
      <c r="H2626">
        <f>INDEX(Limits!$B$2:$B$5,MATCH(E2626,Limits!$A$2:$A$5,0))</f>
        <v/>
      </c>
      <c r="I2626">
        <f>INDEX(Limits!$C$2:$C$5,MATCH(E2626,Limits!$A$2:$A$5,0))</f>
        <v/>
      </c>
      <c r="J2626">
        <f>IF(F2626&gt;=I2626,"Action",IF(F2626&gt;=H2626,"Alert","Pass"))</f>
        <v/>
      </c>
      <c r="K2626" s="4">
        <f>DATE(YEAR(B2626),MONTH(B2626),1)</f>
        <v/>
      </c>
    </row>
    <row r="2627">
      <c r="A2627" t="inlineStr">
        <is>
          <t>EM002626</t>
        </is>
      </c>
      <c r="B2627" s="7" t="n">
        <v>46219</v>
      </c>
      <c r="C2627" t="inlineStr">
        <is>
          <t>CR-101</t>
        </is>
      </c>
      <c r="D2627" t="inlineStr">
        <is>
          <t>ISO 7</t>
        </is>
      </c>
      <c r="E2627" t="inlineStr">
        <is>
          <t>Personnel glove</t>
        </is>
      </c>
      <c r="F2627" t="n">
        <v>0</v>
      </c>
      <c r="G2627" t="inlineStr">
        <is>
          <t>Tech C</t>
        </is>
      </c>
      <c r="H2627">
        <f>INDEX(Limits!$B$2:$B$5,MATCH(E2627,Limits!$A$2:$A$5,0))</f>
        <v/>
      </c>
      <c r="I2627">
        <f>INDEX(Limits!$C$2:$C$5,MATCH(E2627,Limits!$A$2:$A$5,0))</f>
        <v/>
      </c>
      <c r="J2627">
        <f>IF(F2627&gt;=I2627,"Action",IF(F2627&gt;=H2627,"Alert","Pass"))</f>
        <v/>
      </c>
      <c r="K2627" s="4">
        <f>DATE(YEAR(B2627),MONTH(B2627),1)</f>
        <v/>
      </c>
    </row>
    <row r="2628">
      <c r="A2628" t="inlineStr">
        <is>
          <t>EM002627</t>
        </is>
      </c>
      <c r="B2628" s="7" t="n">
        <v>46219</v>
      </c>
      <c r="C2628" t="inlineStr">
        <is>
          <t>CR-102</t>
        </is>
      </c>
      <c r="D2628" t="inlineStr">
        <is>
          <t>ISO 7</t>
        </is>
      </c>
      <c r="E2628" t="inlineStr">
        <is>
          <t>Active air</t>
        </is>
      </c>
      <c r="F2628" t="n">
        <v>1</v>
      </c>
      <c r="G2628" t="inlineStr">
        <is>
          <t>Tech C</t>
        </is>
      </c>
      <c r="H2628">
        <f>INDEX(Limits!$B$2:$B$5,MATCH(E2628,Limits!$A$2:$A$5,0))</f>
        <v/>
      </c>
      <c r="I2628">
        <f>INDEX(Limits!$C$2:$C$5,MATCH(E2628,Limits!$A$2:$A$5,0))</f>
        <v/>
      </c>
      <c r="J2628">
        <f>IF(F2628&gt;=I2628,"Action",IF(F2628&gt;=H2628,"Alert","Pass"))</f>
        <v/>
      </c>
      <c r="K2628" s="4">
        <f>DATE(YEAR(B2628),MONTH(B2628),1)</f>
        <v/>
      </c>
    </row>
    <row r="2629">
      <c r="A2629" t="inlineStr">
        <is>
          <t>EM002628</t>
        </is>
      </c>
      <c r="B2629" s="7" t="n">
        <v>46219</v>
      </c>
      <c r="C2629" t="inlineStr">
        <is>
          <t>CR-102</t>
        </is>
      </c>
      <c r="D2629" t="inlineStr">
        <is>
          <t>ISO 7</t>
        </is>
      </c>
      <c r="E2629" t="inlineStr">
        <is>
          <t>Surface contact</t>
        </is>
      </c>
      <c r="F2629" t="n">
        <v>2</v>
      </c>
      <c r="G2629" t="inlineStr">
        <is>
          <t>Tech C</t>
        </is>
      </c>
      <c r="H2629">
        <f>INDEX(Limits!$B$2:$B$5,MATCH(E2629,Limits!$A$2:$A$5,0))</f>
        <v/>
      </c>
      <c r="I2629">
        <f>INDEX(Limits!$C$2:$C$5,MATCH(E2629,Limits!$A$2:$A$5,0))</f>
        <v/>
      </c>
      <c r="J2629">
        <f>IF(F2629&gt;=I2629,"Action",IF(F2629&gt;=H2629,"Alert","Pass"))</f>
        <v/>
      </c>
      <c r="K2629" s="4">
        <f>DATE(YEAR(B2629),MONTH(B2629),1)</f>
        <v/>
      </c>
    </row>
    <row r="2630">
      <c r="A2630" t="inlineStr">
        <is>
          <t>EM002629</t>
        </is>
      </c>
      <c r="B2630" s="7" t="n">
        <v>46219</v>
      </c>
      <c r="C2630" t="inlineStr">
        <is>
          <t>CR-102</t>
        </is>
      </c>
      <c r="D2630" t="inlineStr">
        <is>
          <t>ISO 7</t>
        </is>
      </c>
      <c r="E2630" t="inlineStr">
        <is>
          <t>Compressed air</t>
        </is>
      </c>
      <c r="F2630" t="n">
        <v>0</v>
      </c>
      <c r="G2630" t="inlineStr">
        <is>
          <t>Tech C</t>
        </is>
      </c>
      <c r="H2630">
        <f>INDEX(Limits!$B$2:$B$5,MATCH(E2630,Limits!$A$2:$A$5,0))</f>
        <v/>
      </c>
      <c r="I2630">
        <f>INDEX(Limits!$C$2:$C$5,MATCH(E2630,Limits!$A$2:$A$5,0))</f>
        <v/>
      </c>
      <c r="J2630">
        <f>IF(F2630&gt;=I2630,"Action",IF(F2630&gt;=H2630,"Alert","Pass"))</f>
        <v/>
      </c>
      <c r="K2630" s="4">
        <f>DATE(YEAR(B2630),MONTH(B2630),1)</f>
        <v/>
      </c>
    </row>
    <row r="2631">
      <c r="A2631" t="inlineStr">
        <is>
          <t>EM002630</t>
        </is>
      </c>
      <c r="B2631" s="7" t="n">
        <v>46219</v>
      </c>
      <c r="C2631" t="inlineStr">
        <is>
          <t>CR-102</t>
        </is>
      </c>
      <c r="D2631" t="inlineStr">
        <is>
          <t>ISO 7</t>
        </is>
      </c>
      <c r="E2631" t="inlineStr">
        <is>
          <t>Personnel glove</t>
        </is>
      </c>
      <c r="F2631" t="n">
        <v>0</v>
      </c>
      <c r="G2631" t="inlineStr">
        <is>
          <t>Tech D</t>
        </is>
      </c>
      <c r="H2631">
        <f>INDEX(Limits!$B$2:$B$5,MATCH(E2631,Limits!$A$2:$A$5,0))</f>
        <v/>
      </c>
      <c r="I2631">
        <f>INDEX(Limits!$C$2:$C$5,MATCH(E2631,Limits!$A$2:$A$5,0))</f>
        <v/>
      </c>
      <c r="J2631">
        <f>IF(F2631&gt;=I2631,"Action",IF(F2631&gt;=H2631,"Alert","Pass"))</f>
        <v/>
      </c>
      <c r="K2631" s="4">
        <f>DATE(YEAR(B2631),MONTH(B2631),1)</f>
        <v/>
      </c>
    </row>
    <row r="2632">
      <c r="A2632" t="inlineStr">
        <is>
          <t>EM002631</t>
        </is>
      </c>
      <c r="B2632" s="7" t="n">
        <v>46219</v>
      </c>
      <c r="C2632" t="inlineStr">
        <is>
          <t>CR-201</t>
        </is>
      </c>
      <c r="D2632" t="inlineStr">
        <is>
          <t>ISO 8</t>
        </is>
      </c>
      <c r="E2632" t="inlineStr">
        <is>
          <t>Active air</t>
        </is>
      </c>
      <c r="F2632" t="n">
        <v>0</v>
      </c>
      <c r="G2632" t="inlineStr">
        <is>
          <t>Tech A</t>
        </is>
      </c>
      <c r="H2632">
        <f>INDEX(Limits!$B$2:$B$5,MATCH(E2632,Limits!$A$2:$A$5,0))</f>
        <v/>
      </c>
      <c r="I2632">
        <f>INDEX(Limits!$C$2:$C$5,MATCH(E2632,Limits!$A$2:$A$5,0))</f>
        <v/>
      </c>
      <c r="J2632">
        <f>IF(F2632&gt;=I2632,"Action",IF(F2632&gt;=H2632,"Alert","Pass"))</f>
        <v/>
      </c>
      <c r="K2632" s="4">
        <f>DATE(YEAR(B2632),MONTH(B2632),1)</f>
        <v/>
      </c>
    </row>
    <row r="2633">
      <c r="A2633" t="inlineStr">
        <is>
          <t>EM002632</t>
        </is>
      </c>
      <c r="B2633" s="7" t="n">
        <v>46219</v>
      </c>
      <c r="C2633" t="inlineStr">
        <is>
          <t>CR-201</t>
        </is>
      </c>
      <c r="D2633" t="inlineStr">
        <is>
          <t>ISO 8</t>
        </is>
      </c>
      <c r="E2633" t="inlineStr">
        <is>
          <t>Surface contact</t>
        </is>
      </c>
      <c r="F2633" t="n">
        <v>0</v>
      </c>
      <c r="G2633" t="inlineStr">
        <is>
          <t>Tech B</t>
        </is>
      </c>
      <c r="H2633">
        <f>INDEX(Limits!$B$2:$B$5,MATCH(E2633,Limits!$A$2:$A$5,0))</f>
        <v/>
      </c>
      <c r="I2633">
        <f>INDEX(Limits!$C$2:$C$5,MATCH(E2633,Limits!$A$2:$A$5,0))</f>
        <v/>
      </c>
      <c r="J2633">
        <f>IF(F2633&gt;=I2633,"Action",IF(F2633&gt;=H2633,"Alert","Pass"))</f>
        <v/>
      </c>
      <c r="K2633" s="4">
        <f>DATE(YEAR(B2633),MONTH(B2633),1)</f>
        <v/>
      </c>
    </row>
    <row r="2634">
      <c r="A2634" t="inlineStr">
        <is>
          <t>EM002633</t>
        </is>
      </c>
      <c r="B2634" s="7" t="n">
        <v>46219</v>
      </c>
      <c r="C2634" t="inlineStr">
        <is>
          <t>CR-201</t>
        </is>
      </c>
      <c r="D2634" t="inlineStr">
        <is>
          <t>ISO 8</t>
        </is>
      </c>
      <c r="E2634" t="inlineStr">
        <is>
          <t>Compressed air</t>
        </is>
      </c>
      <c r="F2634" t="n">
        <v>0</v>
      </c>
      <c r="G2634" t="inlineStr">
        <is>
          <t>Tech D</t>
        </is>
      </c>
      <c r="H2634">
        <f>INDEX(Limits!$B$2:$B$5,MATCH(E2634,Limits!$A$2:$A$5,0))</f>
        <v/>
      </c>
      <c r="I2634">
        <f>INDEX(Limits!$C$2:$C$5,MATCH(E2634,Limits!$A$2:$A$5,0))</f>
        <v/>
      </c>
      <c r="J2634">
        <f>IF(F2634&gt;=I2634,"Action",IF(F2634&gt;=H2634,"Alert","Pass"))</f>
        <v/>
      </c>
      <c r="K2634" s="4">
        <f>DATE(YEAR(B2634),MONTH(B2634),1)</f>
        <v/>
      </c>
    </row>
    <row r="2635">
      <c r="A2635" t="inlineStr">
        <is>
          <t>EM002634</t>
        </is>
      </c>
      <c r="B2635" s="7" t="n">
        <v>46219</v>
      </c>
      <c r="C2635" t="inlineStr">
        <is>
          <t>CR-201</t>
        </is>
      </c>
      <c r="D2635" t="inlineStr">
        <is>
          <t>ISO 8</t>
        </is>
      </c>
      <c r="E2635" t="inlineStr">
        <is>
          <t>Personnel glove</t>
        </is>
      </c>
      <c r="F2635" t="n">
        <v>1</v>
      </c>
      <c r="G2635" t="inlineStr">
        <is>
          <t>Tech B</t>
        </is>
      </c>
      <c r="H2635">
        <f>INDEX(Limits!$B$2:$B$5,MATCH(E2635,Limits!$A$2:$A$5,0))</f>
        <v/>
      </c>
      <c r="I2635">
        <f>INDEX(Limits!$C$2:$C$5,MATCH(E2635,Limits!$A$2:$A$5,0))</f>
        <v/>
      </c>
      <c r="J2635">
        <f>IF(F2635&gt;=I2635,"Action",IF(F2635&gt;=H2635,"Alert","Pass"))</f>
        <v/>
      </c>
      <c r="K2635" s="4">
        <f>DATE(YEAR(B2635),MONTH(B2635),1)</f>
        <v/>
      </c>
    </row>
    <row r="2636">
      <c r="A2636" t="inlineStr">
        <is>
          <t>EM002635</t>
        </is>
      </c>
      <c r="B2636" s="7" t="n">
        <v>46219</v>
      </c>
      <c r="C2636" t="inlineStr">
        <is>
          <t>CR-202</t>
        </is>
      </c>
      <c r="D2636" t="inlineStr">
        <is>
          <t>ISO 8</t>
        </is>
      </c>
      <c r="E2636" t="inlineStr">
        <is>
          <t>Active air</t>
        </is>
      </c>
      <c r="F2636" t="n">
        <v>3</v>
      </c>
      <c r="G2636" t="inlineStr">
        <is>
          <t>Tech C</t>
        </is>
      </c>
      <c r="H2636">
        <f>INDEX(Limits!$B$2:$B$5,MATCH(E2636,Limits!$A$2:$A$5,0))</f>
        <v/>
      </c>
      <c r="I2636">
        <f>INDEX(Limits!$C$2:$C$5,MATCH(E2636,Limits!$A$2:$A$5,0))</f>
        <v/>
      </c>
      <c r="J2636">
        <f>IF(F2636&gt;=I2636,"Action",IF(F2636&gt;=H2636,"Alert","Pass"))</f>
        <v/>
      </c>
      <c r="K2636" s="4">
        <f>DATE(YEAR(B2636),MONTH(B2636),1)</f>
        <v/>
      </c>
    </row>
    <row r="2637">
      <c r="A2637" t="inlineStr">
        <is>
          <t>EM002636</t>
        </is>
      </c>
      <c r="B2637" s="7" t="n">
        <v>46219</v>
      </c>
      <c r="C2637" t="inlineStr">
        <is>
          <t>CR-202</t>
        </is>
      </c>
      <c r="D2637" t="inlineStr">
        <is>
          <t>ISO 8</t>
        </is>
      </c>
      <c r="E2637" t="inlineStr">
        <is>
          <t>Surface contact</t>
        </is>
      </c>
      <c r="F2637" t="n">
        <v>0</v>
      </c>
      <c r="G2637" t="inlineStr">
        <is>
          <t>Tech D</t>
        </is>
      </c>
      <c r="H2637">
        <f>INDEX(Limits!$B$2:$B$5,MATCH(E2637,Limits!$A$2:$A$5,0))</f>
        <v/>
      </c>
      <c r="I2637">
        <f>INDEX(Limits!$C$2:$C$5,MATCH(E2637,Limits!$A$2:$A$5,0))</f>
        <v/>
      </c>
      <c r="J2637">
        <f>IF(F2637&gt;=I2637,"Action",IF(F2637&gt;=H2637,"Alert","Pass"))</f>
        <v/>
      </c>
      <c r="K2637" s="4">
        <f>DATE(YEAR(B2637),MONTH(B2637),1)</f>
        <v/>
      </c>
    </row>
    <row r="2638">
      <c r="A2638" t="inlineStr">
        <is>
          <t>EM002637</t>
        </is>
      </c>
      <c r="B2638" s="7" t="n">
        <v>46219</v>
      </c>
      <c r="C2638" t="inlineStr">
        <is>
          <t>CR-202</t>
        </is>
      </c>
      <c r="D2638" t="inlineStr">
        <is>
          <t>ISO 8</t>
        </is>
      </c>
      <c r="E2638" t="inlineStr">
        <is>
          <t>Compressed air</t>
        </is>
      </c>
      <c r="F2638" t="n">
        <v>0</v>
      </c>
      <c r="G2638" t="inlineStr">
        <is>
          <t>Tech A</t>
        </is>
      </c>
      <c r="H2638">
        <f>INDEX(Limits!$B$2:$B$5,MATCH(E2638,Limits!$A$2:$A$5,0))</f>
        <v/>
      </c>
      <c r="I2638">
        <f>INDEX(Limits!$C$2:$C$5,MATCH(E2638,Limits!$A$2:$A$5,0))</f>
        <v/>
      </c>
      <c r="J2638">
        <f>IF(F2638&gt;=I2638,"Action",IF(F2638&gt;=H2638,"Alert","Pass"))</f>
        <v/>
      </c>
      <c r="K2638" s="4">
        <f>DATE(YEAR(B2638),MONTH(B2638),1)</f>
        <v/>
      </c>
    </row>
    <row r="2639">
      <c r="A2639" t="inlineStr">
        <is>
          <t>EM002638</t>
        </is>
      </c>
      <c r="B2639" s="7" t="n">
        <v>46219</v>
      </c>
      <c r="C2639" t="inlineStr">
        <is>
          <t>CR-202</t>
        </is>
      </c>
      <c r="D2639" t="inlineStr">
        <is>
          <t>ISO 8</t>
        </is>
      </c>
      <c r="E2639" t="inlineStr">
        <is>
          <t>Personnel glove</t>
        </is>
      </c>
      <c r="F2639" t="n">
        <v>1</v>
      </c>
      <c r="G2639" t="inlineStr">
        <is>
          <t>Tech A</t>
        </is>
      </c>
      <c r="H2639">
        <f>INDEX(Limits!$B$2:$B$5,MATCH(E2639,Limits!$A$2:$A$5,0))</f>
        <v/>
      </c>
      <c r="I2639">
        <f>INDEX(Limits!$C$2:$C$5,MATCH(E2639,Limits!$A$2:$A$5,0))</f>
        <v/>
      </c>
      <c r="J2639">
        <f>IF(F2639&gt;=I2639,"Action",IF(F2639&gt;=H2639,"Alert","Pass"))</f>
        <v/>
      </c>
      <c r="K2639" s="4">
        <f>DATE(YEAR(B2639),MONTH(B2639),1)</f>
        <v/>
      </c>
    </row>
    <row r="2640">
      <c r="A2640" t="inlineStr">
        <is>
          <t>EM002639</t>
        </is>
      </c>
      <c r="B2640" s="7" t="n">
        <v>46219</v>
      </c>
      <c r="C2640" t="inlineStr">
        <is>
          <t>Gowning</t>
        </is>
      </c>
      <c r="D2640" t="inlineStr">
        <is>
          <t>ISO 8</t>
        </is>
      </c>
      <c r="E2640" t="inlineStr">
        <is>
          <t>Active air</t>
        </is>
      </c>
      <c r="F2640" t="n">
        <v>4</v>
      </c>
      <c r="G2640" t="inlineStr">
        <is>
          <t>Tech D</t>
        </is>
      </c>
      <c r="H2640">
        <f>INDEX(Limits!$B$2:$B$5,MATCH(E2640,Limits!$A$2:$A$5,0))</f>
        <v/>
      </c>
      <c r="I2640">
        <f>INDEX(Limits!$C$2:$C$5,MATCH(E2640,Limits!$A$2:$A$5,0))</f>
        <v/>
      </c>
      <c r="J2640">
        <f>IF(F2640&gt;=I2640,"Action",IF(F2640&gt;=H2640,"Alert","Pass"))</f>
        <v/>
      </c>
      <c r="K2640" s="4">
        <f>DATE(YEAR(B2640),MONTH(B2640),1)</f>
        <v/>
      </c>
    </row>
    <row r="2641">
      <c r="A2641" t="inlineStr">
        <is>
          <t>EM002640</t>
        </is>
      </c>
      <c r="B2641" s="7" t="n">
        <v>46219</v>
      </c>
      <c r="C2641" t="inlineStr">
        <is>
          <t>Gowning</t>
        </is>
      </c>
      <c r="D2641" t="inlineStr">
        <is>
          <t>ISO 8</t>
        </is>
      </c>
      <c r="E2641" t="inlineStr">
        <is>
          <t>Surface contact</t>
        </is>
      </c>
      <c r="F2641" t="n">
        <v>2</v>
      </c>
      <c r="G2641" t="inlineStr">
        <is>
          <t>Tech D</t>
        </is>
      </c>
      <c r="H2641">
        <f>INDEX(Limits!$B$2:$B$5,MATCH(E2641,Limits!$A$2:$A$5,0))</f>
        <v/>
      </c>
      <c r="I2641">
        <f>INDEX(Limits!$C$2:$C$5,MATCH(E2641,Limits!$A$2:$A$5,0))</f>
        <v/>
      </c>
      <c r="J2641">
        <f>IF(F2641&gt;=I2641,"Action",IF(F2641&gt;=H2641,"Alert","Pass"))</f>
        <v/>
      </c>
      <c r="K2641" s="4">
        <f>DATE(YEAR(B2641),MONTH(B2641),1)</f>
        <v/>
      </c>
    </row>
    <row r="2642">
      <c r="A2642" t="inlineStr">
        <is>
          <t>EM002641</t>
        </is>
      </c>
      <c r="B2642" s="7" t="n">
        <v>46219</v>
      </c>
      <c r="C2642" t="inlineStr">
        <is>
          <t>Gowning</t>
        </is>
      </c>
      <c r="D2642" t="inlineStr">
        <is>
          <t>ISO 8</t>
        </is>
      </c>
      <c r="E2642" t="inlineStr">
        <is>
          <t>Personnel glove</t>
        </is>
      </c>
      <c r="F2642" t="n">
        <v>0</v>
      </c>
      <c r="G2642" t="inlineStr">
        <is>
          <t>Tech B</t>
        </is>
      </c>
      <c r="H2642">
        <f>INDEX(Limits!$B$2:$B$5,MATCH(E2642,Limits!$A$2:$A$5,0))</f>
        <v/>
      </c>
      <c r="I2642">
        <f>INDEX(Limits!$C$2:$C$5,MATCH(E2642,Limits!$A$2:$A$5,0))</f>
        <v/>
      </c>
      <c r="J2642">
        <f>IF(F2642&gt;=I2642,"Action",IF(F2642&gt;=H2642,"Alert","Pass"))</f>
        <v/>
      </c>
      <c r="K2642" s="4">
        <f>DATE(YEAR(B2642),MONTH(B2642),1)</f>
        <v/>
      </c>
    </row>
    <row r="2643">
      <c r="A2643" t="inlineStr">
        <is>
          <t>EM002642</t>
        </is>
      </c>
      <c r="B2643" s="7" t="n">
        <v>46220</v>
      </c>
      <c r="C2643" t="inlineStr">
        <is>
          <t>CR-101</t>
        </is>
      </c>
      <c r="D2643" t="inlineStr">
        <is>
          <t>ISO 7</t>
        </is>
      </c>
      <c r="E2643" t="inlineStr">
        <is>
          <t>Active air</t>
        </is>
      </c>
      <c r="F2643" t="n">
        <v>1</v>
      </c>
      <c r="G2643" t="inlineStr">
        <is>
          <t>Tech A</t>
        </is>
      </c>
      <c r="H2643">
        <f>INDEX(Limits!$B$2:$B$5,MATCH(E2643,Limits!$A$2:$A$5,0))</f>
        <v/>
      </c>
      <c r="I2643">
        <f>INDEX(Limits!$C$2:$C$5,MATCH(E2643,Limits!$A$2:$A$5,0))</f>
        <v/>
      </c>
      <c r="J2643">
        <f>IF(F2643&gt;=I2643,"Action",IF(F2643&gt;=H2643,"Alert","Pass"))</f>
        <v/>
      </c>
      <c r="K2643" s="4">
        <f>DATE(YEAR(B2643),MONTH(B2643),1)</f>
        <v/>
      </c>
    </row>
    <row r="2644">
      <c r="A2644" t="inlineStr">
        <is>
          <t>EM002643</t>
        </is>
      </c>
      <c r="B2644" s="7" t="n">
        <v>46220</v>
      </c>
      <c r="C2644" t="inlineStr">
        <is>
          <t>CR-101</t>
        </is>
      </c>
      <c r="D2644" t="inlineStr">
        <is>
          <t>ISO 7</t>
        </is>
      </c>
      <c r="E2644" t="inlineStr">
        <is>
          <t>Surface contact</t>
        </is>
      </c>
      <c r="F2644" t="n">
        <v>0</v>
      </c>
      <c r="G2644" t="inlineStr">
        <is>
          <t>Tech D</t>
        </is>
      </c>
      <c r="H2644">
        <f>INDEX(Limits!$B$2:$B$5,MATCH(E2644,Limits!$A$2:$A$5,0))</f>
        <v/>
      </c>
      <c r="I2644">
        <f>INDEX(Limits!$C$2:$C$5,MATCH(E2644,Limits!$A$2:$A$5,0))</f>
        <v/>
      </c>
      <c r="J2644">
        <f>IF(F2644&gt;=I2644,"Action",IF(F2644&gt;=H2644,"Alert","Pass"))</f>
        <v/>
      </c>
      <c r="K2644" s="4">
        <f>DATE(YEAR(B2644),MONTH(B2644),1)</f>
        <v/>
      </c>
    </row>
    <row r="2645">
      <c r="A2645" t="inlineStr">
        <is>
          <t>EM002644</t>
        </is>
      </c>
      <c r="B2645" s="7" t="n">
        <v>46220</v>
      </c>
      <c r="C2645" t="inlineStr">
        <is>
          <t>CR-101</t>
        </is>
      </c>
      <c r="D2645" t="inlineStr">
        <is>
          <t>ISO 7</t>
        </is>
      </c>
      <c r="E2645" t="inlineStr">
        <is>
          <t>Compressed air</t>
        </is>
      </c>
      <c r="F2645" t="n">
        <v>0</v>
      </c>
      <c r="G2645" t="inlineStr">
        <is>
          <t>Tech D</t>
        </is>
      </c>
      <c r="H2645">
        <f>INDEX(Limits!$B$2:$B$5,MATCH(E2645,Limits!$A$2:$A$5,0))</f>
        <v/>
      </c>
      <c r="I2645">
        <f>INDEX(Limits!$C$2:$C$5,MATCH(E2645,Limits!$A$2:$A$5,0))</f>
        <v/>
      </c>
      <c r="J2645">
        <f>IF(F2645&gt;=I2645,"Action",IF(F2645&gt;=H2645,"Alert","Pass"))</f>
        <v/>
      </c>
      <c r="K2645" s="4">
        <f>DATE(YEAR(B2645),MONTH(B2645),1)</f>
        <v/>
      </c>
    </row>
    <row r="2646">
      <c r="A2646" t="inlineStr">
        <is>
          <t>EM002645</t>
        </is>
      </c>
      <c r="B2646" s="7" t="n">
        <v>46220</v>
      </c>
      <c r="C2646" t="inlineStr">
        <is>
          <t>CR-101</t>
        </is>
      </c>
      <c r="D2646" t="inlineStr">
        <is>
          <t>ISO 7</t>
        </is>
      </c>
      <c r="E2646" t="inlineStr">
        <is>
          <t>Personnel glove</t>
        </is>
      </c>
      <c r="F2646" t="n">
        <v>0</v>
      </c>
      <c r="G2646" t="inlineStr">
        <is>
          <t>Tech A</t>
        </is>
      </c>
      <c r="H2646">
        <f>INDEX(Limits!$B$2:$B$5,MATCH(E2646,Limits!$A$2:$A$5,0))</f>
        <v/>
      </c>
      <c r="I2646">
        <f>INDEX(Limits!$C$2:$C$5,MATCH(E2646,Limits!$A$2:$A$5,0))</f>
        <v/>
      </c>
      <c r="J2646">
        <f>IF(F2646&gt;=I2646,"Action",IF(F2646&gt;=H2646,"Alert","Pass"))</f>
        <v/>
      </c>
      <c r="K2646" s="4">
        <f>DATE(YEAR(B2646),MONTH(B2646),1)</f>
        <v/>
      </c>
    </row>
    <row r="2647">
      <c r="A2647" t="inlineStr">
        <is>
          <t>EM002646</t>
        </is>
      </c>
      <c r="B2647" s="7" t="n">
        <v>46220</v>
      </c>
      <c r="C2647" t="inlineStr">
        <is>
          <t>CR-102</t>
        </is>
      </c>
      <c r="D2647" t="inlineStr">
        <is>
          <t>ISO 7</t>
        </is>
      </c>
      <c r="E2647" t="inlineStr">
        <is>
          <t>Active air</t>
        </is>
      </c>
      <c r="F2647" t="n">
        <v>0</v>
      </c>
      <c r="G2647" t="inlineStr">
        <is>
          <t>Tech A</t>
        </is>
      </c>
      <c r="H2647">
        <f>INDEX(Limits!$B$2:$B$5,MATCH(E2647,Limits!$A$2:$A$5,0))</f>
        <v/>
      </c>
      <c r="I2647">
        <f>INDEX(Limits!$C$2:$C$5,MATCH(E2647,Limits!$A$2:$A$5,0))</f>
        <v/>
      </c>
      <c r="J2647">
        <f>IF(F2647&gt;=I2647,"Action",IF(F2647&gt;=H2647,"Alert","Pass"))</f>
        <v/>
      </c>
      <c r="K2647" s="4">
        <f>DATE(YEAR(B2647),MONTH(B2647),1)</f>
        <v/>
      </c>
    </row>
    <row r="2648">
      <c r="A2648" t="inlineStr">
        <is>
          <t>EM002647</t>
        </is>
      </c>
      <c r="B2648" s="7" t="n">
        <v>46220</v>
      </c>
      <c r="C2648" t="inlineStr">
        <is>
          <t>CR-102</t>
        </is>
      </c>
      <c r="D2648" t="inlineStr">
        <is>
          <t>ISO 7</t>
        </is>
      </c>
      <c r="E2648" t="inlineStr">
        <is>
          <t>Surface contact</t>
        </is>
      </c>
      <c r="F2648" t="n">
        <v>0</v>
      </c>
      <c r="G2648" t="inlineStr">
        <is>
          <t>Tech A</t>
        </is>
      </c>
      <c r="H2648">
        <f>INDEX(Limits!$B$2:$B$5,MATCH(E2648,Limits!$A$2:$A$5,0))</f>
        <v/>
      </c>
      <c r="I2648">
        <f>INDEX(Limits!$C$2:$C$5,MATCH(E2648,Limits!$A$2:$A$5,0))</f>
        <v/>
      </c>
      <c r="J2648">
        <f>IF(F2648&gt;=I2648,"Action",IF(F2648&gt;=H2648,"Alert","Pass"))</f>
        <v/>
      </c>
      <c r="K2648" s="4">
        <f>DATE(YEAR(B2648),MONTH(B2648),1)</f>
        <v/>
      </c>
    </row>
    <row r="2649">
      <c r="A2649" t="inlineStr">
        <is>
          <t>EM002648</t>
        </is>
      </c>
      <c r="B2649" s="7" t="n">
        <v>46220</v>
      </c>
      <c r="C2649" t="inlineStr">
        <is>
          <t>CR-102</t>
        </is>
      </c>
      <c r="D2649" t="inlineStr">
        <is>
          <t>ISO 7</t>
        </is>
      </c>
      <c r="E2649" t="inlineStr">
        <is>
          <t>Compressed air</t>
        </is>
      </c>
      <c r="F2649" t="n">
        <v>0</v>
      </c>
      <c r="G2649" t="inlineStr">
        <is>
          <t>Tech C</t>
        </is>
      </c>
      <c r="H2649">
        <f>INDEX(Limits!$B$2:$B$5,MATCH(E2649,Limits!$A$2:$A$5,0))</f>
        <v/>
      </c>
      <c r="I2649">
        <f>INDEX(Limits!$C$2:$C$5,MATCH(E2649,Limits!$A$2:$A$5,0))</f>
        <v/>
      </c>
      <c r="J2649">
        <f>IF(F2649&gt;=I2649,"Action",IF(F2649&gt;=H2649,"Alert","Pass"))</f>
        <v/>
      </c>
      <c r="K2649" s="4">
        <f>DATE(YEAR(B2649),MONTH(B2649),1)</f>
        <v/>
      </c>
    </row>
    <row r="2650">
      <c r="A2650" t="inlineStr">
        <is>
          <t>EM002649</t>
        </is>
      </c>
      <c r="B2650" s="7" t="n">
        <v>46220</v>
      </c>
      <c r="C2650" t="inlineStr">
        <is>
          <t>CR-102</t>
        </is>
      </c>
      <c r="D2650" t="inlineStr">
        <is>
          <t>ISO 7</t>
        </is>
      </c>
      <c r="E2650" t="inlineStr">
        <is>
          <t>Personnel glove</t>
        </is>
      </c>
      <c r="F2650" t="n">
        <v>0</v>
      </c>
      <c r="G2650" t="inlineStr">
        <is>
          <t>Tech D</t>
        </is>
      </c>
      <c r="H2650">
        <f>INDEX(Limits!$B$2:$B$5,MATCH(E2650,Limits!$A$2:$A$5,0))</f>
        <v/>
      </c>
      <c r="I2650">
        <f>INDEX(Limits!$C$2:$C$5,MATCH(E2650,Limits!$A$2:$A$5,0))</f>
        <v/>
      </c>
      <c r="J2650">
        <f>IF(F2650&gt;=I2650,"Action",IF(F2650&gt;=H2650,"Alert","Pass"))</f>
        <v/>
      </c>
      <c r="K2650" s="4">
        <f>DATE(YEAR(B2650),MONTH(B2650),1)</f>
        <v/>
      </c>
    </row>
    <row r="2651">
      <c r="A2651" t="inlineStr">
        <is>
          <t>EM002650</t>
        </is>
      </c>
      <c r="B2651" s="7" t="n">
        <v>46220</v>
      </c>
      <c r="C2651" t="inlineStr">
        <is>
          <t>CR-201</t>
        </is>
      </c>
      <c r="D2651" t="inlineStr">
        <is>
          <t>ISO 8</t>
        </is>
      </c>
      <c r="E2651" t="inlineStr">
        <is>
          <t>Active air</t>
        </is>
      </c>
      <c r="F2651" t="n">
        <v>4</v>
      </c>
      <c r="G2651" t="inlineStr">
        <is>
          <t>Tech A</t>
        </is>
      </c>
      <c r="H2651">
        <f>INDEX(Limits!$B$2:$B$5,MATCH(E2651,Limits!$A$2:$A$5,0))</f>
        <v/>
      </c>
      <c r="I2651">
        <f>INDEX(Limits!$C$2:$C$5,MATCH(E2651,Limits!$A$2:$A$5,0))</f>
        <v/>
      </c>
      <c r="J2651">
        <f>IF(F2651&gt;=I2651,"Action",IF(F2651&gt;=H2651,"Alert","Pass"))</f>
        <v/>
      </c>
      <c r="K2651" s="4">
        <f>DATE(YEAR(B2651),MONTH(B2651),1)</f>
        <v/>
      </c>
    </row>
    <row r="2652">
      <c r="A2652" t="inlineStr">
        <is>
          <t>EM002651</t>
        </is>
      </c>
      <c r="B2652" s="7" t="n">
        <v>46220</v>
      </c>
      <c r="C2652" t="inlineStr">
        <is>
          <t>CR-201</t>
        </is>
      </c>
      <c r="D2652" t="inlineStr">
        <is>
          <t>ISO 8</t>
        </is>
      </c>
      <c r="E2652" t="inlineStr">
        <is>
          <t>Surface contact</t>
        </is>
      </c>
      <c r="F2652" t="n">
        <v>0</v>
      </c>
      <c r="G2652" t="inlineStr">
        <is>
          <t>Tech A</t>
        </is>
      </c>
      <c r="H2652">
        <f>INDEX(Limits!$B$2:$B$5,MATCH(E2652,Limits!$A$2:$A$5,0))</f>
        <v/>
      </c>
      <c r="I2652">
        <f>INDEX(Limits!$C$2:$C$5,MATCH(E2652,Limits!$A$2:$A$5,0))</f>
        <v/>
      </c>
      <c r="J2652">
        <f>IF(F2652&gt;=I2652,"Action",IF(F2652&gt;=H2652,"Alert","Pass"))</f>
        <v/>
      </c>
      <c r="K2652" s="4">
        <f>DATE(YEAR(B2652),MONTH(B2652),1)</f>
        <v/>
      </c>
    </row>
    <row r="2653">
      <c r="A2653" t="inlineStr">
        <is>
          <t>EM002652</t>
        </is>
      </c>
      <c r="B2653" s="7" t="n">
        <v>46220</v>
      </c>
      <c r="C2653" t="inlineStr">
        <is>
          <t>CR-201</t>
        </is>
      </c>
      <c r="D2653" t="inlineStr">
        <is>
          <t>ISO 8</t>
        </is>
      </c>
      <c r="E2653" t="inlineStr">
        <is>
          <t>Compressed air</t>
        </is>
      </c>
      <c r="F2653" t="n">
        <v>0</v>
      </c>
      <c r="G2653" t="inlineStr">
        <is>
          <t>Tech B</t>
        </is>
      </c>
      <c r="H2653">
        <f>INDEX(Limits!$B$2:$B$5,MATCH(E2653,Limits!$A$2:$A$5,0))</f>
        <v/>
      </c>
      <c r="I2653">
        <f>INDEX(Limits!$C$2:$C$5,MATCH(E2653,Limits!$A$2:$A$5,0))</f>
        <v/>
      </c>
      <c r="J2653">
        <f>IF(F2653&gt;=I2653,"Action",IF(F2653&gt;=H2653,"Alert","Pass"))</f>
        <v/>
      </c>
      <c r="K2653" s="4">
        <f>DATE(YEAR(B2653),MONTH(B2653),1)</f>
        <v/>
      </c>
    </row>
    <row r="2654">
      <c r="A2654" t="inlineStr">
        <is>
          <t>EM002653</t>
        </is>
      </c>
      <c r="B2654" s="7" t="n">
        <v>46220</v>
      </c>
      <c r="C2654" t="inlineStr">
        <is>
          <t>CR-201</t>
        </is>
      </c>
      <c r="D2654" t="inlineStr">
        <is>
          <t>ISO 8</t>
        </is>
      </c>
      <c r="E2654" t="inlineStr">
        <is>
          <t>Personnel glove</t>
        </is>
      </c>
      <c r="F2654" t="n">
        <v>0</v>
      </c>
      <c r="G2654" t="inlineStr">
        <is>
          <t>Tech C</t>
        </is>
      </c>
      <c r="H2654">
        <f>INDEX(Limits!$B$2:$B$5,MATCH(E2654,Limits!$A$2:$A$5,0))</f>
        <v/>
      </c>
      <c r="I2654">
        <f>INDEX(Limits!$C$2:$C$5,MATCH(E2654,Limits!$A$2:$A$5,0))</f>
        <v/>
      </c>
      <c r="J2654">
        <f>IF(F2654&gt;=I2654,"Action",IF(F2654&gt;=H2654,"Alert","Pass"))</f>
        <v/>
      </c>
      <c r="K2654" s="4">
        <f>DATE(YEAR(B2654),MONTH(B2654),1)</f>
        <v/>
      </c>
    </row>
    <row r="2655">
      <c r="A2655" t="inlineStr">
        <is>
          <t>EM002654</t>
        </is>
      </c>
      <c r="B2655" s="7" t="n">
        <v>46220</v>
      </c>
      <c r="C2655" t="inlineStr">
        <is>
          <t>CR-202</t>
        </is>
      </c>
      <c r="D2655" t="inlineStr">
        <is>
          <t>ISO 8</t>
        </is>
      </c>
      <c r="E2655" t="inlineStr">
        <is>
          <t>Active air</t>
        </is>
      </c>
      <c r="F2655" t="n">
        <v>3</v>
      </c>
      <c r="G2655" t="inlineStr">
        <is>
          <t>Tech A</t>
        </is>
      </c>
      <c r="H2655">
        <f>INDEX(Limits!$B$2:$B$5,MATCH(E2655,Limits!$A$2:$A$5,0))</f>
        <v/>
      </c>
      <c r="I2655">
        <f>INDEX(Limits!$C$2:$C$5,MATCH(E2655,Limits!$A$2:$A$5,0))</f>
        <v/>
      </c>
      <c r="J2655">
        <f>IF(F2655&gt;=I2655,"Action",IF(F2655&gt;=H2655,"Alert","Pass"))</f>
        <v/>
      </c>
      <c r="K2655" s="4">
        <f>DATE(YEAR(B2655),MONTH(B2655),1)</f>
        <v/>
      </c>
    </row>
    <row r="2656">
      <c r="A2656" t="inlineStr">
        <is>
          <t>EM002655</t>
        </is>
      </c>
      <c r="B2656" s="7" t="n">
        <v>46220</v>
      </c>
      <c r="C2656" t="inlineStr">
        <is>
          <t>CR-202</t>
        </is>
      </c>
      <c r="D2656" t="inlineStr">
        <is>
          <t>ISO 8</t>
        </is>
      </c>
      <c r="E2656" t="inlineStr">
        <is>
          <t>Surface contact</t>
        </is>
      </c>
      <c r="F2656" t="n">
        <v>0</v>
      </c>
      <c r="G2656" t="inlineStr">
        <is>
          <t>Tech C</t>
        </is>
      </c>
      <c r="H2656">
        <f>INDEX(Limits!$B$2:$B$5,MATCH(E2656,Limits!$A$2:$A$5,0))</f>
        <v/>
      </c>
      <c r="I2656">
        <f>INDEX(Limits!$C$2:$C$5,MATCH(E2656,Limits!$A$2:$A$5,0))</f>
        <v/>
      </c>
      <c r="J2656">
        <f>IF(F2656&gt;=I2656,"Action",IF(F2656&gt;=H2656,"Alert","Pass"))</f>
        <v/>
      </c>
      <c r="K2656" s="4">
        <f>DATE(YEAR(B2656),MONTH(B2656),1)</f>
        <v/>
      </c>
    </row>
    <row r="2657">
      <c r="A2657" t="inlineStr">
        <is>
          <t>EM002656</t>
        </is>
      </c>
      <c r="B2657" s="7" t="n">
        <v>46220</v>
      </c>
      <c r="C2657" t="inlineStr">
        <is>
          <t>CR-202</t>
        </is>
      </c>
      <c r="D2657" t="inlineStr">
        <is>
          <t>ISO 8</t>
        </is>
      </c>
      <c r="E2657" t="inlineStr">
        <is>
          <t>Compressed air</t>
        </is>
      </c>
      <c r="F2657" t="n">
        <v>0</v>
      </c>
      <c r="G2657" t="inlineStr">
        <is>
          <t>Tech D</t>
        </is>
      </c>
      <c r="H2657">
        <f>INDEX(Limits!$B$2:$B$5,MATCH(E2657,Limits!$A$2:$A$5,0))</f>
        <v/>
      </c>
      <c r="I2657">
        <f>INDEX(Limits!$C$2:$C$5,MATCH(E2657,Limits!$A$2:$A$5,0))</f>
        <v/>
      </c>
      <c r="J2657">
        <f>IF(F2657&gt;=I2657,"Action",IF(F2657&gt;=H2657,"Alert","Pass"))</f>
        <v/>
      </c>
      <c r="K2657" s="4">
        <f>DATE(YEAR(B2657),MONTH(B2657),1)</f>
        <v/>
      </c>
    </row>
    <row r="2658">
      <c r="A2658" t="inlineStr">
        <is>
          <t>EM002657</t>
        </is>
      </c>
      <c r="B2658" s="7" t="n">
        <v>46220</v>
      </c>
      <c r="C2658" t="inlineStr">
        <is>
          <t>CR-202</t>
        </is>
      </c>
      <c r="D2658" t="inlineStr">
        <is>
          <t>ISO 8</t>
        </is>
      </c>
      <c r="E2658" t="inlineStr">
        <is>
          <t>Personnel glove</t>
        </is>
      </c>
      <c r="F2658" t="n">
        <v>0</v>
      </c>
      <c r="G2658" t="inlineStr">
        <is>
          <t>Tech A</t>
        </is>
      </c>
      <c r="H2658">
        <f>INDEX(Limits!$B$2:$B$5,MATCH(E2658,Limits!$A$2:$A$5,0))</f>
        <v/>
      </c>
      <c r="I2658">
        <f>INDEX(Limits!$C$2:$C$5,MATCH(E2658,Limits!$A$2:$A$5,0))</f>
        <v/>
      </c>
      <c r="J2658">
        <f>IF(F2658&gt;=I2658,"Action",IF(F2658&gt;=H2658,"Alert","Pass"))</f>
        <v/>
      </c>
      <c r="K2658" s="4">
        <f>DATE(YEAR(B2658),MONTH(B2658),1)</f>
        <v/>
      </c>
    </row>
    <row r="2659">
      <c r="A2659" t="inlineStr">
        <is>
          <t>EM002658</t>
        </is>
      </c>
      <c r="B2659" s="7" t="n">
        <v>46220</v>
      </c>
      <c r="C2659" t="inlineStr">
        <is>
          <t>Gowning</t>
        </is>
      </c>
      <c r="D2659" t="inlineStr">
        <is>
          <t>ISO 8</t>
        </is>
      </c>
      <c r="E2659" t="inlineStr">
        <is>
          <t>Active air</t>
        </is>
      </c>
      <c r="F2659" t="n">
        <v>3</v>
      </c>
      <c r="G2659" t="inlineStr">
        <is>
          <t>Tech D</t>
        </is>
      </c>
      <c r="H2659">
        <f>INDEX(Limits!$B$2:$B$5,MATCH(E2659,Limits!$A$2:$A$5,0))</f>
        <v/>
      </c>
      <c r="I2659">
        <f>INDEX(Limits!$C$2:$C$5,MATCH(E2659,Limits!$A$2:$A$5,0))</f>
        <v/>
      </c>
      <c r="J2659">
        <f>IF(F2659&gt;=I2659,"Action",IF(F2659&gt;=H2659,"Alert","Pass"))</f>
        <v/>
      </c>
      <c r="K2659" s="4">
        <f>DATE(YEAR(B2659),MONTH(B2659),1)</f>
        <v/>
      </c>
    </row>
    <row r="2660">
      <c r="A2660" t="inlineStr">
        <is>
          <t>EM002659</t>
        </is>
      </c>
      <c r="B2660" s="7" t="n">
        <v>46220</v>
      </c>
      <c r="C2660" t="inlineStr">
        <is>
          <t>Gowning</t>
        </is>
      </c>
      <c r="D2660" t="inlineStr">
        <is>
          <t>ISO 8</t>
        </is>
      </c>
      <c r="E2660" t="inlineStr">
        <is>
          <t>Surface contact</t>
        </is>
      </c>
      <c r="F2660" t="n">
        <v>0</v>
      </c>
      <c r="G2660" t="inlineStr">
        <is>
          <t>Tech A</t>
        </is>
      </c>
      <c r="H2660">
        <f>INDEX(Limits!$B$2:$B$5,MATCH(E2660,Limits!$A$2:$A$5,0))</f>
        <v/>
      </c>
      <c r="I2660">
        <f>INDEX(Limits!$C$2:$C$5,MATCH(E2660,Limits!$A$2:$A$5,0))</f>
        <v/>
      </c>
      <c r="J2660">
        <f>IF(F2660&gt;=I2660,"Action",IF(F2660&gt;=H2660,"Alert","Pass"))</f>
        <v/>
      </c>
      <c r="K2660" s="4">
        <f>DATE(YEAR(B2660),MONTH(B2660),1)</f>
        <v/>
      </c>
    </row>
    <row r="2661">
      <c r="A2661" t="inlineStr">
        <is>
          <t>EM002660</t>
        </is>
      </c>
      <c r="B2661" s="7" t="n">
        <v>46220</v>
      </c>
      <c r="C2661" t="inlineStr">
        <is>
          <t>Gowning</t>
        </is>
      </c>
      <c r="D2661" t="inlineStr">
        <is>
          <t>ISO 8</t>
        </is>
      </c>
      <c r="E2661" t="inlineStr">
        <is>
          <t>Personnel glove</t>
        </is>
      </c>
      <c r="F2661" t="n">
        <v>0</v>
      </c>
      <c r="G2661" t="inlineStr">
        <is>
          <t>Tech C</t>
        </is>
      </c>
      <c r="H2661">
        <f>INDEX(Limits!$B$2:$B$5,MATCH(E2661,Limits!$A$2:$A$5,0))</f>
        <v/>
      </c>
      <c r="I2661">
        <f>INDEX(Limits!$C$2:$C$5,MATCH(E2661,Limits!$A$2:$A$5,0))</f>
        <v/>
      </c>
      <c r="J2661">
        <f>IF(F2661&gt;=I2661,"Action",IF(F2661&gt;=H2661,"Alert","Pass"))</f>
        <v/>
      </c>
      <c r="K2661" s="4">
        <f>DATE(YEAR(B2661),MONTH(B2661),1)</f>
        <v/>
      </c>
    </row>
    <row r="2662">
      <c r="A2662" t="inlineStr">
        <is>
          <t>EM002661</t>
        </is>
      </c>
      <c r="B2662" s="7" t="n">
        <v>46223</v>
      </c>
      <c r="C2662" t="inlineStr">
        <is>
          <t>CR-101</t>
        </is>
      </c>
      <c r="D2662" t="inlineStr">
        <is>
          <t>ISO 7</t>
        </is>
      </c>
      <c r="E2662" t="inlineStr">
        <is>
          <t>Active air</t>
        </is>
      </c>
      <c r="F2662" t="n">
        <v>0</v>
      </c>
      <c r="G2662" t="inlineStr">
        <is>
          <t>Tech B</t>
        </is>
      </c>
      <c r="H2662">
        <f>INDEX(Limits!$B$2:$B$5,MATCH(E2662,Limits!$A$2:$A$5,0))</f>
        <v/>
      </c>
      <c r="I2662">
        <f>INDEX(Limits!$C$2:$C$5,MATCH(E2662,Limits!$A$2:$A$5,0))</f>
        <v/>
      </c>
      <c r="J2662">
        <f>IF(F2662&gt;=I2662,"Action",IF(F2662&gt;=H2662,"Alert","Pass"))</f>
        <v/>
      </c>
      <c r="K2662" s="4">
        <f>DATE(YEAR(B2662),MONTH(B2662),1)</f>
        <v/>
      </c>
    </row>
    <row r="2663">
      <c r="A2663" t="inlineStr">
        <is>
          <t>EM002662</t>
        </is>
      </c>
      <c r="B2663" s="7" t="n">
        <v>46223</v>
      </c>
      <c r="C2663" t="inlineStr">
        <is>
          <t>CR-101</t>
        </is>
      </c>
      <c r="D2663" t="inlineStr">
        <is>
          <t>ISO 7</t>
        </is>
      </c>
      <c r="E2663" t="inlineStr">
        <is>
          <t>Surface contact</t>
        </is>
      </c>
      <c r="F2663" t="n">
        <v>0</v>
      </c>
      <c r="G2663" t="inlineStr">
        <is>
          <t>Tech D</t>
        </is>
      </c>
      <c r="H2663">
        <f>INDEX(Limits!$B$2:$B$5,MATCH(E2663,Limits!$A$2:$A$5,0))</f>
        <v/>
      </c>
      <c r="I2663">
        <f>INDEX(Limits!$C$2:$C$5,MATCH(E2663,Limits!$A$2:$A$5,0))</f>
        <v/>
      </c>
      <c r="J2663">
        <f>IF(F2663&gt;=I2663,"Action",IF(F2663&gt;=H2663,"Alert","Pass"))</f>
        <v/>
      </c>
      <c r="K2663" s="4">
        <f>DATE(YEAR(B2663),MONTH(B2663),1)</f>
        <v/>
      </c>
    </row>
    <row r="2664">
      <c r="A2664" t="inlineStr">
        <is>
          <t>EM002663</t>
        </is>
      </c>
      <c r="B2664" s="7" t="n">
        <v>46223</v>
      </c>
      <c r="C2664" t="inlineStr">
        <is>
          <t>CR-101</t>
        </is>
      </c>
      <c r="D2664" t="inlineStr">
        <is>
          <t>ISO 7</t>
        </is>
      </c>
      <c r="E2664" t="inlineStr">
        <is>
          <t>Compressed air</t>
        </is>
      </c>
      <c r="F2664" t="n">
        <v>0</v>
      </c>
      <c r="G2664" t="inlineStr">
        <is>
          <t>Tech A</t>
        </is>
      </c>
      <c r="H2664">
        <f>INDEX(Limits!$B$2:$B$5,MATCH(E2664,Limits!$A$2:$A$5,0))</f>
        <v/>
      </c>
      <c r="I2664">
        <f>INDEX(Limits!$C$2:$C$5,MATCH(E2664,Limits!$A$2:$A$5,0))</f>
        <v/>
      </c>
      <c r="J2664">
        <f>IF(F2664&gt;=I2664,"Action",IF(F2664&gt;=H2664,"Alert","Pass"))</f>
        <v/>
      </c>
      <c r="K2664" s="4">
        <f>DATE(YEAR(B2664),MONTH(B2664),1)</f>
        <v/>
      </c>
    </row>
    <row r="2665">
      <c r="A2665" t="inlineStr">
        <is>
          <t>EM002664</t>
        </is>
      </c>
      <c r="B2665" s="7" t="n">
        <v>46223</v>
      </c>
      <c r="C2665" t="inlineStr">
        <is>
          <t>CR-101</t>
        </is>
      </c>
      <c r="D2665" t="inlineStr">
        <is>
          <t>ISO 7</t>
        </is>
      </c>
      <c r="E2665" t="inlineStr">
        <is>
          <t>Personnel glove</t>
        </is>
      </c>
      <c r="F2665" t="n">
        <v>0</v>
      </c>
      <c r="G2665" t="inlineStr">
        <is>
          <t>Tech D</t>
        </is>
      </c>
      <c r="H2665">
        <f>INDEX(Limits!$B$2:$B$5,MATCH(E2665,Limits!$A$2:$A$5,0))</f>
        <v/>
      </c>
      <c r="I2665">
        <f>INDEX(Limits!$C$2:$C$5,MATCH(E2665,Limits!$A$2:$A$5,0))</f>
        <v/>
      </c>
      <c r="J2665">
        <f>IF(F2665&gt;=I2665,"Action",IF(F2665&gt;=H2665,"Alert","Pass"))</f>
        <v/>
      </c>
      <c r="K2665" s="4">
        <f>DATE(YEAR(B2665),MONTH(B2665),1)</f>
        <v/>
      </c>
    </row>
    <row r="2666">
      <c r="A2666" t="inlineStr">
        <is>
          <t>EM002665</t>
        </is>
      </c>
      <c r="B2666" s="7" t="n">
        <v>46223</v>
      </c>
      <c r="C2666" t="inlineStr">
        <is>
          <t>CR-102</t>
        </is>
      </c>
      <c r="D2666" t="inlineStr">
        <is>
          <t>ISO 7</t>
        </is>
      </c>
      <c r="E2666" t="inlineStr">
        <is>
          <t>Active air</t>
        </is>
      </c>
      <c r="F2666" t="n">
        <v>1</v>
      </c>
      <c r="G2666" t="inlineStr">
        <is>
          <t>Tech C</t>
        </is>
      </c>
      <c r="H2666">
        <f>INDEX(Limits!$B$2:$B$5,MATCH(E2666,Limits!$A$2:$A$5,0))</f>
        <v/>
      </c>
      <c r="I2666">
        <f>INDEX(Limits!$C$2:$C$5,MATCH(E2666,Limits!$A$2:$A$5,0))</f>
        <v/>
      </c>
      <c r="J2666">
        <f>IF(F2666&gt;=I2666,"Action",IF(F2666&gt;=H2666,"Alert","Pass"))</f>
        <v/>
      </c>
      <c r="K2666" s="4">
        <f>DATE(YEAR(B2666),MONTH(B2666),1)</f>
        <v/>
      </c>
    </row>
    <row r="2667">
      <c r="A2667" t="inlineStr">
        <is>
          <t>EM002666</t>
        </is>
      </c>
      <c r="B2667" s="7" t="n">
        <v>46223</v>
      </c>
      <c r="C2667" t="inlineStr">
        <is>
          <t>CR-102</t>
        </is>
      </c>
      <c r="D2667" t="inlineStr">
        <is>
          <t>ISO 7</t>
        </is>
      </c>
      <c r="E2667" t="inlineStr">
        <is>
          <t>Surface contact</t>
        </is>
      </c>
      <c r="F2667" t="n">
        <v>1</v>
      </c>
      <c r="G2667" t="inlineStr">
        <is>
          <t>Tech A</t>
        </is>
      </c>
      <c r="H2667">
        <f>INDEX(Limits!$B$2:$B$5,MATCH(E2667,Limits!$A$2:$A$5,0))</f>
        <v/>
      </c>
      <c r="I2667">
        <f>INDEX(Limits!$C$2:$C$5,MATCH(E2667,Limits!$A$2:$A$5,0))</f>
        <v/>
      </c>
      <c r="J2667">
        <f>IF(F2667&gt;=I2667,"Action",IF(F2667&gt;=H2667,"Alert","Pass"))</f>
        <v/>
      </c>
      <c r="K2667" s="4">
        <f>DATE(YEAR(B2667),MONTH(B2667),1)</f>
        <v/>
      </c>
    </row>
    <row r="2668">
      <c r="A2668" t="inlineStr">
        <is>
          <t>EM002667</t>
        </is>
      </c>
      <c r="B2668" s="7" t="n">
        <v>46223</v>
      </c>
      <c r="C2668" t="inlineStr">
        <is>
          <t>CR-102</t>
        </is>
      </c>
      <c r="D2668" t="inlineStr">
        <is>
          <t>ISO 7</t>
        </is>
      </c>
      <c r="E2668" t="inlineStr">
        <is>
          <t>Compressed air</t>
        </is>
      </c>
      <c r="F2668" t="n">
        <v>1</v>
      </c>
      <c r="G2668" t="inlineStr">
        <is>
          <t>Tech C</t>
        </is>
      </c>
      <c r="H2668">
        <f>INDEX(Limits!$B$2:$B$5,MATCH(E2668,Limits!$A$2:$A$5,0))</f>
        <v/>
      </c>
      <c r="I2668">
        <f>INDEX(Limits!$C$2:$C$5,MATCH(E2668,Limits!$A$2:$A$5,0))</f>
        <v/>
      </c>
      <c r="J2668">
        <f>IF(F2668&gt;=I2668,"Action",IF(F2668&gt;=H2668,"Alert","Pass"))</f>
        <v/>
      </c>
      <c r="K2668" s="4">
        <f>DATE(YEAR(B2668),MONTH(B2668),1)</f>
        <v/>
      </c>
    </row>
    <row r="2669">
      <c r="A2669" t="inlineStr">
        <is>
          <t>EM002668</t>
        </is>
      </c>
      <c r="B2669" s="7" t="n">
        <v>46223</v>
      </c>
      <c r="C2669" t="inlineStr">
        <is>
          <t>CR-102</t>
        </is>
      </c>
      <c r="D2669" t="inlineStr">
        <is>
          <t>ISO 7</t>
        </is>
      </c>
      <c r="E2669" t="inlineStr">
        <is>
          <t>Personnel glove</t>
        </is>
      </c>
      <c r="F2669" t="n">
        <v>0</v>
      </c>
      <c r="G2669" t="inlineStr">
        <is>
          <t>Tech C</t>
        </is>
      </c>
      <c r="H2669">
        <f>INDEX(Limits!$B$2:$B$5,MATCH(E2669,Limits!$A$2:$A$5,0))</f>
        <v/>
      </c>
      <c r="I2669">
        <f>INDEX(Limits!$C$2:$C$5,MATCH(E2669,Limits!$A$2:$A$5,0))</f>
        <v/>
      </c>
      <c r="J2669">
        <f>IF(F2669&gt;=I2669,"Action",IF(F2669&gt;=H2669,"Alert","Pass"))</f>
        <v/>
      </c>
      <c r="K2669" s="4">
        <f>DATE(YEAR(B2669),MONTH(B2669),1)</f>
        <v/>
      </c>
    </row>
    <row r="2670">
      <c r="A2670" t="inlineStr">
        <is>
          <t>EM002669</t>
        </is>
      </c>
      <c r="B2670" s="7" t="n">
        <v>46223</v>
      </c>
      <c r="C2670" t="inlineStr">
        <is>
          <t>CR-201</t>
        </is>
      </c>
      <c r="D2670" t="inlineStr">
        <is>
          <t>ISO 8</t>
        </is>
      </c>
      <c r="E2670" t="inlineStr">
        <is>
          <t>Active air</t>
        </is>
      </c>
      <c r="F2670" t="n">
        <v>1</v>
      </c>
      <c r="G2670" t="inlineStr">
        <is>
          <t>Tech D</t>
        </is>
      </c>
      <c r="H2670">
        <f>INDEX(Limits!$B$2:$B$5,MATCH(E2670,Limits!$A$2:$A$5,0))</f>
        <v/>
      </c>
      <c r="I2670">
        <f>INDEX(Limits!$C$2:$C$5,MATCH(E2670,Limits!$A$2:$A$5,0))</f>
        <v/>
      </c>
      <c r="J2670">
        <f>IF(F2670&gt;=I2670,"Action",IF(F2670&gt;=H2670,"Alert","Pass"))</f>
        <v/>
      </c>
      <c r="K2670" s="4">
        <f>DATE(YEAR(B2670),MONTH(B2670),1)</f>
        <v/>
      </c>
    </row>
    <row r="2671">
      <c r="A2671" t="inlineStr">
        <is>
          <t>EM002670</t>
        </is>
      </c>
      <c r="B2671" s="7" t="n">
        <v>46223</v>
      </c>
      <c r="C2671" t="inlineStr">
        <is>
          <t>CR-201</t>
        </is>
      </c>
      <c r="D2671" t="inlineStr">
        <is>
          <t>ISO 8</t>
        </is>
      </c>
      <c r="E2671" t="inlineStr">
        <is>
          <t>Surface contact</t>
        </is>
      </c>
      <c r="F2671" t="n">
        <v>0</v>
      </c>
      <c r="G2671" t="inlineStr">
        <is>
          <t>Tech B</t>
        </is>
      </c>
      <c r="H2671">
        <f>INDEX(Limits!$B$2:$B$5,MATCH(E2671,Limits!$A$2:$A$5,0))</f>
        <v/>
      </c>
      <c r="I2671">
        <f>INDEX(Limits!$C$2:$C$5,MATCH(E2671,Limits!$A$2:$A$5,0))</f>
        <v/>
      </c>
      <c r="J2671">
        <f>IF(F2671&gt;=I2671,"Action",IF(F2671&gt;=H2671,"Alert","Pass"))</f>
        <v/>
      </c>
      <c r="K2671" s="4">
        <f>DATE(YEAR(B2671),MONTH(B2671),1)</f>
        <v/>
      </c>
    </row>
    <row r="2672">
      <c r="A2672" t="inlineStr">
        <is>
          <t>EM002671</t>
        </is>
      </c>
      <c r="B2672" s="7" t="n">
        <v>46223</v>
      </c>
      <c r="C2672" t="inlineStr">
        <is>
          <t>CR-201</t>
        </is>
      </c>
      <c r="D2672" t="inlineStr">
        <is>
          <t>ISO 8</t>
        </is>
      </c>
      <c r="E2672" t="inlineStr">
        <is>
          <t>Compressed air</t>
        </is>
      </c>
      <c r="F2672" t="n">
        <v>0</v>
      </c>
      <c r="G2672" t="inlineStr">
        <is>
          <t>Tech D</t>
        </is>
      </c>
      <c r="H2672">
        <f>INDEX(Limits!$B$2:$B$5,MATCH(E2672,Limits!$A$2:$A$5,0))</f>
        <v/>
      </c>
      <c r="I2672">
        <f>INDEX(Limits!$C$2:$C$5,MATCH(E2672,Limits!$A$2:$A$5,0))</f>
        <v/>
      </c>
      <c r="J2672">
        <f>IF(F2672&gt;=I2672,"Action",IF(F2672&gt;=H2672,"Alert","Pass"))</f>
        <v/>
      </c>
      <c r="K2672" s="4">
        <f>DATE(YEAR(B2672),MONTH(B2672),1)</f>
        <v/>
      </c>
    </row>
    <row r="2673">
      <c r="A2673" t="inlineStr">
        <is>
          <t>EM002672</t>
        </is>
      </c>
      <c r="B2673" s="7" t="n">
        <v>46223</v>
      </c>
      <c r="C2673" t="inlineStr">
        <is>
          <t>CR-201</t>
        </is>
      </c>
      <c r="D2673" t="inlineStr">
        <is>
          <t>ISO 8</t>
        </is>
      </c>
      <c r="E2673" t="inlineStr">
        <is>
          <t>Personnel glove</t>
        </is>
      </c>
      <c r="F2673" t="n">
        <v>1</v>
      </c>
      <c r="G2673" t="inlineStr">
        <is>
          <t>Tech B</t>
        </is>
      </c>
      <c r="H2673">
        <f>INDEX(Limits!$B$2:$B$5,MATCH(E2673,Limits!$A$2:$A$5,0))</f>
        <v/>
      </c>
      <c r="I2673">
        <f>INDEX(Limits!$C$2:$C$5,MATCH(E2673,Limits!$A$2:$A$5,0))</f>
        <v/>
      </c>
      <c r="J2673">
        <f>IF(F2673&gt;=I2673,"Action",IF(F2673&gt;=H2673,"Alert","Pass"))</f>
        <v/>
      </c>
      <c r="K2673" s="4">
        <f>DATE(YEAR(B2673),MONTH(B2673),1)</f>
        <v/>
      </c>
    </row>
    <row r="2674">
      <c r="A2674" t="inlineStr">
        <is>
          <t>EM002673</t>
        </is>
      </c>
      <c r="B2674" s="7" t="n">
        <v>46223</v>
      </c>
      <c r="C2674" t="inlineStr">
        <is>
          <t>CR-202</t>
        </is>
      </c>
      <c r="D2674" t="inlineStr">
        <is>
          <t>ISO 8</t>
        </is>
      </c>
      <c r="E2674" t="inlineStr">
        <is>
          <t>Active air</t>
        </is>
      </c>
      <c r="F2674" t="n">
        <v>5</v>
      </c>
      <c r="G2674" t="inlineStr">
        <is>
          <t>Tech D</t>
        </is>
      </c>
      <c r="H2674">
        <f>INDEX(Limits!$B$2:$B$5,MATCH(E2674,Limits!$A$2:$A$5,0))</f>
        <v/>
      </c>
      <c r="I2674">
        <f>INDEX(Limits!$C$2:$C$5,MATCH(E2674,Limits!$A$2:$A$5,0))</f>
        <v/>
      </c>
      <c r="J2674">
        <f>IF(F2674&gt;=I2674,"Action",IF(F2674&gt;=H2674,"Alert","Pass"))</f>
        <v/>
      </c>
      <c r="K2674" s="4">
        <f>DATE(YEAR(B2674),MONTH(B2674),1)</f>
        <v/>
      </c>
    </row>
    <row r="2675">
      <c r="A2675" t="inlineStr">
        <is>
          <t>EM002674</t>
        </is>
      </c>
      <c r="B2675" s="7" t="n">
        <v>46223</v>
      </c>
      <c r="C2675" t="inlineStr">
        <is>
          <t>CR-202</t>
        </is>
      </c>
      <c r="D2675" t="inlineStr">
        <is>
          <t>ISO 8</t>
        </is>
      </c>
      <c r="E2675" t="inlineStr">
        <is>
          <t>Surface contact</t>
        </is>
      </c>
      <c r="F2675" t="n">
        <v>0</v>
      </c>
      <c r="G2675" t="inlineStr">
        <is>
          <t>Tech B</t>
        </is>
      </c>
      <c r="H2675">
        <f>INDEX(Limits!$B$2:$B$5,MATCH(E2675,Limits!$A$2:$A$5,0))</f>
        <v/>
      </c>
      <c r="I2675">
        <f>INDEX(Limits!$C$2:$C$5,MATCH(E2675,Limits!$A$2:$A$5,0))</f>
        <v/>
      </c>
      <c r="J2675">
        <f>IF(F2675&gt;=I2675,"Action",IF(F2675&gt;=H2675,"Alert","Pass"))</f>
        <v/>
      </c>
      <c r="K2675" s="4">
        <f>DATE(YEAR(B2675),MONTH(B2675),1)</f>
        <v/>
      </c>
    </row>
    <row r="2676">
      <c r="A2676" t="inlineStr">
        <is>
          <t>EM002675</t>
        </is>
      </c>
      <c r="B2676" s="7" t="n">
        <v>46223</v>
      </c>
      <c r="C2676" t="inlineStr">
        <is>
          <t>CR-202</t>
        </is>
      </c>
      <c r="D2676" t="inlineStr">
        <is>
          <t>ISO 8</t>
        </is>
      </c>
      <c r="E2676" t="inlineStr">
        <is>
          <t>Compressed air</t>
        </is>
      </c>
      <c r="F2676" t="n">
        <v>0</v>
      </c>
      <c r="G2676" t="inlineStr">
        <is>
          <t>Tech B</t>
        </is>
      </c>
      <c r="H2676">
        <f>INDEX(Limits!$B$2:$B$5,MATCH(E2676,Limits!$A$2:$A$5,0))</f>
        <v/>
      </c>
      <c r="I2676">
        <f>INDEX(Limits!$C$2:$C$5,MATCH(E2676,Limits!$A$2:$A$5,0))</f>
        <v/>
      </c>
      <c r="J2676">
        <f>IF(F2676&gt;=I2676,"Action",IF(F2676&gt;=H2676,"Alert","Pass"))</f>
        <v/>
      </c>
      <c r="K2676" s="4">
        <f>DATE(YEAR(B2676),MONTH(B2676),1)</f>
        <v/>
      </c>
    </row>
    <row r="2677">
      <c r="A2677" t="inlineStr">
        <is>
          <t>EM002676</t>
        </is>
      </c>
      <c r="B2677" s="7" t="n">
        <v>46223</v>
      </c>
      <c r="C2677" t="inlineStr">
        <is>
          <t>CR-202</t>
        </is>
      </c>
      <c r="D2677" t="inlineStr">
        <is>
          <t>ISO 8</t>
        </is>
      </c>
      <c r="E2677" t="inlineStr">
        <is>
          <t>Personnel glove</t>
        </is>
      </c>
      <c r="F2677" t="n">
        <v>0</v>
      </c>
      <c r="G2677" t="inlineStr">
        <is>
          <t>Tech C</t>
        </is>
      </c>
      <c r="H2677">
        <f>INDEX(Limits!$B$2:$B$5,MATCH(E2677,Limits!$A$2:$A$5,0))</f>
        <v/>
      </c>
      <c r="I2677">
        <f>INDEX(Limits!$C$2:$C$5,MATCH(E2677,Limits!$A$2:$A$5,0))</f>
        <v/>
      </c>
      <c r="J2677">
        <f>IF(F2677&gt;=I2677,"Action",IF(F2677&gt;=H2677,"Alert","Pass"))</f>
        <v/>
      </c>
      <c r="K2677" s="4">
        <f>DATE(YEAR(B2677),MONTH(B2677),1)</f>
        <v/>
      </c>
    </row>
    <row r="2678">
      <c r="A2678" t="inlineStr">
        <is>
          <t>EM002677</t>
        </is>
      </c>
      <c r="B2678" s="7" t="n">
        <v>46223</v>
      </c>
      <c r="C2678" t="inlineStr">
        <is>
          <t>Gowning</t>
        </is>
      </c>
      <c r="D2678" t="inlineStr">
        <is>
          <t>ISO 8</t>
        </is>
      </c>
      <c r="E2678" t="inlineStr">
        <is>
          <t>Active air</t>
        </is>
      </c>
      <c r="F2678" t="n">
        <v>3</v>
      </c>
      <c r="G2678" t="inlineStr">
        <is>
          <t>Tech A</t>
        </is>
      </c>
      <c r="H2678">
        <f>INDEX(Limits!$B$2:$B$5,MATCH(E2678,Limits!$A$2:$A$5,0))</f>
        <v/>
      </c>
      <c r="I2678">
        <f>INDEX(Limits!$C$2:$C$5,MATCH(E2678,Limits!$A$2:$A$5,0))</f>
        <v/>
      </c>
      <c r="J2678">
        <f>IF(F2678&gt;=I2678,"Action",IF(F2678&gt;=H2678,"Alert","Pass"))</f>
        <v/>
      </c>
      <c r="K2678" s="4">
        <f>DATE(YEAR(B2678),MONTH(B2678),1)</f>
        <v/>
      </c>
    </row>
    <row r="2679">
      <c r="A2679" t="inlineStr">
        <is>
          <t>EM002678</t>
        </is>
      </c>
      <c r="B2679" s="7" t="n">
        <v>46223</v>
      </c>
      <c r="C2679" t="inlineStr">
        <is>
          <t>Gowning</t>
        </is>
      </c>
      <c r="D2679" t="inlineStr">
        <is>
          <t>ISO 8</t>
        </is>
      </c>
      <c r="E2679" t="inlineStr">
        <is>
          <t>Surface contact</t>
        </is>
      </c>
      <c r="F2679" t="n">
        <v>0</v>
      </c>
      <c r="G2679" t="inlineStr">
        <is>
          <t>Tech D</t>
        </is>
      </c>
      <c r="H2679">
        <f>INDEX(Limits!$B$2:$B$5,MATCH(E2679,Limits!$A$2:$A$5,0))</f>
        <v/>
      </c>
      <c r="I2679">
        <f>INDEX(Limits!$C$2:$C$5,MATCH(E2679,Limits!$A$2:$A$5,0))</f>
        <v/>
      </c>
      <c r="J2679">
        <f>IF(F2679&gt;=I2679,"Action",IF(F2679&gt;=H2679,"Alert","Pass"))</f>
        <v/>
      </c>
      <c r="K2679" s="4">
        <f>DATE(YEAR(B2679),MONTH(B2679),1)</f>
        <v/>
      </c>
    </row>
    <row r="2680">
      <c r="A2680" t="inlineStr">
        <is>
          <t>EM002679</t>
        </is>
      </c>
      <c r="B2680" s="7" t="n">
        <v>46223</v>
      </c>
      <c r="C2680" t="inlineStr">
        <is>
          <t>Gowning</t>
        </is>
      </c>
      <c r="D2680" t="inlineStr">
        <is>
          <t>ISO 8</t>
        </is>
      </c>
      <c r="E2680" t="inlineStr">
        <is>
          <t>Personnel glove</t>
        </is>
      </c>
      <c r="F2680" t="n">
        <v>0</v>
      </c>
      <c r="G2680" t="inlineStr">
        <is>
          <t>Tech B</t>
        </is>
      </c>
      <c r="H2680">
        <f>INDEX(Limits!$B$2:$B$5,MATCH(E2680,Limits!$A$2:$A$5,0))</f>
        <v/>
      </c>
      <c r="I2680">
        <f>INDEX(Limits!$C$2:$C$5,MATCH(E2680,Limits!$A$2:$A$5,0))</f>
        <v/>
      </c>
      <c r="J2680">
        <f>IF(F2680&gt;=I2680,"Action",IF(F2680&gt;=H2680,"Alert","Pass"))</f>
        <v/>
      </c>
      <c r="K2680" s="4">
        <f>DATE(YEAR(B2680),MONTH(B2680),1)</f>
        <v/>
      </c>
    </row>
    <row r="2681">
      <c r="A2681" t="inlineStr">
        <is>
          <t>EM002680</t>
        </is>
      </c>
      <c r="B2681" s="7" t="n">
        <v>46224</v>
      </c>
      <c r="C2681" t="inlineStr">
        <is>
          <t>CR-101</t>
        </is>
      </c>
      <c r="D2681" t="inlineStr">
        <is>
          <t>ISO 7</t>
        </is>
      </c>
      <c r="E2681" t="inlineStr">
        <is>
          <t>Active air</t>
        </is>
      </c>
      <c r="F2681" t="n">
        <v>2</v>
      </c>
      <c r="G2681" t="inlineStr">
        <is>
          <t>Tech B</t>
        </is>
      </c>
      <c r="H2681">
        <f>INDEX(Limits!$B$2:$B$5,MATCH(E2681,Limits!$A$2:$A$5,0))</f>
        <v/>
      </c>
      <c r="I2681">
        <f>INDEX(Limits!$C$2:$C$5,MATCH(E2681,Limits!$A$2:$A$5,0))</f>
        <v/>
      </c>
      <c r="J2681">
        <f>IF(F2681&gt;=I2681,"Action",IF(F2681&gt;=H2681,"Alert","Pass"))</f>
        <v/>
      </c>
      <c r="K2681" s="4">
        <f>DATE(YEAR(B2681),MONTH(B2681),1)</f>
        <v/>
      </c>
    </row>
    <row r="2682">
      <c r="A2682" t="inlineStr">
        <is>
          <t>EM002681</t>
        </is>
      </c>
      <c r="B2682" s="7" t="n">
        <v>46224</v>
      </c>
      <c r="C2682" t="inlineStr">
        <is>
          <t>CR-101</t>
        </is>
      </c>
      <c r="D2682" t="inlineStr">
        <is>
          <t>ISO 7</t>
        </is>
      </c>
      <c r="E2682" t="inlineStr">
        <is>
          <t>Surface contact</t>
        </is>
      </c>
      <c r="F2682" t="n">
        <v>0</v>
      </c>
      <c r="G2682" t="inlineStr">
        <is>
          <t>Tech D</t>
        </is>
      </c>
      <c r="H2682">
        <f>INDEX(Limits!$B$2:$B$5,MATCH(E2682,Limits!$A$2:$A$5,0))</f>
        <v/>
      </c>
      <c r="I2682">
        <f>INDEX(Limits!$C$2:$C$5,MATCH(E2682,Limits!$A$2:$A$5,0))</f>
        <v/>
      </c>
      <c r="J2682">
        <f>IF(F2682&gt;=I2682,"Action",IF(F2682&gt;=H2682,"Alert","Pass"))</f>
        <v/>
      </c>
      <c r="K2682" s="4">
        <f>DATE(YEAR(B2682),MONTH(B2682),1)</f>
        <v/>
      </c>
    </row>
    <row r="2683">
      <c r="A2683" t="inlineStr">
        <is>
          <t>EM002682</t>
        </is>
      </c>
      <c r="B2683" s="7" t="n">
        <v>46224</v>
      </c>
      <c r="C2683" t="inlineStr">
        <is>
          <t>CR-101</t>
        </is>
      </c>
      <c r="D2683" t="inlineStr">
        <is>
          <t>ISO 7</t>
        </is>
      </c>
      <c r="E2683" t="inlineStr">
        <is>
          <t>Compressed air</t>
        </is>
      </c>
      <c r="F2683" t="n">
        <v>0</v>
      </c>
      <c r="G2683" t="inlineStr">
        <is>
          <t>Tech D</t>
        </is>
      </c>
      <c r="H2683">
        <f>INDEX(Limits!$B$2:$B$5,MATCH(E2683,Limits!$A$2:$A$5,0))</f>
        <v/>
      </c>
      <c r="I2683">
        <f>INDEX(Limits!$C$2:$C$5,MATCH(E2683,Limits!$A$2:$A$5,0))</f>
        <v/>
      </c>
      <c r="J2683">
        <f>IF(F2683&gt;=I2683,"Action",IF(F2683&gt;=H2683,"Alert","Pass"))</f>
        <v/>
      </c>
      <c r="K2683" s="4">
        <f>DATE(YEAR(B2683),MONTH(B2683),1)</f>
        <v/>
      </c>
    </row>
    <row r="2684">
      <c r="A2684" t="inlineStr">
        <is>
          <t>EM002683</t>
        </is>
      </c>
      <c r="B2684" s="7" t="n">
        <v>46224</v>
      </c>
      <c r="C2684" t="inlineStr">
        <is>
          <t>CR-101</t>
        </is>
      </c>
      <c r="D2684" t="inlineStr">
        <is>
          <t>ISO 7</t>
        </is>
      </c>
      <c r="E2684" t="inlineStr">
        <is>
          <t>Personnel glove</t>
        </is>
      </c>
      <c r="F2684" t="n">
        <v>0</v>
      </c>
      <c r="G2684" t="inlineStr">
        <is>
          <t>Tech C</t>
        </is>
      </c>
      <c r="H2684">
        <f>INDEX(Limits!$B$2:$B$5,MATCH(E2684,Limits!$A$2:$A$5,0))</f>
        <v/>
      </c>
      <c r="I2684">
        <f>INDEX(Limits!$C$2:$C$5,MATCH(E2684,Limits!$A$2:$A$5,0))</f>
        <v/>
      </c>
      <c r="J2684">
        <f>IF(F2684&gt;=I2684,"Action",IF(F2684&gt;=H2684,"Alert","Pass"))</f>
        <v/>
      </c>
      <c r="K2684" s="4">
        <f>DATE(YEAR(B2684),MONTH(B2684),1)</f>
        <v/>
      </c>
    </row>
    <row r="2685">
      <c r="A2685" t="inlineStr">
        <is>
          <t>EM002684</t>
        </is>
      </c>
      <c r="B2685" s="7" t="n">
        <v>46224</v>
      </c>
      <c r="C2685" t="inlineStr">
        <is>
          <t>CR-102</t>
        </is>
      </c>
      <c r="D2685" t="inlineStr">
        <is>
          <t>ISO 7</t>
        </is>
      </c>
      <c r="E2685" t="inlineStr">
        <is>
          <t>Active air</t>
        </is>
      </c>
      <c r="F2685" t="n">
        <v>1</v>
      </c>
      <c r="G2685" t="inlineStr">
        <is>
          <t>Tech B</t>
        </is>
      </c>
      <c r="H2685">
        <f>INDEX(Limits!$B$2:$B$5,MATCH(E2685,Limits!$A$2:$A$5,0))</f>
        <v/>
      </c>
      <c r="I2685">
        <f>INDEX(Limits!$C$2:$C$5,MATCH(E2685,Limits!$A$2:$A$5,0))</f>
        <v/>
      </c>
      <c r="J2685">
        <f>IF(F2685&gt;=I2685,"Action",IF(F2685&gt;=H2685,"Alert","Pass"))</f>
        <v/>
      </c>
      <c r="K2685" s="4">
        <f>DATE(YEAR(B2685),MONTH(B2685),1)</f>
        <v/>
      </c>
    </row>
    <row r="2686">
      <c r="A2686" t="inlineStr">
        <is>
          <t>EM002685</t>
        </is>
      </c>
      <c r="B2686" s="7" t="n">
        <v>46224</v>
      </c>
      <c r="C2686" t="inlineStr">
        <is>
          <t>CR-102</t>
        </is>
      </c>
      <c r="D2686" t="inlineStr">
        <is>
          <t>ISO 7</t>
        </is>
      </c>
      <c r="E2686" t="inlineStr">
        <is>
          <t>Surface contact</t>
        </is>
      </c>
      <c r="F2686" t="n">
        <v>1</v>
      </c>
      <c r="G2686" t="inlineStr">
        <is>
          <t>Tech C</t>
        </is>
      </c>
      <c r="H2686">
        <f>INDEX(Limits!$B$2:$B$5,MATCH(E2686,Limits!$A$2:$A$5,0))</f>
        <v/>
      </c>
      <c r="I2686">
        <f>INDEX(Limits!$C$2:$C$5,MATCH(E2686,Limits!$A$2:$A$5,0))</f>
        <v/>
      </c>
      <c r="J2686">
        <f>IF(F2686&gt;=I2686,"Action",IF(F2686&gt;=H2686,"Alert","Pass"))</f>
        <v/>
      </c>
      <c r="K2686" s="4">
        <f>DATE(YEAR(B2686),MONTH(B2686),1)</f>
        <v/>
      </c>
    </row>
    <row r="2687">
      <c r="A2687" t="inlineStr">
        <is>
          <t>EM002686</t>
        </is>
      </c>
      <c r="B2687" s="7" t="n">
        <v>46224</v>
      </c>
      <c r="C2687" t="inlineStr">
        <is>
          <t>CR-102</t>
        </is>
      </c>
      <c r="D2687" t="inlineStr">
        <is>
          <t>ISO 7</t>
        </is>
      </c>
      <c r="E2687" t="inlineStr">
        <is>
          <t>Compressed air</t>
        </is>
      </c>
      <c r="F2687" t="n">
        <v>0</v>
      </c>
      <c r="G2687" t="inlineStr">
        <is>
          <t>Tech D</t>
        </is>
      </c>
      <c r="H2687">
        <f>INDEX(Limits!$B$2:$B$5,MATCH(E2687,Limits!$A$2:$A$5,0))</f>
        <v/>
      </c>
      <c r="I2687">
        <f>INDEX(Limits!$C$2:$C$5,MATCH(E2687,Limits!$A$2:$A$5,0))</f>
        <v/>
      </c>
      <c r="J2687">
        <f>IF(F2687&gt;=I2687,"Action",IF(F2687&gt;=H2687,"Alert","Pass"))</f>
        <v/>
      </c>
      <c r="K2687" s="4">
        <f>DATE(YEAR(B2687),MONTH(B2687),1)</f>
        <v/>
      </c>
    </row>
    <row r="2688">
      <c r="A2688" t="inlineStr">
        <is>
          <t>EM002687</t>
        </is>
      </c>
      <c r="B2688" s="7" t="n">
        <v>46224</v>
      </c>
      <c r="C2688" t="inlineStr">
        <is>
          <t>CR-102</t>
        </is>
      </c>
      <c r="D2688" t="inlineStr">
        <is>
          <t>ISO 7</t>
        </is>
      </c>
      <c r="E2688" t="inlineStr">
        <is>
          <t>Personnel glove</t>
        </is>
      </c>
      <c r="F2688" t="n">
        <v>0</v>
      </c>
      <c r="G2688" t="inlineStr">
        <is>
          <t>Tech A</t>
        </is>
      </c>
      <c r="H2688">
        <f>INDEX(Limits!$B$2:$B$5,MATCH(E2688,Limits!$A$2:$A$5,0))</f>
        <v/>
      </c>
      <c r="I2688">
        <f>INDEX(Limits!$C$2:$C$5,MATCH(E2688,Limits!$A$2:$A$5,0))</f>
        <v/>
      </c>
      <c r="J2688">
        <f>IF(F2688&gt;=I2688,"Action",IF(F2688&gt;=H2688,"Alert","Pass"))</f>
        <v/>
      </c>
      <c r="K2688" s="4">
        <f>DATE(YEAR(B2688),MONTH(B2688),1)</f>
        <v/>
      </c>
    </row>
    <row r="2689">
      <c r="A2689" t="inlineStr">
        <is>
          <t>EM002688</t>
        </is>
      </c>
      <c r="B2689" s="7" t="n">
        <v>46224</v>
      </c>
      <c r="C2689" t="inlineStr">
        <is>
          <t>CR-201</t>
        </is>
      </c>
      <c r="D2689" t="inlineStr">
        <is>
          <t>ISO 8</t>
        </is>
      </c>
      <c r="E2689" t="inlineStr">
        <is>
          <t>Active air</t>
        </is>
      </c>
      <c r="F2689" t="n">
        <v>4</v>
      </c>
      <c r="G2689" t="inlineStr">
        <is>
          <t>Tech C</t>
        </is>
      </c>
      <c r="H2689">
        <f>INDEX(Limits!$B$2:$B$5,MATCH(E2689,Limits!$A$2:$A$5,0))</f>
        <v/>
      </c>
      <c r="I2689">
        <f>INDEX(Limits!$C$2:$C$5,MATCH(E2689,Limits!$A$2:$A$5,0))</f>
        <v/>
      </c>
      <c r="J2689">
        <f>IF(F2689&gt;=I2689,"Action",IF(F2689&gt;=H2689,"Alert","Pass"))</f>
        <v/>
      </c>
      <c r="K2689" s="4">
        <f>DATE(YEAR(B2689),MONTH(B2689),1)</f>
        <v/>
      </c>
    </row>
    <row r="2690">
      <c r="A2690" t="inlineStr">
        <is>
          <t>EM002689</t>
        </is>
      </c>
      <c r="B2690" s="7" t="n">
        <v>46224</v>
      </c>
      <c r="C2690" t="inlineStr">
        <is>
          <t>CR-201</t>
        </is>
      </c>
      <c r="D2690" t="inlineStr">
        <is>
          <t>ISO 8</t>
        </is>
      </c>
      <c r="E2690" t="inlineStr">
        <is>
          <t>Surface contact</t>
        </is>
      </c>
      <c r="F2690" t="n">
        <v>1</v>
      </c>
      <c r="G2690" t="inlineStr">
        <is>
          <t>Tech B</t>
        </is>
      </c>
      <c r="H2690">
        <f>INDEX(Limits!$B$2:$B$5,MATCH(E2690,Limits!$A$2:$A$5,0))</f>
        <v/>
      </c>
      <c r="I2690">
        <f>INDEX(Limits!$C$2:$C$5,MATCH(E2690,Limits!$A$2:$A$5,0))</f>
        <v/>
      </c>
      <c r="J2690">
        <f>IF(F2690&gt;=I2690,"Action",IF(F2690&gt;=H2690,"Alert","Pass"))</f>
        <v/>
      </c>
      <c r="K2690" s="4">
        <f>DATE(YEAR(B2690),MONTH(B2690),1)</f>
        <v/>
      </c>
    </row>
    <row r="2691">
      <c r="A2691" t="inlineStr">
        <is>
          <t>EM002690</t>
        </is>
      </c>
      <c r="B2691" s="7" t="n">
        <v>46224</v>
      </c>
      <c r="C2691" t="inlineStr">
        <is>
          <t>CR-201</t>
        </is>
      </c>
      <c r="D2691" t="inlineStr">
        <is>
          <t>ISO 8</t>
        </is>
      </c>
      <c r="E2691" t="inlineStr">
        <is>
          <t>Compressed air</t>
        </is>
      </c>
      <c r="F2691" t="n">
        <v>0</v>
      </c>
      <c r="G2691" t="inlineStr">
        <is>
          <t>Tech A</t>
        </is>
      </c>
      <c r="H2691">
        <f>INDEX(Limits!$B$2:$B$5,MATCH(E2691,Limits!$A$2:$A$5,0))</f>
        <v/>
      </c>
      <c r="I2691">
        <f>INDEX(Limits!$C$2:$C$5,MATCH(E2691,Limits!$A$2:$A$5,0))</f>
        <v/>
      </c>
      <c r="J2691">
        <f>IF(F2691&gt;=I2691,"Action",IF(F2691&gt;=H2691,"Alert","Pass"))</f>
        <v/>
      </c>
      <c r="K2691" s="4">
        <f>DATE(YEAR(B2691),MONTH(B2691),1)</f>
        <v/>
      </c>
    </row>
    <row r="2692">
      <c r="A2692" t="inlineStr">
        <is>
          <t>EM002691</t>
        </is>
      </c>
      <c r="B2692" s="7" t="n">
        <v>46224</v>
      </c>
      <c r="C2692" t="inlineStr">
        <is>
          <t>CR-201</t>
        </is>
      </c>
      <c r="D2692" t="inlineStr">
        <is>
          <t>ISO 8</t>
        </is>
      </c>
      <c r="E2692" t="inlineStr">
        <is>
          <t>Personnel glove</t>
        </is>
      </c>
      <c r="F2692" t="n">
        <v>1</v>
      </c>
      <c r="G2692" t="inlineStr">
        <is>
          <t>Tech B</t>
        </is>
      </c>
      <c r="H2692">
        <f>INDEX(Limits!$B$2:$B$5,MATCH(E2692,Limits!$A$2:$A$5,0))</f>
        <v/>
      </c>
      <c r="I2692">
        <f>INDEX(Limits!$C$2:$C$5,MATCH(E2692,Limits!$A$2:$A$5,0))</f>
        <v/>
      </c>
      <c r="J2692">
        <f>IF(F2692&gt;=I2692,"Action",IF(F2692&gt;=H2692,"Alert","Pass"))</f>
        <v/>
      </c>
      <c r="K2692" s="4">
        <f>DATE(YEAR(B2692),MONTH(B2692),1)</f>
        <v/>
      </c>
    </row>
    <row r="2693">
      <c r="A2693" t="inlineStr">
        <is>
          <t>EM002692</t>
        </is>
      </c>
      <c r="B2693" s="7" t="n">
        <v>46224</v>
      </c>
      <c r="C2693" t="inlineStr">
        <is>
          <t>CR-202</t>
        </is>
      </c>
      <c r="D2693" t="inlineStr">
        <is>
          <t>ISO 8</t>
        </is>
      </c>
      <c r="E2693" t="inlineStr">
        <is>
          <t>Active air</t>
        </is>
      </c>
      <c r="F2693" t="n">
        <v>3</v>
      </c>
      <c r="G2693" t="inlineStr">
        <is>
          <t>Tech D</t>
        </is>
      </c>
      <c r="H2693">
        <f>INDEX(Limits!$B$2:$B$5,MATCH(E2693,Limits!$A$2:$A$5,0))</f>
        <v/>
      </c>
      <c r="I2693">
        <f>INDEX(Limits!$C$2:$C$5,MATCH(E2693,Limits!$A$2:$A$5,0))</f>
        <v/>
      </c>
      <c r="J2693">
        <f>IF(F2693&gt;=I2693,"Action",IF(F2693&gt;=H2693,"Alert","Pass"))</f>
        <v/>
      </c>
      <c r="K2693" s="4">
        <f>DATE(YEAR(B2693),MONTH(B2693),1)</f>
        <v/>
      </c>
    </row>
    <row r="2694">
      <c r="A2694" t="inlineStr">
        <is>
          <t>EM002693</t>
        </is>
      </c>
      <c r="B2694" s="7" t="n">
        <v>46224</v>
      </c>
      <c r="C2694" t="inlineStr">
        <is>
          <t>CR-202</t>
        </is>
      </c>
      <c r="D2694" t="inlineStr">
        <is>
          <t>ISO 8</t>
        </is>
      </c>
      <c r="E2694" t="inlineStr">
        <is>
          <t>Surface contact</t>
        </is>
      </c>
      <c r="F2694" t="n">
        <v>0</v>
      </c>
      <c r="G2694" t="inlineStr">
        <is>
          <t>Tech D</t>
        </is>
      </c>
      <c r="H2694">
        <f>INDEX(Limits!$B$2:$B$5,MATCH(E2694,Limits!$A$2:$A$5,0))</f>
        <v/>
      </c>
      <c r="I2694">
        <f>INDEX(Limits!$C$2:$C$5,MATCH(E2694,Limits!$A$2:$A$5,0))</f>
        <v/>
      </c>
      <c r="J2694">
        <f>IF(F2694&gt;=I2694,"Action",IF(F2694&gt;=H2694,"Alert","Pass"))</f>
        <v/>
      </c>
      <c r="K2694" s="4">
        <f>DATE(YEAR(B2694),MONTH(B2694),1)</f>
        <v/>
      </c>
    </row>
    <row r="2695">
      <c r="A2695" t="inlineStr">
        <is>
          <t>EM002694</t>
        </is>
      </c>
      <c r="B2695" s="7" t="n">
        <v>46224</v>
      </c>
      <c r="C2695" t="inlineStr">
        <is>
          <t>CR-202</t>
        </is>
      </c>
      <c r="D2695" t="inlineStr">
        <is>
          <t>ISO 8</t>
        </is>
      </c>
      <c r="E2695" t="inlineStr">
        <is>
          <t>Compressed air</t>
        </is>
      </c>
      <c r="F2695" t="n">
        <v>0</v>
      </c>
      <c r="G2695" t="inlineStr">
        <is>
          <t>Tech C</t>
        </is>
      </c>
      <c r="H2695">
        <f>INDEX(Limits!$B$2:$B$5,MATCH(E2695,Limits!$A$2:$A$5,0))</f>
        <v/>
      </c>
      <c r="I2695">
        <f>INDEX(Limits!$C$2:$C$5,MATCH(E2695,Limits!$A$2:$A$5,0))</f>
        <v/>
      </c>
      <c r="J2695">
        <f>IF(F2695&gt;=I2695,"Action",IF(F2695&gt;=H2695,"Alert","Pass"))</f>
        <v/>
      </c>
      <c r="K2695" s="4">
        <f>DATE(YEAR(B2695),MONTH(B2695),1)</f>
        <v/>
      </c>
    </row>
    <row r="2696">
      <c r="A2696" t="inlineStr">
        <is>
          <t>EM002695</t>
        </is>
      </c>
      <c r="B2696" s="7" t="n">
        <v>46224</v>
      </c>
      <c r="C2696" t="inlineStr">
        <is>
          <t>CR-202</t>
        </is>
      </c>
      <c r="D2696" t="inlineStr">
        <is>
          <t>ISO 8</t>
        </is>
      </c>
      <c r="E2696" t="inlineStr">
        <is>
          <t>Personnel glove</t>
        </is>
      </c>
      <c r="F2696" t="n">
        <v>0</v>
      </c>
      <c r="G2696" t="inlineStr">
        <is>
          <t>Tech D</t>
        </is>
      </c>
      <c r="H2696">
        <f>INDEX(Limits!$B$2:$B$5,MATCH(E2696,Limits!$A$2:$A$5,0))</f>
        <v/>
      </c>
      <c r="I2696">
        <f>INDEX(Limits!$C$2:$C$5,MATCH(E2696,Limits!$A$2:$A$5,0))</f>
        <v/>
      </c>
      <c r="J2696">
        <f>IF(F2696&gt;=I2696,"Action",IF(F2696&gt;=H2696,"Alert","Pass"))</f>
        <v/>
      </c>
      <c r="K2696" s="4">
        <f>DATE(YEAR(B2696),MONTH(B2696),1)</f>
        <v/>
      </c>
    </row>
    <row r="2697">
      <c r="A2697" t="inlineStr">
        <is>
          <t>EM002696</t>
        </is>
      </c>
      <c r="B2697" s="7" t="n">
        <v>46224</v>
      </c>
      <c r="C2697" t="inlineStr">
        <is>
          <t>Gowning</t>
        </is>
      </c>
      <c r="D2697" t="inlineStr">
        <is>
          <t>ISO 8</t>
        </is>
      </c>
      <c r="E2697" t="inlineStr">
        <is>
          <t>Active air</t>
        </is>
      </c>
      <c r="F2697" t="n">
        <v>4</v>
      </c>
      <c r="G2697" t="inlineStr">
        <is>
          <t>Tech D</t>
        </is>
      </c>
      <c r="H2697">
        <f>INDEX(Limits!$B$2:$B$5,MATCH(E2697,Limits!$A$2:$A$5,0))</f>
        <v/>
      </c>
      <c r="I2697">
        <f>INDEX(Limits!$C$2:$C$5,MATCH(E2697,Limits!$A$2:$A$5,0))</f>
        <v/>
      </c>
      <c r="J2697">
        <f>IF(F2697&gt;=I2697,"Action",IF(F2697&gt;=H2697,"Alert","Pass"))</f>
        <v/>
      </c>
      <c r="K2697" s="4">
        <f>DATE(YEAR(B2697),MONTH(B2697),1)</f>
        <v/>
      </c>
    </row>
    <row r="2698">
      <c r="A2698" t="inlineStr">
        <is>
          <t>EM002697</t>
        </is>
      </c>
      <c r="B2698" s="7" t="n">
        <v>46224</v>
      </c>
      <c r="C2698" t="inlineStr">
        <is>
          <t>Gowning</t>
        </is>
      </c>
      <c r="D2698" t="inlineStr">
        <is>
          <t>ISO 8</t>
        </is>
      </c>
      <c r="E2698" t="inlineStr">
        <is>
          <t>Surface contact</t>
        </is>
      </c>
      <c r="F2698" t="n">
        <v>0</v>
      </c>
      <c r="G2698" t="inlineStr">
        <is>
          <t>Tech A</t>
        </is>
      </c>
      <c r="H2698">
        <f>INDEX(Limits!$B$2:$B$5,MATCH(E2698,Limits!$A$2:$A$5,0))</f>
        <v/>
      </c>
      <c r="I2698">
        <f>INDEX(Limits!$C$2:$C$5,MATCH(E2698,Limits!$A$2:$A$5,0))</f>
        <v/>
      </c>
      <c r="J2698">
        <f>IF(F2698&gt;=I2698,"Action",IF(F2698&gt;=H2698,"Alert","Pass"))</f>
        <v/>
      </c>
      <c r="K2698" s="4">
        <f>DATE(YEAR(B2698),MONTH(B2698),1)</f>
        <v/>
      </c>
    </row>
    <row r="2699">
      <c r="A2699" t="inlineStr">
        <is>
          <t>EM002698</t>
        </is>
      </c>
      <c r="B2699" s="7" t="n">
        <v>46224</v>
      </c>
      <c r="C2699" t="inlineStr">
        <is>
          <t>Gowning</t>
        </is>
      </c>
      <c r="D2699" t="inlineStr">
        <is>
          <t>ISO 8</t>
        </is>
      </c>
      <c r="E2699" t="inlineStr">
        <is>
          <t>Personnel glove</t>
        </is>
      </c>
      <c r="F2699" t="n">
        <v>0</v>
      </c>
      <c r="G2699" t="inlineStr">
        <is>
          <t>Tech C</t>
        </is>
      </c>
      <c r="H2699">
        <f>INDEX(Limits!$B$2:$B$5,MATCH(E2699,Limits!$A$2:$A$5,0))</f>
        <v/>
      </c>
      <c r="I2699">
        <f>INDEX(Limits!$C$2:$C$5,MATCH(E2699,Limits!$A$2:$A$5,0))</f>
        <v/>
      </c>
      <c r="J2699">
        <f>IF(F2699&gt;=I2699,"Action",IF(F2699&gt;=H2699,"Alert","Pass"))</f>
        <v/>
      </c>
      <c r="K2699" s="4">
        <f>DATE(YEAR(B2699),MONTH(B2699),1)</f>
        <v/>
      </c>
    </row>
    <row r="2700">
      <c r="A2700" t="inlineStr">
        <is>
          <t>EM002699</t>
        </is>
      </c>
      <c r="B2700" s="7" t="n">
        <v>46225</v>
      </c>
      <c r="C2700" t="inlineStr">
        <is>
          <t>CR-101</t>
        </is>
      </c>
      <c r="D2700" t="inlineStr">
        <is>
          <t>ISO 7</t>
        </is>
      </c>
      <c r="E2700" t="inlineStr">
        <is>
          <t>Active air</t>
        </is>
      </c>
      <c r="F2700" t="n">
        <v>1</v>
      </c>
      <c r="G2700" t="inlineStr">
        <is>
          <t>Tech D</t>
        </is>
      </c>
      <c r="H2700">
        <f>INDEX(Limits!$B$2:$B$5,MATCH(E2700,Limits!$A$2:$A$5,0))</f>
        <v/>
      </c>
      <c r="I2700">
        <f>INDEX(Limits!$C$2:$C$5,MATCH(E2700,Limits!$A$2:$A$5,0))</f>
        <v/>
      </c>
      <c r="J2700">
        <f>IF(F2700&gt;=I2700,"Action",IF(F2700&gt;=H2700,"Alert","Pass"))</f>
        <v/>
      </c>
      <c r="K2700" s="4">
        <f>DATE(YEAR(B2700),MONTH(B2700),1)</f>
        <v/>
      </c>
    </row>
    <row r="2701">
      <c r="A2701" t="inlineStr">
        <is>
          <t>EM002700</t>
        </is>
      </c>
      <c r="B2701" s="7" t="n">
        <v>46225</v>
      </c>
      <c r="C2701" t="inlineStr">
        <is>
          <t>CR-101</t>
        </is>
      </c>
      <c r="D2701" t="inlineStr">
        <is>
          <t>ISO 7</t>
        </is>
      </c>
      <c r="E2701" t="inlineStr">
        <is>
          <t>Surface contact</t>
        </is>
      </c>
      <c r="F2701" t="n">
        <v>1</v>
      </c>
      <c r="G2701" t="inlineStr">
        <is>
          <t>Tech D</t>
        </is>
      </c>
      <c r="H2701">
        <f>INDEX(Limits!$B$2:$B$5,MATCH(E2701,Limits!$A$2:$A$5,0))</f>
        <v/>
      </c>
      <c r="I2701">
        <f>INDEX(Limits!$C$2:$C$5,MATCH(E2701,Limits!$A$2:$A$5,0))</f>
        <v/>
      </c>
      <c r="J2701">
        <f>IF(F2701&gt;=I2701,"Action",IF(F2701&gt;=H2701,"Alert","Pass"))</f>
        <v/>
      </c>
      <c r="K2701" s="4">
        <f>DATE(YEAR(B2701),MONTH(B2701),1)</f>
        <v/>
      </c>
    </row>
    <row r="2702">
      <c r="A2702" t="inlineStr">
        <is>
          <t>EM002701</t>
        </is>
      </c>
      <c r="B2702" s="7" t="n">
        <v>46225</v>
      </c>
      <c r="C2702" t="inlineStr">
        <is>
          <t>CR-101</t>
        </is>
      </c>
      <c r="D2702" t="inlineStr">
        <is>
          <t>ISO 7</t>
        </is>
      </c>
      <c r="E2702" t="inlineStr">
        <is>
          <t>Compressed air</t>
        </is>
      </c>
      <c r="F2702" t="n">
        <v>0</v>
      </c>
      <c r="G2702" t="inlineStr">
        <is>
          <t>Tech B</t>
        </is>
      </c>
      <c r="H2702">
        <f>INDEX(Limits!$B$2:$B$5,MATCH(E2702,Limits!$A$2:$A$5,0))</f>
        <v/>
      </c>
      <c r="I2702">
        <f>INDEX(Limits!$C$2:$C$5,MATCH(E2702,Limits!$A$2:$A$5,0))</f>
        <v/>
      </c>
      <c r="J2702">
        <f>IF(F2702&gt;=I2702,"Action",IF(F2702&gt;=H2702,"Alert","Pass"))</f>
        <v/>
      </c>
      <c r="K2702" s="4">
        <f>DATE(YEAR(B2702),MONTH(B2702),1)</f>
        <v/>
      </c>
    </row>
    <row r="2703">
      <c r="A2703" t="inlineStr">
        <is>
          <t>EM002702</t>
        </is>
      </c>
      <c r="B2703" s="7" t="n">
        <v>46225</v>
      </c>
      <c r="C2703" t="inlineStr">
        <is>
          <t>CR-101</t>
        </is>
      </c>
      <c r="D2703" t="inlineStr">
        <is>
          <t>ISO 7</t>
        </is>
      </c>
      <c r="E2703" t="inlineStr">
        <is>
          <t>Personnel glove</t>
        </is>
      </c>
      <c r="F2703" t="n">
        <v>0</v>
      </c>
      <c r="G2703" t="inlineStr">
        <is>
          <t>Tech C</t>
        </is>
      </c>
      <c r="H2703">
        <f>INDEX(Limits!$B$2:$B$5,MATCH(E2703,Limits!$A$2:$A$5,0))</f>
        <v/>
      </c>
      <c r="I2703">
        <f>INDEX(Limits!$C$2:$C$5,MATCH(E2703,Limits!$A$2:$A$5,0))</f>
        <v/>
      </c>
      <c r="J2703">
        <f>IF(F2703&gt;=I2703,"Action",IF(F2703&gt;=H2703,"Alert","Pass"))</f>
        <v/>
      </c>
      <c r="K2703" s="4">
        <f>DATE(YEAR(B2703),MONTH(B2703),1)</f>
        <v/>
      </c>
    </row>
    <row r="2704">
      <c r="A2704" t="inlineStr">
        <is>
          <t>EM002703</t>
        </is>
      </c>
      <c r="B2704" s="7" t="n">
        <v>46225</v>
      </c>
      <c r="C2704" t="inlineStr">
        <is>
          <t>CR-102</t>
        </is>
      </c>
      <c r="D2704" t="inlineStr">
        <is>
          <t>ISO 7</t>
        </is>
      </c>
      <c r="E2704" t="inlineStr">
        <is>
          <t>Active air</t>
        </is>
      </c>
      <c r="F2704" t="n">
        <v>2</v>
      </c>
      <c r="G2704" t="inlineStr">
        <is>
          <t>Tech B</t>
        </is>
      </c>
      <c r="H2704">
        <f>INDEX(Limits!$B$2:$B$5,MATCH(E2704,Limits!$A$2:$A$5,0))</f>
        <v/>
      </c>
      <c r="I2704">
        <f>INDEX(Limits!$C$2:$C$5,MATCH(E2704,Limits!$A$2:$A$5,0))</f>
        <v/>
      </c>
      <c r="J2704">
        <f>IF(F2704&gt;=I2704,"Action",IF(F2704&gt;=H2704,"Alert","Pass"))</f>
        <v/>
      </c>
      <c r="K2704" s="4">
        <f>DATE(YEAR(B2704),MONTH(B2704),1)</f>
        <v/>
      </c>
    </row>
    <row r="2705">
      <c r="A2705" t="inlineStr">
        <is>
          <t>EM002704</t>
        </is>
      </c>
      <c r="B2705" s="7" t="n">
        <v>46225</v>
      </c>
      <c r="C2705" t="inlineStr">
        <is>
          <t>CR-102</t>
        </is>
      </c>
      <c r="D2705" t="inlineStr">
        <is>
          <t>ISO 7</t>
        </is>
      </c>
      <c r="E2705" t="inlineStr">
        <is>
          <t>Surface contact</t>
        </is>
      </c>
      <c r="F2705" t="n">
        <v>1</v>
      </c>
      <c r="G2705" t="inlineStr">
        <is>
          <t>Tech D</t>
        </is>
      </c>
      <c r="H2705">
        <f>INDEX(Limits!$B$2:$B$5,MATCH(E2705,Limits!$A$2:$A$5,0))</f>
        <v/>
      </c>
      <c r="I2705">
        <f>INDEX(Limits!$C$2:$C$5,MATCH(E2705,Limits!$A$2:$A$5,0))</f>
        <v/>
      </c>
      <c r="J2705">
        <f>IF(F2705&gt;=I2705,"Action",IF(F2705&gt;=H2705,"Alert","Pass"))</f>
        <v/>
      </c>
      <c r="K2705" s="4">
        <f>DATE(YEAR(B2705),MONTH(B2705),1)</f>
        <v/>
      </c>
    </row>
    <row r="2706">
      <c r="A2706" t="inlineStr">
        <is>
          <t>EM002705</t>
        </is>
      </c>
      <c r="B2706" s="7" t="n">
        <v>46225</v>
      </c>
      <c r="C2706" t="inlineStr">
        <is>
          <t>CR-102</t>
        </is>
      </c>
      <c r="D2706" t="inlineStr">
        <is>
          <t>ISO 7</t>
        </is>
      </c>
      <c r="E2706" t="inlineStr">
        <is>
          <t>Compressed air</t>
        </is>
      </c>
      <c r="F2706" t="n">
        <v>0</v>
      </c>
      <c r="G2706" t="inlineStr">
        <is>
          <t>Tech D</t>
        </is>
      </c>
      <c r="H2706">
        <f>INDEX(Limits!$B$2:$B$5,MATCH(E2706,Limits!$A$2:$A$5,0))</f>
        <v/>
      </c>
      <c r="I2706">
        <f>INDEX(Limits!$C$2:$C$5,MATCH(E2706,Limits!$A$2:$A$5,0))</f>
        <v/>
      </c>
      <c r="J2706">
        <f>IF(F2706&gt;=I2706,"Action",IF(F2706&gt;=H2706,"Alert","Pass"))</f>
        <v/>
      </c>
      <c r="K2706" s="4">
        <f>DATE(YEAR(B2706),MONTH(B2706),1)</f>
        <v/>
      </c>
    </row>
    <row r="2707">
      <c r="A2707" t="inlineStr">
        <is>
          <t>EM002706</t>
        </is>
      </c>
      <c r="B2707" s="7" t="n">
        <v>46225</v>
      </c>
      <c r="C2707" t="inlineStr">
        <is>
          <t>CR-102</t>
        </is>
      </c>
      <c r="D2707" t="inlineStr">
        <is>
          <t>ISO 7</t>
        </is>
      </c>
      <c r="E2707" t="inlineStr">
        <is>
          <t>Personnel glove</t>
        </is>
      </c>
      <c r="F2707" t="n">
        <v>0</v>
      </c>
      <c r="G2707" t="inlineStr">
        <is>
          <t>Tech C</t>
        </is>
      </c>
      <c r="H2707">
        <f>INDEX(Limits!$B$2:$B$5,MATCH(E2707,Limits!$A$2:$A$5,0))</f>
        <v/>
      </c>
      <c r="I2707">
        <f>INDEX(Limits!$C$2:$C$5,MATCH(E2707,Limits!$A$2:$A$5,0))</f>
        <v/>
      </c>
      <c r="J2707">
        <f>IF(F2707&gt;=I2707,"Action",IF(F2707&gt;=H2707,"Alert","Pass"))</f>
        <v/>
      </c>
      <c r="K2707" s="4">
        <f>DATE(YEAR(B2707),MONTH(B2707),1)</f>
        <v/>
      </c>
    </row>
    <row r="2708">
      <c r="A2708" t="inlineStr">
        <is>
          <t>EM002707</t>
        </is>
      </c>
      <c r="B2708" s="7" t="n">
        <v>46225</v>
      </c>
      <c r="C2708" t="inlineStr">
        <is>
          <t>CR-201</t>
        </is>
      </c>
      <c r="D2708" t="inlineStr">
        <is>
          <t>ISO 8</t>
        </is>
      </c>
      <c r="E2708" t="inlineStr">
        <is>
          <t>Active air</t>
        </is>
      </c>
      <c r="F2708" t="n">
        <v>0</v>
      </c>
      <c r="G2708" t="inlineStr">
        <is>
          <t>Tech C</t>
        </is>
      </c>
      <c r="H2708">
        <f>INDEX(Limits!$B$2:$B$5,MATCH(E2708,Limits!$A$2:$A$5,0))</f>
        <v/>
      </c>
      <c r="I2708">
        <f>INDEX(Limits!$C$2:$C$5,MATCH(E2708,Limits!$A$2:$A$5,0))</f>
        <v/>
      </c>
      <c r="J2708">
        <f>IF(F2708&gt;=I2708,"Action",IF(F2708&gt;=H2708,"Alert","Pass"))</f>
        <v/>
      </c>
      <c r="K2708" s="4">
        <f>DATE(YEAR(B2708),MONTH(B2708),1)</f>
        <v/>
      </c>
    </row>
    <row r="2709">
      <c r="A2709" t="inlineStr">
        <is>
          <t>EM002708</t>
        </is>
      </c>
      <c r="B2709" s="7" t="n">
        <v>46225</v>
      </c>
      <c r="C2709" t="inlineStr">
        <is>
          <t>CR-201</t>
        </is>
      </c>
      <c r="D2709" t="inlineStr">
        <is>
          <t>ISO 8</t>
        </is>
      </c>
      <c r="E2709" t="inlineStr">
        <is>
          <t>Surface contact</t>
        </is>
      </c>
      <c r="F2709" t="n">
        <v>0</v>
      </c>
      <c r="G2709" t="inlineStr">
        <is>
          <t>Tech A</t>
        </is>
      </c>
      <c r="H2709">
        <f>INDEX(Limits!$B$2:$B$5,MATCH(E2709,Limits!$A$2:$A$5,0))</f>
        <v/>
      </c>
      <c r="I2709">
        <f>INDEX(Limits!$C$2:$C$5,MATCH(E2709,Limits!$A$2:$A$5,0))</f>
        <v/>
      </c>
      <c r="J2709">
        <f>IF(F2709&gt;=I2709,"Action",IF(F2709&gt;=H2709,"Alert","Pass"))</f>
        <v/>
      </c>
      <c r="K2709" s="4">
        <f>DATE(YEAR(B2709),MONTH(B2709),1)</f>
        <v/>
      </c>
    </row>
    <row r="2710">
      <c r="A2710" t="inlineStr">
        <is>
          <t>EM002709</t>
        </is>
      </c>
      <c r="B2710" s="7" t="n">
        <v>46225</v>
      </c>
      <c r="C2710" t="inlineStr">
        <is>
          <t>CR-201</t>
        </is>
      </c>
      <c r="D2710" t="inlineStr">
        <is>
          <t>ISO 8</t>
        </is>
      </c>
      <c r="E2710" t="inlineStr">
        <is>
          <t>Compressed air</t>
        </is>
      </c>
      <c r="F2710" t="n">
        <v>0</v>
      </c>
      <c r="G2710" t="inlineStr">
        <is>
          <t>Tech B</t>
        </is>
      </c>
      <c r="H2710">
        <f>INDEX(Limits!$B$2:$B$5,MATCH(E2710,Limits!$A$2:$A$5,0))</f>
        <v/>
      </c>
      <c r="I2710">
        <f>INDEX(Limits!$C$2:$C$5,MATCH(E2710,Limits!$A$2:$A$5,0))</f>
        <v/>
      </c>
      <c r="J2710">
        <f>IF(F2710&gt;=I2710,"Action",IF(F2710&gt;=H2710,"Alert","Pass"))</f>
        <v/>
      </c>
      <c r="K2710" s="4">
        <f>DATE(YEAR(B2710),MONTH(B2710),1)</f>
        <v/>
      </c>
    </row>
    <row r="2711">
      <c r="A2711" t="inlineStr">
        <is>
          <t>EM002710</t>
        </is>
      </c>
      <c r="B2711" s="7" t="n">
        <v>46225</v>
      </c>
      <c r="C2711" t="inlineStr">
        <is>
          <t>CR-201</t>
        </is>
      </c>
      <c r="D2711" t="inlineStr">
        <is>
          <t>ISO 8</t>
        </is>
      </c>
      <c r="E2711" t="inlineStr">
        <is>
          <t>Personnel glove</t>
        </is>
      </c>
      <c r="F2711" t="n">
        <v>0</v>
      </c>
      <c r="G2711" t="inlineStr">
        <is>
          <t>Tech C</t>
        </is>
      </c>
      <c r="H2711">
        <f>INDEX(Limits!$B$2:$B$5,MATCH(E2711,Limits!$A$2:$A$5,0))</f>
        <v/>
      </c>
      <c r="I2711">
        <f>INDEX(Limits!$C$2:$C$5,MATCH(E2711,Limits!$A$2:$A$5,0))</f>
        <v/>
      </c>
      <c r="J2711">
        <f>IF(F2711&gt;=I2711,"Action",IF(F2711&gt;=H2711,"Alert","Pass"))</f>
        <v/>
      </c>
      <c r="K2711" s="4">
        <f>DATE(YEAR(B2711),MONTH(B2711),1)</f>
        <v/>
      </c>
    </row>
    <row r="2712">
      <c r="A2712" t="inlineStr">
        <is>
          <t>EM002711</t>
        </is>
      </c>
      <c r="B2712" s="7" t="n">
        <v>46225</v>
      </c>
      <c r="C2712" t="inlineStr">
        <is>
          <t>CR-202</t>
        </is>
      </c>
      <c r="D2712" t="inlineStr">
        <is>
          <t>ISO 8</t>
        </is>
      </c>
      <c r="E2712" t="inlineStr">
        <is>
          <t>Active air</t>
        </is>
      </c>
      <c r="F2712" t="n">
        <v>2</v>
      </c>
      <c r="G2712" t="inlineStr">
        <is>
          <t>Tech A</t>
        </is>
      </c>
      <c r="H2712">
        <f>INDEX(Limits!$B$2:$B$5,MATCH(E2712,Limits!$A$2:$A$5,0))</f>
        <v/>
      </c>
      <c r="I2712">
        <f>INDEX(Limits!$C$2:$C$5,MATCH(E2712,Limits!$A$2:$A$5,0))</f>
        <v/>
      </c>
      <c r="J2712">
        <f>IF(F2712&gt;=I2712,"Action",IF(F2712&gt;=H2712,"Alert","Pass"))</f>
        <v/>
      </c>
      <c r="K2712" s="4">
        <f>DATE(YEAR(B2712),MONTH(B2712),1)</f>
        <v/>
      </c>
    </row>
    <row r="2713">
      <c r="A2713" t="inlineStr">
        <is>
          <t>EM002712</t>
        </is>
      </c>
      <c r="B2713" s="7" t="n">
        <v>46225</v>
      </c>
      <c r="C2713" t="inlineStr">
        <is>
          <t>CR-202</t>
        </is>
      </c>
      <c r="D2713" t="inlineStr">
        <is>
          <t>ISO 8</t>
        </is>
      </c>
      <c r="E2713" t="inlineStr">
        <is>
          <t>Surface contact</t>
        </is>
      </c>
      <c r="F2713" t="n">
        <v>2</v>
      </c>
      <c r="G2713" t="inlineStr">
        <is>
          <t>Tech B</t>
        </is>
      </c>
      <c r="H2713">
        <f>INDEX(Limits!$B$2:$B$5,MATCH(E2713,Limits!$A$2:$A$5,0))</f>
        <v/>
      </c>
      <c r="I2713">
        <f>INDEX(Limits!$C$2:$C$5,MATCH(E2713,Limits!$A$2:$A$5,0))</f>
        <v/>
      </c>
      <c r="J2713">
        <f>IF(F2713&gt;=I2713,"Action",IF(F2713&gt;=H2713,"Alert","Pass"))</f>
        <v/>
      </c>
      <c r="K2713" s="4">
        <f>DATE(YEAR(B2713),MONTH(B2713),1)</f>
        <v/>
      </c>
    </row>
    <row r="2714">
      <c r="A2714" t="inlineStr">
        <is>
          <t>EM002713</t>
        </is>
      </c>
      <c r="B2714" s="7" t="n">
        <v>46225</v>
      </c>
      <c r="C2714" t="inlineStr">
        <is>
          <t>CR-202</t>
        </is>
      </c>
      <c r="D2714" t="inlineStr">
        <is>
          <t>ISO 8</t>
        </is>
      </c>
      <c r="E2714" t="inlineStr">
        <is>
          <t>Compressed air</t>
        </is>
      </c>
      <c r="F2714" t="n">
        <v>0</v>
      </c>
      <c r="G2714" t="inlineStr">
        <is>
          <t>Tech C</t>
        </is>
      </c>
      <c r="H2714">
        <f>INDEX(Limits!$B$2:$B$5,MATCH(E2714,Limits!$A$2:$A$5,0))</f>
        <v/>
      </c>
      <c r="I2714">
        <f>INDEX(Limits!$C$2:$C$5,MATCH(E2714,Limits!$A$2:$A$5,0))</f>
        <v/>
      </c>
      <c r="J2714">
        <f>IF(F2714&gt;=I2714,"Action",IF(F2714&gt;=H2714,"Alert","Pass"))</f>
        <v/>
      </c>
      <c r="K2714" s="4">
        <f>DATE(YEAR(B2714),MONTH(B2714),1)</f>
        <v/>
      </c>
    </row>
    <row r="2715">
      <c r="A2715" t="inlineStr">
        <is>
          <t>EM002714</t>
        </is>
      </c>
      <c r="B2715" s="7" t="n">
        <v>46225</v>
      </c>
      <c r="C2715" t="inlineStr">
        <is>
          <t>CR-202</t>
        </is>
      </c>
      <c r="D2715" t="inlineStr">
        <is>
          <t>ISO 8</t>
        </is>
      </c>
      <c r="E2715" t="inlineStr">
        <is>
          <t>Personnel glove</t>
        </is>
      </c>
      <c r="F2715" t="n">
        <v>0</v>
      </c>
      <c r="G2715" t="inlineStr">
        <is>
          <t>Tech B</t>
        </is>
      </c>
      <c r="H2715">
        <f>INDEX(Limits!$B$2:$B$5,MATCH(E2715,Limits!$A$2:$A$5,0))</f>
        <v/>
      </c>
      <c r="I2715">
        <f>INDEX(Limits!$C$2:$C$5,MATCH(E2715,Limits!$A$2:$A$5,0))</f>
        <v/>
      </c>
      <c r="J2715">
        <f>IF(F2715&gt;=I2715,"Action",IF(F2715&gt;=H2715,"Alert","Pass"))</f>
        <v/>
      </c>
      <c r="K2715" s="4">
        <f>DATE(YEAR(B2715),MONTH(B2715),1)</f>
        <v/>
      </c>
    </row>
    <row r="2716">
      <c r="A2716" t="inlineStr">
        <is>
          <t>EM002715</t>
        </is>
      </c>
      <c r="B2716" s="7" t="n">
        <v>46225</v>
      </c>
      <c r="C2716" t="inlineStr">
        <is>
          <t>Gowning</t>
        </is>
      </c>
      <c r="D2716" t="inlineStr">
        <is>
          <t>ISO 8</t>
        </is>
      </c>
      <c r="E2716" t="inlineStr">
        <is>
          <t>Active air</t>
        </is>
      </c>
      <c r="F2716" t="n">
        <v>6</v>
      </c>
      <c r="G2716" t="inlineStr">
        <is>
          <t>Tech A</t>
        </is>
      </c>
      <c r="H2716">
        <f>INDEX(Limits!$B$2:$B$5,MATCH(E2716,Limits!$A$2:$A$5,0))</f>
        <v/>
      </c>
      <c r="I2716">
        <f>INDEX(Limits!$C$2:$C$5,MATCH(E2716,Limits!$A$2:$A$5,0))</f>
        <v/>
      </c>
      <c r="J2716">
        <f>IF(F2716&gt;=I2716,"Action",IF(F2716&gt;=H2716,"Alert","Pass"))</f>
        <v/>
      </c>
      <c r="K2716" s="4">
        <f>DATE(YEAR(B2716),MONTH(B2716),1)</f>
        <v/>
      </c>
    </row>
    <row r="2717">
      <c r="A2717" t="inlineStr">
        <is>
          <t>EM002716</t>
        </is>
      </c>
      <c r="B2717" s="7" t="n">
        <v>46225</v>
      </c>
      <c r="C2717" t="inlineStr">
        <is>
          <t>Gowning</t>
        </is>
      </c>
      <c r="D2717" t="inlineStr">
        <is>
          <t>ISO 8</t>
        </is>
      </c>
      <c r="E2717" t="inlineStr">
        <is>
          <t>Surface contact</t>
        </is>
      </c>
      <c r="F2717" t="n">
        <v>0</v>
      </c>
      <c r="G2717" t="inlineStr">
        <is>
          <t>Tech C</t>
        </is>
      </c>
      <c r="H2717">
        <f>INDEX(Limits!$B$2:$B$5,MATCH(E2717,Limits!$A$2:$A$5,0))</f>
        <v/>
      </c>
      <c r="I2717">
        <f>INDEX(Limits!$C$2:$C$5,MATCH(E2717,Limits!$A$2:$A$5,0))</f>
        <v/>
      </c>
      <c r="J2717">
        <f>IF(F2717&gt;=I2717,"Action",IF(F2717&gt;=H2717,"Alert","Pass"))</f>
        <v/>
      </c>
      <c r="K2717" s="4">
        <f>DATE(YEAR(B2717),MONTH(B2717),1)</f>
        <v/>
      </c>
    </row>
    <row r="2718">
      <c r="A2718" t="inlineStr">
        <is>
          <t>EM002717</t>
        </is>
      </c>
      <c r="B2718" s="7" t="n">
        <v>46225</v>
      </c>
      <c r="C2718" t="inlineStr">
        <is>
          <t>Gowning</t>
        </is>
      </c>
      <c r="D2718" t="inlineStr">
        <is>
          <t>ISO 8</t>
        </is>
      </c>
      <c r="E2718" t="inlineStr">
        <is>
          <t>Personnel glove</t>
        </is>
      </c>
      <c r="F2718" t="n">
        <v>0</v>
      </c>
      <c r="G2718" t="inlineStr">
        <is>
          <t>Tech A</t>
        </is>
      </c>
      <c r="H2718">
        <f>INDEX(Limits!$B$2:$B$5,MATCH(E2718,Limits!$A$2:$A$5,0))</f>
        <v/>
      </c>
      <c r="I2718">
        <f>INDEX(Limits!$C$2:$C$5,MATCH(E2718,Limits!$A$2:$A$5,0))</f>
        <v/>
      </c>
      <c r="J2718">
        <f>IF(F2718&gt;=I2718,"Action",IF(F2718&gt;=H2718,"Alert","Pass"))</f>
        <v/>
      </c>
      <c r="K2718" s="4">
        <f>DATE(YEAR(B2718),MONTH(B2718),1)</f>
        <v/>
      </c>
    </row>
    <row r="2719">
      <c r="A2719" t="inlineStr">
        <is>
          <t>EM002718</t>
        </is>
      </c>
      <c r="B2719" s="7" t="n">
        <v>46226</v>
      </c>
      <c r="C2719" t="inlineStr">
        <is>
          <t>CR-101</t>
        </is>
      </c>
      <c r="D2719" t="inlineStr">
        <is>
          <t>ISO 7</t>
        </is>
      </c>
      <c r="E2719" t="inlineStr">
        <is>
          <t>Active air</t>
        </is>
      </c>
      <c r="F2719" t="n">
        <v>1</v>
      </c>
      <c r="G2719" t="inlineStr">
        <is>
          <t>Tech C</t>
        </is>
      </c>
      <c r="H2719">
        <f>INDEX(Limits!$B$2:$B$5,MATCH(E2719,Limits!$A$2:$A$5,0))</f>
        <v/>
      </c>
      <c r="I2719">
        <f>INDEX(Limits!$C$2:$C$5,MATCH(E2719,Limits!$A$2:$A$5,0))</f>
        <v/>
      </c>
      <c r="J2719">
        <f>IF(F2719&gt;=I2719,"Action",IF(F2719&gt;=H2719,"Alert","Pass"))</f>
        <v/>
      </c>
      <c r="K2719" s="4">
        <f>DATE(YEAR(B2719),MONTH(B2719),1)</f>
        <v/>
      </c>
    </row>
    <row r="2720">
      <c r="A2720" t="inlineStr">
        <is>
          <t>EM002719</t>
        </is>
      </c>
      <c r="B2720" s="7" t="n">
        <v>46226</v>
      </c>
      <c r="C2720" t="inlineStr">
        <is>
          <t>CR-101</t>
        </is>
      </c>
      <c r="D2720" t="inlineStr">
        <is>
          <t>ISO 7</t>
        </is>
      </c>
      <c r="E2720" t="inlineStr">
        <is>
          <t>Surface contact</t>
        </is>
      </c>
      <c r="F2720" t="n">
        <v>1</v>
      </c>
      <c r="G2720" t="inlineStr">
        <is>
          <t>Tech A</t>
        </is>
      </c>
      <c r="H2720">
        <f>INDEX(Limits!$B$2:$B$5,MATCH(E2720,Limits!$A$2:$A$5,0))</f>
        <v/>
      </c>
      <c r="I2720">
        <f>INDEX(Limits!$C$2:$C$5,MATCH(E2720,Limits!$A$2:$A$5,0))</f>
        <v/>
      </c>
      <c r="J2720">
        <f>IF(F2720&gt;=I2720,"Action",IF(F2720&gt;=H2720,"Alert","Pass"))</f>
        <v/>
      </c>
      <c r="K2720" s="4">
        <f>DATE(YEAR(B2720),MONTH(B2720),1)</f>
        <v/>
      </c>
    </row>
    <row r="2721">
      <c r="A2721" t="inlineStr">
        <is>
          <t>EM002720</t>
        </is>
      </c>
      <c r="B2721" s="7" t="n">
        <v>46226</v>
      </c>
      <c r="C2721" t="inlineStr">
        <is>
          <t>CR-101</t>
        </is>
      </c>
      <c r="D2721" t="inlineStr">
        <is>
          <t>ISO 7</t>
        </is>
      </c>
      <c r="E2721" t="inlineStr">
        <is>
          <t>Compressed air</t>
        </is>
      </c>
      <c r="F2721" t="n">
        <v>0</v>
      </c>
      <c r="G2721" t="inlineStr">
        <is>
          <t>Tech C</t>
        </is>
      </c>
      <c r="H2721">
        <f>INDEX(Limits!$B$2:$B$5,MATCH(E2721,Limits!$A$2:$A$5,0))</f>
        <v/>
      </c>
      <c r="I2721">
        <f>INDEX(Limits!$C$2:$C$5,MATCH(E2721,Limits!$A$2:$A$5,0))</f>
        <v/>
      </c>
      <c r="J2721">
        <f>IF(F2721&gt;=I2721,"Action",IF(F2721&gt;=H2721,"Alert","Pass"))</f>
        <v/>
      </c>
      <c r="K2721" s="4">
        <f>DATE(YEAR(B2721),MONTH(B2721),1)</f>
        <v/>
      </c>
    </row>
    <row r="2722">
      <c r="A2722" t="inlineStr">
        <is>
          <t>EM002721</t>
        </is>
      </c>
      <c r="B2722" s="7" t="n">
        <v>46226</v>
      </c>
      <c r="C2722" t="inlineStr">
        <is>
          <t>CR-101</t>
        </is>
      </c>
      <c r="D2722" t="inlineStr">
        <is>
          <t>ISO 7</t>
        </is>
      </c>
      <c r="E2722" t="inlineStr">
        <is>
          <t>Personnel glove</t>
        </is>
      </c>
      <c r="F2722" t="n">
        <v>0</v>
      </c>
      <c r="G2722" t="inlineStr">
        <is>
          <t>Tech A</t>
        </is>
      </c>
      <c r="H2722">
        <f>INDEX(Limits!$B$2:$B$5,MATCH(E2722,Limits!$A$2:$A$5,0))</f>
        <v/>
      </c>
      <c r="I2722">
        <f>INDEX(Limits!$C$2:$C$5,MATCH(E2722,Limits!$A$2:$A$5,0))</f>
        <v/>
      </c>
      <c r="J2722">
        <f>IF(F2722&gt;=I2722,"Action",IF(F2722&gt;=H2722,"Alert","Pass"))</f>
        <v/>
      </c>
      <c r="K2722" s="4">
        <f>DATE(YEAR(B2722),MONTH(B2722),1)</f>
        <v/>
      </c>
    </row>
    <row r="2723">
      <c r="A2723" t="inlineStr">
        <is>
          <t>EM002722</t>
        </is>
      </c>
      <c r="B2723" s="7" t="n">
        <v>46226</v>
      </c>
      <c r="C2723" t="inlineStr">
        <is>
          <t>CR-102</t>
        </is>
      </c>
      <c r="D2723" t="inlineStr">
        <is>
          <t>ISO 7</t>
        </is>
      </c>
      <c r="E2723" t="inlineStr">
        <is>
          <t>Active air</t>
        </is>
      </c>
      <c r="F2723" t="n">
        <v>2</v>
      </c>
      <c r="G2723" t="inlineStr">
        <is>
          <t>Tech D</t>
        </is>
      </c>
      <c r="H2723">
        <f>INDEX(Limits!$B$2:$B$5,MATCH(E2723,Limits!$A$2:$A$5,0))</f>
        <v/>
      </c>
      <c r="I2723">
        <f>INDEX(Limits!$C$2:$C$5,MATCH(E2723,Limits!$A$2:$A$5,0))</f>
        <v/>
      </c>
      <c r="J2723">
        <f>IF(F2723&gt;=I2723,"Action",IF(F2723&gt;=H2723,"Alert","Pass"))</f>
        <v/>
      </c>
      <c r="K2723" s="4">
        <f>DATE(YEAR(B2723),MONTH(B2723),1)</f>
        <v/>
      </c>
    </row>
    <row r="2724">
      <c r="A2724" t="inlineStr">
        <is>
          <t>EM002723</t>
        </is>
      </c>
      <c r="B2724" s="7" t="n">
        <v>46226</v>
      </c>
      <c r="C2724" t="inlineStr">
        <is>
          <t>CR-102</t>
        </is>
      </c>
      <c r="D2724" t="inlineStr">
        <is>
          <t>ISO 7</t>
        </is>
      </c>
      <c r="E2724" t="inlineStr">
        <is>
          <t>Surface contact</t>
        </is>
      </c>
      <c r="F2724" t="n">
        <v>1</v>
      </c>
      <c r="G2724" t="inlineStr">
        <is>
          <t>Tech A</t>
        </is>
      </c>
      <c r="H2724">
        <f>INDEX(Limits!$B$2:$B$5,MATCH(E2724,Limits!$A$2:$A$5,0))</f>
        <v/>
      </c>
      <c r="I2724">
        <f>INDEX(Limits!$C$2:$C$5,MATCH(E2724,Limits!$A$2:$A$5,0))</f>
        <v/>
      </c>
      <c r="J2724">
        <f>IF(F2724&gt;=I2724,"Action",IF(F2724&gt;=H2724,"Alert","Pass"))</f>
        <v/>
      </c>
      <c r="K2724" s="4">
        <f>DATE(YEAR(B2724),MONTH(B2724),1)</f>
        <v/>
      </c>
    </row>
    <row r="2725">
      <c r="A2725" t="inlineStr">
        <is>
          <t>EM002724</t>
        </is>
      </c>
      <c r="B2725" s="7" t="n">
        <v>46226</v>
      </c>
      <c r="C2725" t="inlineStr">
        <is>
          <t>CR-102</t>
        </is>
      </c>
      <c r="D2725" t="inlineStr">
        <is>
          <t>ISO 7</t>
        </is>
      </c>
      <c r="E2725" t="inlineStr">
        <is>
          <t>Compressed air</t>
        </is>
      </c>
      <c r="F2725" t="n">
        <v>0</v>
      </c>
      <c r="G2725" t="inlineStr">
        <is>
          <t>Tech C</t>
        </is>
      </c>
      <c r="H2725">
        <f>INDEX(Limits!$B$2:$B$5,MATCH(E2725,Limits!$A$2:$A$5,0))</f>
        <v/>
      </c>
      <c r="I2725">
        <f>INDEX(Limits!$C$2:$C$5,MATCH(E2725,Limits!$A$2:$A$5,0))</f>
        <v/>
      </c>
      <c r="J2725">
        <f>IF(F2725&gt;=I2725,"Action",IF(F2725&gt;=H2725,"Alert","Pass"))</f>
        <v/>
      </c>
      <c r="K2725" s="4">
        <f>DATE(YEAR(B2725),MONTH(B2725),1)</f>
        <v/>
      </c>
    </row>
    <row r="2726">
      <c r="A2726" t="inlineStr">
        <is>
          <t>EM002725</t>
        </is>
      </c>
      <c r="B2726" s="7" t="n">
        <v>46226</v>
      </c>
      <c r="C2726" t="inlineStr">
        <is>
          <t>CR-102</t>
        </is>
      </c>
      <c r="D2726" t="inlineStr">
        <is>
          <t>ISO 7</t>
        </is>
      </c>
      <c r="E2726" t="inlineStr">
        <is>
          <t>Personnel glove</t>
        </is>
      </c>
      <c r="F2726" t="n">
        <v>1</v>
      </c>
      <c r="G2726" t="inlineStr">
        <is>
          <t>Tech D</t>
        </is>
      </c>
      <c r="H2726">
        <f>INDEX(Limits!$B$2:$B$5,MATCH(E2726,Limits!$A$2:$A$5,0))</f>
        <v/>
      </c>
      <c r="I2726">
        <f>INDEX(Limits!$C$2:$C$5,MATCH(E2726,Limits!$A$2:$A$5,0))</f>
        <v/>
      </c>
      <c r="J2726">
        <f>IF(F2726&gt;=I2726,"Action",IF(F2726&gt;=H2726,"Alert","Pass"))</f>
        <v/>
      </c>
      <c r="K2726" s="4">
        <f>DATE(YEAR(B2726),MONTH(B2726),1)</f>
        <v/>
      </c>
    </row>
    <row r="2727">
      <c r="A2727" t="inlineStr">
        <is>
          <t>EM002726</t>
        </is>
      </c>
      <c r="B2727" s="7" t="n">
        <v>46226</v>
      </c>
      <c r="C2727" t="inlineStr">
        <is>
          <t>CR-201</t>
        </is>
      </c>
      <c r="D2727" t="inlineStr">
        <is>
          <t>ISO 8</t>
        </is>
      </c>
      <c r="E2727" t="inlineStr">
        <is>
          <t>Active air</t>
        </is>
      </c>
      <c r="F2727" t="n">
        <v>2</v>
      </c>
      <c r="G2727" t="inlineStr">
        <is>
          <t>Tech B</t>
        </is>
      </c>
      <c r="H2727">
        <f>INDEX(Limits!$B$2:$B$5,MATCH(E2727,Limits!$A$2:$A$5,0))</f>
        <v/>
      </c>
      <c r="I2727">
        <f>INDEX(Limits!$C$2:$C$5,MATCH(E2727,Limits!$A$2:$A$5,0))</f>
        <v/>
      </c>
      <c r="J2727">
        <f>IF(F2727&gt;=I2727,"Action",IF(F2727&gt;=H2727,"Alert","Pass"))</f>
        <v/>
      </c>
      <c r="K2727" s="4">
        <f>DATE(YEAR(B2727),MONTH(B2727),1)</f>
        <v/>
      </c>
    </row>
    <row r="2728">
      <c r="A2728" t="inlineStr">
        <is>
          <t>EM002727</t>
        </is>
      </c>
      <c r="B2728" s="7" t="n">
        <v>46226</v>
      </c>
      <c r="C2728" t="inlineStr">
        <is>
          <t>CR-201</t>
        </is>
      </c>
      <c r="D2728" t="inlineStr">
        <is>
          <t>ISO 8</t>
        </is>
      </c>
      <c r="E2728" t="inlineStr">
        <is>
          <t>Surface contact</t>
        </is>
      </c>
      <c r="F2728" t="n">
        <v>0</v>
      </c>
      <c r="G2728" t="inlineStr">
        <is>
          <t>Tech D</t>
        </is>
      </c>
      <c r="H2728">
        <f>INDEX(Limits!$B$2:$B$5,MATCH(E2728,Limits!$A$2:$A$5,0))</f>
        <v/>
      </c>
      <c r="I2728">
        <f>INDEX(Limits!$C$2:$C$5,MATCH(E2728,Limits!$A$2:$A$5,0))</f>
        <v/>
      </c>
      <c r="J2728">
        <f>IF(F2728&gt;=I2728,"Action",IF(F2728&gt;=H2728,"Alert","Pass"))</f>
        <v/>
      </c>
      <c r="K2728" s="4">
        <f>DATE(YEAR(B2728),MONTH(B2728),1)</f>
        <v/>
      </c>
    </row>
    <row r="2729">
      <c r="A2729" t="inlineStr">
        <is>
          <t>EM002728</t>
        </is>
      </c>
      <c r="B2729" s="7" t="n">
        <v>46226</v>
      </c>
      <c r="C2729" t="inlineStr">
        <is>
          <t>CR-201</t>
        </is>
      </c>
      <c r="D2729" t="inlineStr">
        <is>
          <t>ISO 8</t>
        </is>
      </c>
      <c r="E2729" t="inlineStr">
        <is>
          <t>Compressed air</t>
        </is>
      </c>
      <c r="F2729" t="n">
        <v>0</v>
      </c>
      <c r="G2729" t="inlineStr">
        <is>
          <t>Tech A</t>
        </is>
      </c>
      <c r="H2729">
        <f>INDEX(Limits!$B$2:$B$5,MATCH(E2729,Limits!$A$2:$A$5,0))</f>
        <v/>
      </c>
      <c r="I2729">
        <f>INDEX(Limits!$C$2:$C$5,MATCH(E2729,Limits!$A$2:$A$5,0))</f>
        <v/>
      </c>
      <c r="J2729">
        <f>IF(F2729&gt;=I2729,"Action",IF(F2729&gt;=H2729,"Alert","Pass"))</f>
        <v/>
      </c>
      <c r="K2729" s="4">
        <f>DATE(YEAR(B2729),MONTH(B2729),1)</f>
        <v/>
      </c>
    </row>
    <row r="2730">
      <c r="A2730" t="inlineStr">
        <is>
          <t>EM002729</t>
        </is>
      </c>
      <c r="B2730" s="7" t="n">
        <v>46226</v>
      </c>
      <c r="C2730" t="inlineStr">
        <is>
          <t>CR-201</t>
        </is>
      </c>
      <c r="D2730" t="inlineStr">
        <is>
          <t>ISO 8</t>
        </is>
      </c>
      <c r="E2730" t="inlineStr">
        <is>
          <t>Personnel glove</t>
        </is>
      </c>
      <c r="F2730" t="n">
        <v>1</v>
      </c>
      <c r="G2730" t="inlineStr">
        <is>
          <t>Tech A</t>
        </is>
      </c>
      <c r="H2730">
        <f>INDEX(Limits!$B$2:$B$5,MATCH(E2730,Limits!$A$2:$A$5,0))</f>
        <v/>
      </c>
      <c r="I2730">
        <f>INDEX(Limits!$C$2:$C$5,MATCH(E2730,Limits!$A$2:$A$5,0))</f>
        <v/>
      </c>
      <c r="J2730">
        <f>IF(F2730&gt;=I2730,"Action",IF(F2730&gt;=H2730,"Alert","Pass"))</f>
        <v/>
      </c>
      <c r="K2730" s="4">
        <f>DATE(YEAR(B2730),MONTH(B2730),1)</f>
        <v/>
      </c>
    </row>
    <row r="2731">
      <c r="A2731" t="inlineStr">
        <is>
          <t>EM002730</t>
        </is>
      </c>
      <c r="B2731" s="7" t="n">
        <v>46226</v>
      </c>
      <c r="C2731" t="inlineStr">
        <is>
          <t>CR-202</t>
        </is>
      </c>
      <c r="D2731" t="inlineStr">
        <is>
          <t>ISO 8</t>
        </is>
      </c>
      <c r="E2731" t="inlineStr">
        <is>
          <t>Active air</t>
        </is>
      </c>
      <c r="F2731" t="n">
        <v>1</v>
      </c>
      <c r="G2731" t="inlineStr">
        <is>
          <t>Tech B</t>
        </is>
      </c>
      <c r="H2731">
        <f>INDEX(Limits!$B$2:$B$5,MATCH(E2731,Limits!$A$2:$A$5,0))</f>
        <v/>
      </c>
      <c r="I2731">
        <f>INDEX(Limits!$C$2:$C$5,MATCH(E2731,Limits!$A$2:$A$5,0))</f>
        <v/>
      </c>
      <c r="J2731">
        <f>IF(F2731&gt;=I2731,"Action",IF(F2731&gt;=H2731,"Alert","Pass"))</f>
        <v/>
      </c>
      <c r="K2731" s="4">
        <f>DATE(YEAR(B2731),MONTH(B2731),1)</f>
        <v/>
      </c>
    </row>
    <row r="2732">
      <c r="A2732" t="inlineStr">
        <is>
          <t>EM002731</t>
        </is>
      </c>
      <c r="B2732" s="7" t="n">
        <v>46226</v>
      </c>
      <c r="C2732" t="inlineStr">
        <is>
          <t>CR-202</t>
        </is>
      </c>
      <c r="D2732" t="inlineStr">
        <is>
          <t>ISO 8</t>
        </is>
      </c>
      <c r="E2732" t="inlineStr">
        <is>
          <t>Surface contact</t>
        </is>
      </c>
      <c r="F2732" t="n">
        <v>3</v>
      </c>
      <c r="G2732" t="inlineStr">
        <is>
          <t>Tech C</t>
        </is>
      </c>
      <c r="H2732">
        <f>INDEX(Limits!$B$2:$B$5,MATCH(E2732,Limits!$A$2:$A$5,0))</f>
        <v/>
      </c>
      <c r="I2732">
        <f>INDEX(Limits!$C$2:$C$5,MATCH(E2732,Limits!$A$2:$A$5,0))</f>
        <v/>
      </c>
      <c r="J2732">
        <f>IF(F2732&gt;=I2732,"Action",IF(F2732&gt;=H2732,"Alert","Pass"))</f>
        <v/>
      </c>
      <c r="K2732" s="4">
        <f>DATE(YEAR(B2732),MONTH(B2732),1)</f>
        <v/>
      </c>
    </row>
    <row r="2733">
      <c r="A2733" t="inlineStr">
        <is>
          <t>EM002732</t>
        </is>
      </c>
      <c r="B2733" s="7" t="n">
        <v>46226</v>
      </c>
      <c r="C2733" t="inlineStr">
        <is>
          <t>CR-202</t>
        </is>
      </c>
      <c r="D2733" t="inlineStr">
        <is>
          <t>ISO 8</t>
        </is>
      </c>
      <c r="E2733" t="inlineStr">
        <is>
          <t>Compressed air</t>
        </is>
      </c>
      <c r="F2733" t="n">
        <v>0</v>
      </c>
      <c r="G2733" t="inlineStr">
        <is>
          <t>Tech B</t>
        </is>
      </c>
      <c r="H2733">
        <f>INDEX(Limits!$B$2:$B$5,MATCH(E2733,Limits!$A$2:$A$5,0))</f>
        <v/>
      </c>
      <c r="I2733">
        <f>INDEX(Limits!$C$2:$C$5,MATCH(E2733,Limits!$A$2:$A$5,0))</f>
        <v/>
      </c>
      <c r="J2733">
        <f>IF(F2733&gt;=I2733,"Action",IF(F2733&gt;=H2733,"Alert","Pass"))</f>
        <v/>
      </c>
      <c r="K2733" s="4">
        <f>DATE(YEAR(B2733),MONTH(B2733),1)</f>
        <v/>
      </c>
    </row>
    <row r="2734">
      <c r="A2734" t="inlineStr">
        <is>
          <t>EM002733</t>
        </is>
      </c>
      <c r="B2734" s="7" t="n">
        <v>46226</v>
      </c>
      <c r="C2734" t="inlineStr">
        <is>
          <t>CR-202</t>
        </is>
      </c>
      <c r="D2734" t="inlineStr">
        <is>
          <t>ISO 8</t>
        </is>
      </c>
      <c r="E2734" t="inlineStr">
        <is>
          <t>Personnel glove</t>
        </is>
      </c>
      <c r="F2734" t="n">
        <v>1</v>
      </c>
      <c r="G2734" t="inlineStr">
        <is>
          <t>Tech D</t>
        </is>
      </c>
      <c r="H2734">
        <f>INDEX(Limits!$B$2:$B$5,MATCH(E2734,Limits!$A$2:$A$5,0))</f>
        <v/>
      </c>
      <c r="I2734">
        <f>INDEX(Limits!$C$2:$C$5,MATCH(E2734,Limits!$A$2:$A$5,0))</f>
        <v/>
      </c>
      <c r="J2734">
        <f>IF(F2734&gt;=I2734,"Action",IF(F2734&gt;=H2734,"Alert","Pass"))</f>
        <v/>
      </c>
      <c r="K2734" s="4">
        <f>DATE(YEAR(B2734),MONTH(B2734),1)</f>
        <v/>
      </c>
    </row>
    <row r="2735">
      <c r="A2735" t="inlineStr">
        <is>
          <t>EM002734</t>
        </is>
      </c>
      <c r="B2735" s="7" t="n">
        <v>46226</v>
      </c>
      <c r="C2735" t="inlineStr">
        <is>
          <t>Gowning</t>
        </is>
      </c>
      <c r="D2735" t="inlineStr">
        <is>
          <t>ISO 8</t>
        </is>
      </c>
      <c r="E2735" t="inlineStr">
        <is>
          <t>Active air</t>
        </is>
      </c>
      <c r="F2735" t="n">
        <v>4</v>
      </c>
      <c r="G2735" t="inlineStr">
        <is>
          <t>Tech B</t>
        </is>
      </c>
      <c r="H2735">
        <f>INDEX(Limits!$B$2:$B$5,MATCH(E2735,Limits!$A$2:$A$5,0))</f>
        <v/>
      </c>
      <c r="I2735">
        <f>INDEX(Limits!$C$2:$C$5,MATCH(E2735,Limits!$A$2:$A$5,0))</f>
        <v/>
      </c>
      <c r="J2735">
        <f>IF(F2735&gt;=I2735,"Action",IF(F2735&gt;=H2735,"Alert","Pass"))</f>
        <v/>
      </c>
      <c r="K2735" s="4">
        <f>DATE(YEAR(B2735),MONTH(B2735),1)</f>
        <v/>
      </c>
    </row>
    <row r="2736">
      <c r="A2736" t="inlineStr">
        <is>
          <t>EM002735</t>
        </is>
      </c>
      <c r="B2736" s="7" t="n">
        <v>46226</v>
      </c>
      <c r="C2736" t="inlineStr">
        <is>
          <t>Gowning</t>
        </is>
      </c>
      <c r="D2736" t="inlineStr">
        <is>
          <t>ISO 8</t>
        </is>
      </c>
      <c r="E2736" t="inlineStr">
        <is>
          <t>Surface contact</t>
        </is>
      </c>
      <c r="F2736" t="n">
        <v>2</v>
      </c>
      <c r="G2736" t="inlineStr">
        <is>
          <t>Tech A</t>
        </is>
      </c>
      <c r="H2736">
        <f>INDEX(Limits!$B$2:$B$5,MATCH(E2736,Limits!$A$2:$A$5,0))</f>
        <v/>
      </c>
      <c r="I2736">
        <f>INDEX(Limits!$C$2:$C$5,MATCH(E2736,Limits!$A$2:$A$5,0))</f>
        <v/>
      </c>
      <c r="J2736">
        <f>IF(F2736&gt;=I2736,"Action",IF(F2736&gt;=H2736,"Alert","Pass"))</f>
        <v/>
      </c>
      <c r="K2736" s="4">
        <f>DATE(YEAR(B2736),MONTH(B2736),1)</f>
        <v/>
      </c>
    </row>
    <row r="2737">
      <c r="A2737" t="inlineStr">
        <is>
          <t>EM002736</t>
        </is>
      </c>
      <c r="B2737" s="7" t="n">
        <v>46226</v>
      </c>
      <c r="C2737" t="inlineStr">
        <is>
          <t>Gowning</t>
        </is>
      </c>
      <c r="D2737" t="inlineStr">
        <is>
          <t>ISO 8</t>
        </is>
      </c>
      <c r="E2737" t="inlineStr">
        <is>
          <t>Personnel glove</t>
        </is>
      </c>
      <c r="F2737" t="n">
        <v>0</v>
      </c>
      <c r="G2737" t="inlineStr">
        <is>
          <t>Tech D</t>
        </is>
      </c>
      <c r="H2737">
        <f>INDEX(Limits!$B$2:$B$5,MATCH(E2737,Limits!$A$2:$A$5,0))</f>
        <v/>
      </c>
      <c r="I2737">
        <f>INDEX(Limits!$C$2:$C$5,MATCH(E2737,Limits!$A$2:$A$5,0))</f>
        <v/>
      </c>
      <c r="J2737">
        <f>IF(F2737&gt;=I2737,"Action",IF(F2737&gt;=H2737,"Alert","Pass"))</f>
        <v/>
      </c>
      <c r="K2737" s="4">
        <f>DATE(YEAR(B2737),MONTH(B2737),1)</f>
        <v/>
      </c>
    </row>
    <row r="2738">
      <c r="A2738" t="inlineStr">
        <is>
          <t>EM002737</t>
        </is>
      </c>
      <c r="B2738" s="7" t="n">
        <v>46227</v>
      </c>
      <c r="C2738" t="inlineStr">
        <is>
          <t>CR-101</t>
        </is>
      </c>
      <c r="D2738" t="inlineStr">
        <is>
          <t>ISO 7</t>
        </is>
      </c>
      <c r="E2738" t="inlineStr">
        <is>
          <t>Active air</t>
        </is>
      </c>
      <c r="F2738" t="n">
        <v>2</v>
      </c>
      <c r="G2738" t="inlineStr">
        <is>
          <t>Tech B</t>
        </is>
      </c>
      <c r="H2738">
        <f>INDEX(Limits!$B$2:$B$5,MATCH(E2738,Limits!$A$2:$A$5,0))</f>
        <v/>
      </c>
      <c r="I2738">
        <f>INDEX(Limits!$C$2:$C$5,MATCH(E2738,Limits!$A$2:$A$5,0))</f>
        <v/>
      </c>
      <c r="J2738">
        <f>IF(F2738&gt;=I2738,"Action",IF(F2738&gt;=H2738,"Alert","Pass"))</f>
        <v/>
      </c>
      <c r="K2738" s="4">
        <f>DATE(YEAR(B2738),MONTH(B2738),1)</f>
        <v/>
      </c>
    </row>
    <row r="2739">
      <c r="A2739" t="inlineStr">
        <is>
          <t>EM002738</t>
        </is>
      </c>
      <c r="B2739" s="7" t="n">
        <v>46227</v>
      </c>
      <c r="C2739" t="inlineStr">
        <is>
          <t>CR-101</t>
        </is>
      </c>
      <c r="D2739" t="inlineStr">
        <is>
          <t>ISO 7</t>
        </is>
      </c>
      <c r="E2739" t="inlineStr">
        <is>
          <t>Surface contact</t>
        </is>
      </c>
      <c r="F2739" t="n">
        <v>1</v>
      </c>
      <c r="G2739" t="inlineStr">
        <is>
          <t>Tech A</t>
        </is>
      </c>
      <c r="H2739">
        <f>INDEX(Limits!$B$2:$B$5,MATCH(E2739,Limits!$A$2:$A$5,0))</f>
        <v/>
      </c>
      <c r="I2739">
        <f>INDEX(Limits!$C$2:$C$5,MATCH(E2739,Limits!$A$2:$A$5,0))</f>
        <v/>
      </c>
      <c r="J2739">
        <f>IF(F2739&gt;=I2739,"Action",IF(F2739&gt;=H2739,"Alert","Pass"))</f>
        <v/>
      </c>
      <c r="K2739" s="4">
        <f>DATE(YEAR(B2739),MONTH(B2739),1)</f>
        <v/>
      </c>
    </row>
    <row r="2740">
      <c r="A2740" t="inlineStr">
        <is>
          <t>EM002739</t>
        </is>
      </c>
      <c r="B2740" s="7" t="n">
        <v>46227</v>
      </c>
      <c r="C2740" t="inlineStr">
        <is>
          <t>CR-101</t>
        </is>
      </c>
      <c r="D2740" t="inlineStr">
        <is>
          <t>ISO 7</t>
        </is>
      </c>
      <c r="E2740" t="inlineStr">
        <is>
          <t>Compressed air</t>
        </is>
      </c>
      <c r="F2740" t="n">
        <v>0</v>
      </c>
      <c r="G2740" t="inlineStr">
        <is>
          <t>Tech B</t>
        </is>
      </c>
      <c r="H2740">
        <f>INDEX(Limits!$B$2:$B$5,MATCH(E2740,Limits!$A$2:$A$5,0))</f>
        <v/>
      </c>
      <c r="I2740">
        <f>INDEX(Limits!$C$2:$C$5,MATCH(E2740,Limits!$A$2:$A$5,0))</f>
        <v/>
      </c>
      <c r="J2740">
        <f>IF(F2740&gt;=I2740,"Action",IF(F2740&gt;=H2740,"Alert","Pass"))</f>
        <v/>
      </c>
      <c r="K2740" s="4">
        <f>DATE(YEAR(B2740),MONTH(B2740),1)</f>
        <v/>
      </c>
    </row>
    <row r="2741">
      <c r="A2741" t="inlineStr">
        <is>
          <t>EM002740</t>
        </is>
      </c>
      <c r="B2741" s="7" t="n">
        <v>46227</v>
      </c>
      <c r="C2741" t="inlineStr">
        <is>
          <t>CR-101</t>
        </is>
      </c>
      <c r="D2741" t="inlineStr">
        <is>
          <t>ISO 7</t>
        </is>
      </c>
      <c r="E2741" t="inlineStr">
        <is>
          <t>Personnel glove</t>
        </is>
      </c>
      <c r="F2741" t="n">
        <v>0</v>
      </c>
      <c r="G2741" t="inlineStr">
        <is>
          <t>Tech C</t>
        </is>
      </c>
      <c r="H2741">
        <f>INDEX(Limits!$B$2:$B$5,MATCH(E2741,Limits!$A$2:$A$5,0))</f>
        <v/>
      </c>
      <c r="I2741">
        <f>INDEX(Limits!$C$2:$C$5,MATCH(E2741,Limits!$A$2:$A$5,0))</f>
        <v/>
      </c>
      <c r="J2741">
        <f>IF(F2741&gt;=I2741,"Action",IF(F2741&gt;=H2741,"Alert","Pass"))</f>
        <v/>
      </c>
      <c r="K2741" s="4">
        <f>DATE(YEAR(B2741),MONTH(B2741),1)</f>
        <v/>
      </c>
    </row>
    <row r="2742">
      <c r="A2742" t="inlineStr">
        <is>
          <t>EM002741</t>
        </is>
      </c>
      <c r="B2742" s="7" t="n">
        <v>46227</v>
      </c>
      <c r="C2742" t="inlineStr">
        <is>
          <t>CR-102</t>
        </is>
      </c>
      <c r="D2742" t="inlineStr">
        <is>
          <t>ISO 7</t>
        </is>
      </c>
      <c r="E2742" t="inlineStr">
        <is>
          <t>Active air</t>
        </is>
      </c>
      <c r="F2742" t="n">
        <v>1</v>
      </c>
      <c r="G2742" t="inlineStr">
        <is>
          <t>Tech A</t>
        </is>
      </c>
      <c r="H2742">
        <f>INDEX(Limits!$B$2:$B$5,MATCH(E2742,Limits!$A$2:$A$5,0))</f>
        <v/>
      </c>
      <c r="I2742">
        <f>INDEX(Limits!$C$2:$C$5,MATCH(E2742,Limits!$A$2:$A$5,0))</f>
        <v/>
      </c>
      <c r="J2742">
        <f>IF(F2742&gt;=I2742,"Action",IF(F2742&gt;=H2742,"Alert","Pass"))</f>
        <v/>
      </c>
      <c r="K2742" s="4">
        <f>DATE(YEAR(B2742),MONTH(B2742),1)</f>
        <v/>
      </c>
    </row>
    <row r="2743">
      <c r="A2743" t="inlineStr">
        <is>
          <t>EM002742</t>
        </is>
      </c>
      <c r="B2743" s="7" t="n">
        <v>46227</v>
      </c>
      <c r="C2743" t="inlineStr">
        <is>
          <t>CR-102</t>
        </is>
      </c>
      <c r="D2743" t="inlineStr">
        <is>
          <t>ISO 7</t>
        </is>
      </c>
      <c r="E2743" t="inlineStr">
        <is>
          <t>Surface contact</t>
        </is>
      </c>
      <c r="F2743" t="n">
        <v>0</v>
      </c>
      <c r="G2743" t="inlineStr">
        <is>
          <t>Tech D</t>
        </is>
      </c>
      <c r="H2743">
        <f>INDEX(Limits!$B$2:$B$5,MATCH(E2743,Limits!$A$2:$A$5,0))</f>
        <v/>
      </c>
      <c r="I2743">
        <f>INDEX(Limits!$C$2:$C$5,MATCH(E2743,Limits!$A$2:$A$5,0))</f>
        <v/>
      </c>
      <c r="J2743">
        <f>IF(F2743&gt;=I2743,"Action",IF(F2743&gt;=H2743,"Alert","Pass"))</f>
        <v/>
      </c>
      <c r="K2743" s="4">
        <f>DATE(YEAR(B2743),MONTH(B2743),1)</f>
        <v/>
      </c>
    </row>
    <row r="2744">
      <c r="A2744" t="inlineStr">
        <is>
          <t>EM002743</t>
        </is>
      </c>
      <c r="B2744" s="7" t="n">
        <v>46227</v>
      </c>
      <c r="C2744" t="inlineStr">
        <is>
          <t>CR-102</t>
        </is>
      </c>
      <c r="D2744" t="inlineStr">
        <is>
          <t>ISO 7</t>
        </is>
      </c>
      <c r="E2744" t="inlineStr">
        <is>
          <t>Compressed air</t>
        </is>
      </c>
      <c r="F2744" t="n">
        <v>0</v>
      </c>
      <c r="G2744" t="inlineStr">
        <is>
          <t>Tech D</t>
        </is>
      </c>
      <c r="H2744">
        <f>INDEX(Limits!$B$2:$B$5,MATCH(E2744,Limits!$A$2:$A$5,0))</f>
        <v/>
      </c>
      <c r="I2744">
        <f>INDEX(Limits!$C$2:$C$5,MATCH(E2744,Limits!$A$2:$A$5,0))</f>
        <v/>
      </c>
      <c r="J2744">
        <f>IF(F2744&gt;=I2744,"Action",IF(F2744&gt;=H2744,"Alert","Pass"))</f>
        <v/>
      </c>
      <c r="K2744" s="4">
        <f>DATE(YEAR(B2744),MONTH(B2744),1)</f>
        <v/>
      </c>
    </row>
    <row r="2745">
      <c r="A2745" t="inlineStr">
        <is>
          <t>EM002744</t>
        </is>
      </c>
      <c r="B2745" s="7" t="n">
        <v>46227</v>
      </c>
      <c r="C2745" t="inlineStr">
        <is>
          <t>CR-102</t>
        </is>
      </c>
      <c r="D2745" t="inlineStr">
        <is>
          <t>ISO 7</t>
        </is>
      </c>
      <c r="E2745" t="inlineStr">
        <is>
          <t>Personnel glove</t>
        </is>
      </c>
      <c r="F2745" t="n">
        <v>0</v>
      </c>
      <c r="G2745" t="inlineStr">
        <is>
          <t>Tech D</t>
        </is>
      </c>
      <c r="H2745">
        <f>INDEX(Limits!$B$2:$B$5,MATCH(E2745,Limits!$A$2:$A$5,0))</f>
        <v/>
      </c>
      <c r="I2745">
        <f>INDEX(Limits!$C$2:$C$5,MATCH(E2745,Limits!$A$2:$A$5,0))</f>
        <v/>
      </c>
      <c r="J2745">
        <f>IF(F2745&gt;=I2745,"Action",IF(F2745&gt;=H2745,"Alert","Pass"))</f>
        <v/>
      </c>
      <c r="K2745" s="4">
        <f>DATE(YEAR(B2745),MONTH(B2745),1)</f>
        <v/>
      </c>
    </row>
    <row r="2746">
      <c r="A2746" t="inlineStr">
        <is>
          <t>EM002745</t>
        </is>
      </c>
      <c r="B2746" s="7" t="n">
        <v>46227</v>
      </c>
      <c r="C2746" t="inlineStr">
        <is>
          <t>CR-201</t>
        </is>
      </c>
      <c r="D2746" t="inlineStr">
        <is>
          <t>ISO 8</t>
        </is>
      </c>
      <c r="E2746" t="inlineStr">
        <is>
          <t>Active air</t>
        </is>
      </c>
      <c r="F2746" t="n">
        <v>1</v>
      </c>
      <c r="G2746" t="inlineStr">
        <is>
          <t>Tech A</t>
        </is>
      </c>
      <c r="H2746">
        <f>INDEX(Limits!$B$2:$B$5,MATCH(E2746,Limits!$A$2:$A$5,0))</f>
        <v/>
      </c>
      <c r="I2746">
        <f>INDEX(Limits!$C$2:$C$5,MATCH(E2746,Limits!$A$2:$A$5,0))</f>
        <v/>
      </c>
      <c r="J2746">
        <f>IF(F2746&gt;=I2746,"Action",IF(F2746&gt;=H2746,"Alert","Pass"))</f>
        <v/>
      </c>
      <c r="K2746" s="4">
        <f>DATE(YEAR(B2746),MONTH(B2746),1)</f>
        <v/>
      </c>
    </row>
    <row r="2747">
      <c r="A2747" t="inlineStr">
        <is>
          <t>EM002746</t>
        </is>
      </c>
      <c r="B2747" s="7" t="n">
        <v>46227</v>
      </c>
      <c r="C2747" t="inlineStr">
        <is>
          <t>CR-201</t>
        </is>
      </c>
      <c r="D2747" t="inlineStr">
        <is>
          <t>ISO 8</t>
        </is>
      </c>
      <c r="E2747" t="inlineStr">
        <is>
          <t>Surface contact</t>
        </is>
      </c>
      <c r="F2747" t="n">
        <v>0</v>
      </c>
      <c r="G2747" t="inlineStr">
        <is>
          <t>Tech A</t>
        </is>
      </c>
      <c r="H2747">
        <f>INDEX(Limits!$B$2:$B$5,MATCH(E2747,Limits!$A$2:$A$5,0))</f>
        <v/>
      </c>
      <c r="I2747">
        <f>INDEX(Limits!$C$2:$C$5,MATCH(E2747,Limits!$A$2:$A$5,0))</f>
        <v/>
      </c>
      <c r="J2747">
        <f>IF(F2747&gt;=I2747,"Action",IF(F2747&gt;=H2747,"Alert","Pass"))</f>
        <v/>
      </c>
      <c r="K2747" s="4">
        <f>DATE(YEAR(B2747),MONTH(B2747),1)</f>
        <v/>
      </c>
    </row>
    <row r="2748">
      <c r="A2748" t="inlineStr">
        <is>
          <t>EM002747</t>
        </is>
      </c>
      <c r="B2748" s="7" t="n">
        <v>46227</v>
      </c>
      <c r="C2748" t="inlineStr">
        <is>
          <t>CR-201</t>
        </is>
      </c>
      <c r="D2748" t="inlineStr">
        <is>
          <t>ISO 8</t>
        </is>
      </c>
      <c r="E2748" t="inlineStr">
        <is>
          <t>Compressed air</t>
        </is>
      </c>
      <c r="F2748" t="n">
        <v>0</v>
      </c>
      <c r="G2748" t="inlineStr">
        <is>
          <t>Tech C</t>
        </is>
      </c>
      <c r="H2748">
        <f>INDEX(Limits!$B$2:$B$5,MATCH(E2748,Limits!$A$2:$A$5,0))</f>
        <v/>
      </c>
      <c r="I2748">
        <f>INDEX(Limits!$C$2:$C$5,MATCH(E2748,Limits!$A$2:$A$5,0))</f>
        <v/>
      </c>
      <c r="J2748">
        <f>IF(F2748&gt;=I2748,"Action",IF(F2748&gt;=H2748,"Alert","Pass"))</f>
        <v/>
      </c>
      <c r="K2748" s="4">
        <f>DATE(YEAR(B2748),MONTH(B2748),1)</f>
        <v/>
      </c>
    </row>
    <row r="2749">
      <c r="A2749" t="inlineStr">
        <is>
          <t>EM002748</t>
        </is>
      </c>
      <c r="B2749" s="7" t="n">
        <v>46227</v>
      </c>
      <c r="C2749" t="inlineStr">
        <is>
          <t>CR-201</t>
        </is>
      </c>
      <c r="D2749" t="inlineStr">
        <is>
          <t>ISO 8</t>
        </is>
      </c>
      <c r="E2749" t="inlineStr">
        <is>
          <t>Personnel glove</t>
        </is>
      </c>
      <c r="F2749" t="n">
        <v>0</v>
      </c>
      <c r="G2749" t="inlineStr">
        <is>
          <t>Tech A</t>
        </is>
      </c>
      <c r="H2749">
        <f>INDEX(Limits!$B$2:$B$5,MATCH(E2749,Limits!$A$2:$A$5,0))</f>
        <v/>
      </c>
      <c r="I2749">
        <f>INDEX(Limits!$C$2:$C$5,MATCH(E2749,Limits!$A$2:$A$5,0))</f>
        <v/>
      </c>
      <c r="J2749">
        <f>IF(F2749&gt;=I2749,"Action",IF(F2749&gt;=H2749,"Alert","Pass"))</f>
        <v/>
      </c>
      <c r="K2749" s="4">
        <f>DATE(YEAR(B2749),MONTH(B2749),1)</f>
        <v/>
      </c>
    </row>
    <row r="2750">
      <c r="A2750" t="inlineStr">
        <is>
          <t>EM002749</t>
        </is>
      </c>
      <c r="B2750" s="7" t="n">
        <v>46227</v>
      </c>
      <c r="C2750" t="inlineStr">
        <is>
          <t>CR-202</t>
        </is>
      </c>
      <c r="D2750" t="inlineStr">
        <is>
          <t>ISO 8</t>
        </is>
      </c>
      <c r="E2750" t="inlineStr">
        <is>
          <t>Active air</t>
        </is>
      </c>
      <c r="F2750" t="n">
        <v>1</v>
      </c>
      <c r="G2750" t="inlineStr">
        <is>
          <t>Tech D</t>
        </is>
      </c>
      <c r="H2750">
        <f>INDEX(Limits!$B$2:$B$5,MATCH(E2750,Limits!$A$2:$A$5,0))</f>
        <v/>
      </c>
      <c r="I2750">
        <f>INDEX(Limits!$C$2:$C$5,MATCH(E2750,Limits!$A$2:$A$5,0))</f>
        <v/>
      </c>
      <c r="J2750">
        <f>IF(F2750&gt;=I2750,"Action",IF(F2750&gt;=H2750,"Alert","Pass"))</f>
        <v/>
      </c>
      <c r="K2750" s="4">
        <f>DATE(YEAR(B2750),MONTH(B2750),1)</f>
        <v/>
      </c>
    </row>
    <row r="2751">
      <c r="A2751" t="inlineStr">
        <is>
          <t>EM002750</t>
        </is>
      </c>
      <c r="B2751" s="7" t="n">
        <v>46227</v>
      </c>
      <c r="C2751" t="inlineStr">
        <is>
          <t>CR-202</t>
        </is>
      </c>
      <c r="D2751" t="inlineStr">
        <is>
          <t>ISO 8</t>
        </is>
      </c>
      <c r="E2751" t="inlineStr">
        <is>
          <t>Surface contact</t>
        </is>
      </c>
      <c r="F2751" t="n">
        <v>1</v>
      </c>
      <c r="G2751" t="inlineStr">
        <is>
          <t>Tech D</t>
        </is>
      </c>
      <c r="H2751">
        <f>INDEX(Limits!$B$2:$B$5,MATCH(E2751,Limits!$A$2:$A$5,0))</f>
        <v/>
      </c>
      <c r="I2751">
        <f>INDEX(Limits!$C$2:$C$5,MATCH(E2751,Limits!$A$2:$A$5,0))</f>
        <v/>
      </c>
      <c r="J2751">
        <f>IF(F2751&gt;=I2751,"Action",IF(F2751&gt;=H2751,"Alert","Pass"))</f>
        <v/>
      </c>
      <c r="K2751" s="4">
        <f>DATE(YEAR(B2751),MONTH(B2751),1)</f>
        <v/>
      </c>
    </row>
    <row r="2752">
      <c r="A2752" t="inlineStr">
        <is>
          <t>EM002751</t>
        </is>
      </c>
      <c r="B2752" s="7" t="n">
        <v>46227</v>
      </c>
      <c r="C2752" t="inlineStr">
        <is>
          <t>CR-202</t>
        </is>
      </c>
      <c r="D2752" t="inlineStr">
        <is>
          <t>ISO 8</t>
        </is>
      </c>
      <c r="E2752" t="inlineStr">
        <is>
          <t>Compressed air</t>
        </is>
      </c>
      <c r="F2752" t="n">
        <v>0</v>
      </c>
      <c r="G2752" t="inlineStr">
        <is>
          <t>Tech A</t>
        </is>
      </c>
      <c r="H2752">
        <f>INDEX(Limits!$B$2:$B$5,MATCH(E2752,Limits!$A$2:$A$5,0))</f>
        <v/>
      </c>
      <c r="I2752">
        <f>INDEX(Limits!$C$2:$C$5,MATCH(E2752,Limits!$A$2:$A$5,0))</f>
        <v/>
      </c>
      <c r="J2752">
        <f>IF(F2752&gt;=I2752,"Action",IF(F2752&gt;=H2752,"Alert","Pass"))</f>
        <v/>
      </c>
      <c r="K2752" s="4">
        <f>DATE(YEAR(B2752),MONTH(B2752),1)</f>
        <v/>
      </c>
    </row>
    <row r="2753">
      <c r="A2753" t="inlineStr">
        <is>
          <t>EM002752</t>
        </is>
      </c>
      <c r="B2753" s="7" t="n">
        <v>46227</v>
      </c>
      <c r="C2753" t="inlineStr">
        <is>
          <t>CR-202</t>
        </is>
      </c>
      <c r="D2753" t="inlineStr">
        <is>
          <t>ISO 8</t>
        </is>
      </c>
      <c r="E2753" t="inlineStr">
        <is>
          <t>Personnel glove</t>
        </is>
      </c>
      <c r="F2753" t="n">
        <v>0</v>
      </c>
      <c r="G2753" t="inlineStr">
        <is>
          <t>Tech B</t>
        </is>
      </c>
      <c r="H2753">
        <f>INDEX(Limits!$B$2:$B$5,MATCH(E2753,Limits!$A$2:$A$5,0))</f>
        <v/>
      </c>
      <c r="I2753">
        <f>INDEX(Limits!$C$2:$C$5,MATCH(E2753,Limits!$A$2:$A$5,0))</f>
        <v/>
      </c>
      <c r="J2753">
        <f>IF(F2753&gt;=I2753,"Action",IF(F2753&gt;=H2753,"Alert","Pass"))</f>
        <v/>
      </c>
      <c r="K2753" s="4">
        <f>DATE(YEAR(B2753),MONTH(B2753),1)</f>
        <v/>
      </c>
    </row>
    <row r="2754">
      <c r="A2754" t="inlineStr">
        <is>
          <t>EM002753</t>
        </is>
      </c>
      <c r="B2754" s="7" t="n">
        <v>46227</v>
      </c>
      <c r="C2754" t="inlineStr">
        <is>
          <t>Gowning</t>
        </is>
      </c>
      <c r="D2754" t="inlineStr">
        <is>
          <t>ISO 8</t>
        </is>
      </c>
      <c r="E2754" t="inlineStr">
        <is>
          <t>Active air</t>
        </is>
      </c>
      <c r="F2754" t="n">
        <v>4</v>
      </c>
      <c r="G2754" t="inlineStr">
        <is>
          <t>Tech A</t>
        </is>
      </c>
      <c r="H2754">
        <f>INDEX(Limits!$B$2:$B$5,MATCH(E2754,Limits!$A$2:$A$5,0))</f>
        <v/>
      </c>
      <c r="I2754">
        <f>INDEX(Limits!$C$2:$C$5,MATCH(E2754,Limits!$A$2:$A$5,0))</f>
        <v/>
      </c>
      <c r="J2754">
        <f>IF(F2754&gt;=I2754,"Action",IF(F2754&gt;=H2754,"Alert","Pass"))</f>
        <v/>
      </c>
      <c r="K2754" s="4">
        <f>DATE(YEAR(B2754),MONTH(B2754),1)</f>
        <v/>
      </c>
    </row>
    <row r="2755">
      <c r="A2755" t="inlineStr">
        <is>
          <t>EM002754</t>
        </is>
      </c>
      <c r="B2755" s="7" t="n">
        <v>46227</v>
      </c>
      <c r="C2755" t="inlineStr">
        <is>
          <t>Gowning</t>
        </is>
      </c>
      <c r="D2755" t="inlineStr">
        <is>
          <t>ISO 8</t>
        </is>
      </c>
      <c r="E2755" t="inlineStr">
        <is>
          <t>Surface contact</t>
        </is>
      </c>
      <c r="F2755" t="n">
        <v>0</v>
      </c>
      <c r="G2755" t="inlineStr">
        <is>
          <t>Tech A</t>
        </is>
      </c>
      <c r="H2755">
        <f>INDEX(Limits!$B$2:$B$5,MATCH(E2755,Limits!$A$2:$A$5,0))</f>
        <v/>
      </c>
      <c r="I2755">
        <f>INDEX(Limits!$C$2:$C$5,MATCH(E2755,Limits!$A$2:$A$5,0))</f>
        <v/>
      </c>
      <c r="J2755">
        <f>IF(F2755&gt;=I2755,"Action",IF(F2755&gt;=H2755,"Alert","Pass"))</f>
        <v/>
      </c>
      <c r="K2755" s="4">
        <f>DATE(YEAR(B2755),MONTH(B2755),1)</f>
        <v/>
      </c>
    </row>
    <row r="2756">
      <c r="A2756" t="inlineStr">
        <is>
          <t>EM002755</t>
        </is>
      </c>
      <c r="B2756" s="7" t="n">
        <v>46227</v>
      </c>
      <c r="C2756" t="inlineStr">
        <is>
          <t>Gowning</t>
        </is>
      </c>
      <c r="D2756" t="inlineStr">
        <is>
          <t>ISO 8</t>
        </is>
      </c>
      <c r="E2756" t="inlineStr">
        <is>
          <t>Personnel glove</t>
        </is>
      </c>
      <c r="F2756" t="n">
        <v>0</v>
      </c>
      <c r="G2756" t="inlineStr">
        <is>
          <t>Tech C</t>
        </is>
      </c>
      <c r="H2756">
        <f>INDEX(Limits!$B$2:$B$5,MATCH(E2756,Limits!$A$2:$A$5,0))</f>
        <v/>
      </c>
      <c r="I2756">
        <f>INDEX(Limits!$C$2:$C$5,MATCH(E2756,Limits!$A$2:$A$5,0))</f>
        <v/>
      </c>
      <c r="J2756">
        <f>IF(F2756&gt;=I2756,"Action",IF(F2756&gt;=H2756,"Alert","Pass"))</f>
        <v/>
      </c>
      <c r="K2756" s="4">
        <f>DATE(YEAR(B2756),MONTH(B2756),1)</f>
        <v/>
      </c>
    </row>
    <row r="2757">
      <c r="A2757" t="inlineStr">
        <is>
          <t>EM002756</t>
        </is>
      </c>
      <c r="B2757" s="7" t="n">
        <v>46230</v>
      </c>
      <c r="C2757" t="inlineStr">
        <is>
          <t>CR-101</t>
        </is>
      </c>
      <c r="D2757" t="inlineStr">
        <is>
          <t>ISO 7</t>
        </is>
      </c>
      <c r="E2757" t="inlineStr">
        <is>
          <t>Active air</t>
        </is>
      </c>
      <c r="F2757" t="n">
        <v>3</v>
      </c>
      <c r="G2757" t="inlineStr">
        <is>
          <t>Tech C</t>
        </is>
      </c>
      <c r="H2757">
        <f>INDEX(Limits!$B$2:$B$5,MATCH(E2757,Limits!$A$2:$A$5,0))</f>
        <v/>
      </c>
      <c r="I2757">
        <f>INDEX(Limits!$C$2:$C$5,MATCH(E2757,Limits!$A$2:$A$5,0))</f>
        <v/>
      </c>
      <c r="J2757">
        <f>IF(F2757&gt;=I2757,"Action",IF(F2757&gt;=H2757,"Alert","Pass"))</f>
        <v/>
      </c>
      <c r="K2757" s="4">
        <f>DATE(YEAR(B2757),MONTH(B2757),1)</f>
        <v/>
      </c>
    </row>
    <row r="2758">
      <c r="A2758" t="inlineStr">
        <is>
          <t>EM002757</t>
        </is>
      </c>
      <c r="B2758" s="7" t="n">
        <v>46230</v>
      </c>
      <c r="C2758" t="inlineStr">
        <is>
          <t>CR-101</t>
        </is>
      </c>
      <c r="D2758" t="inlineStr">
        <is>
          <t>ISO 7</t>
        </is>
      </c>
      <c r="E2758" t="inlineStr">
        <is>
          <t>Surface contact</t>
        </is>
      </c>
      <c r="F2758" t="n">
        <v>4</v>
      </c>
      <c r="G2758" t="inlineStr">
        <is>
          <t>Tech C</t>
        </is>
      </c>
      <c r="H2758">
        <f>INDEX(Limits!$B$2:$B$5,MATCH(E2758,Limits!$A$2:$A$5,0))</f>
        <v/>
      </c>
      <c r="I2758">
        <f>INDEX(Limits!$C$2:$C$5,MATCH(E2758,Limits!$A$2:$A$5,0))</f>
        <v/>
      </c>
      <c r="J2758">
        <f>IF(F2758&gt;=I2758,"Action",IF(F2758&gt;=H2758,"Alert","Pass"))</f>
        <v/>
      </c>
      <c r="K2758" s="4">
        <f>DATE(YEAR(B2758),MONTH(B2758),1)</f>
        <v/>
      </c>
    </row>
    <row r="2759">
      <c r="A2759" t="inlineStr">
        <is>
          <t>EM002758</t>
        </is>
      </c>
      <c r="B2759" s="7" t="n">
        <v>46230</v>
      </c>
      <c r="C2759" t="inlineStr">
        <is>
          <t>CR-101</t>
        </is>
      </c>
      <c r="D2759" t="inlineStr">
        <is>
          <t>ISO 7</t>
        </is>
      </c>
      <c r="E2759" t="inlineStr">
        <is>
          <t>Compressed air</t>
        </is>
      </c>
      <c r="F2759" t="n">
        <v>0</v>
      </c>
      <c r="G2759" t="inlineStr">
        <is>
          <t>Tech D</t>
        </is>
      </c>
      <c r="H2759">
        <f>INDEX(Limits!$B$2:$B$5,MATCH(E2759,Limits!$A$2:$A$5,0))</f>
        <v/>
      </c>
      <c r="I2759">
        <f>INDEX(Limits!$C$2:$C$5,MATCH(E2759,Limits!$A$2:$A$5,0))</f>
        <v/>
      </c>
      <c r="J2759">
        <f>IF(F2759&gt;=I2759,"Action",IF(F2759&gt;=H2759,"Alert","Pass"))</f>
        <v/>
      </c>
      <c r="K2759" s="4">
        <f>DATE(YEAR(B2759),MONTH(B2759),1)</f>
        <v/>
      </c>
    </row>
    <row r="2760">
      <c r="A2760" t="inlineStr">
        <is>
          <t>EM002759</t>
        </is>
      </c>
      <c r="B2760" s="7" t="n">
        <v>46230</v>
      </c>
      <c r="C2760" t="inlineStr">
        <is>
          <t>CR-101</t>
        </is>
      </c>
      <c r="D2760" t="inlineStr">
        <is>
          <t>ISO 7</t>
        </is>
      </c>
      <c r="E2760" t="inlineStr">
        <is>
          <t>Personnel glove</t>
        </is>
      </c>
      <c r="F2760" t="n">
        <v>0</v>
      </c>
      <c r="G2760" t="inlineStr">
        <is>
          <t>Tech B</t>
        </is>
      </c>
      <c r="H2760">
        <f>INDEX(Limits!$B$2:$B$5,MATCH(E2760,Limits!$A$2:$A$5,0))</f>
        <v/>
      </c>
      <c r="I2760">
        <f>INDEX(Limits!$C$2:$C$5,MATCH(E2760,Limits!$A$2:$A$5,0))</f>
        <v/>
      </c>
      <c r="J2760">
        <f>IF(F2760&gt;=I2760,"Action",IF(F2760&gt;=H2760,"Alert","Pass"))</f>
        <v/>
      </c>
      <c r="K2760" s="4">
        <f>DATE(YEAR(B2760),MONTH(B2760),1)</f>
        <v/>
      </c>
    </row>
    <row r="2761">
      <c r="A2761" t="inlineStr">
        <is>
          <t>EM002760</t>
        </is>
      </c>
      <c r="B2761" s="7" t="n">
        <v>46230</v>
      </c>
      <c r="C2761" t="inlineStr">
        <is>
          <t>CR-102</t>
        </is>
      </c>
      <c r="D2761" t="inlineStr">
        <is>
          <t>ISO 7</t>
        </is>
      </c>
      <c r="E2761" t="inlineStr">
        <is>
          <t>Active air</t>
        </is>
      </c>
      <c r="F2761" t="n">
        <v>4</v>
      </c>
      <c r="G2761" t="inlineStr">
        <is>
          <t>Tech C</t>
        </is>
      </c>
      <c r="H2761">
        <f>INDEX(Limits!$B$2:$B$5,MATCH(E2761,Limits!$A$2:$A$5,0))</f>
        <v/>
      </c>
      <c r="I2761">
        <f>INDEX(Limits!$C$2:$C$5,MATCH(E2761,Limits!$A$2:$A$5,0))</f>
        <v/>
      </c>
      <c r="J2761">
        <f>IF(F2761&gt;=I2761,"Action",IF(F2761&gt;=H2761,"Alert","Pass"))</f>
        <v/>
      </c>
      <c r="K2761" s="4">
        <f>DATE(YEAR(B2761),MONTH(B2761),1)</f>
        <v/>
      </c>
    </row>
    <row r="2762">
      <c r="A2762" t="inlineStr">
        <is>
          <t>EM002761</t>
        </is>
      </c>
      <c r="B2762" s="7" t="n">
        <v>46230</v>
      </c>
      <c r="C2762" t="inlineStr">
        <is>
          <t>CR-102</t>
        </is>
      </c>
      <c r="D2762" t="inlineStr">
        <is>
          <t>ISO 7</t>
        </is>
      </c>
      <c r="E2762" t="inlineStr">
        <is>
          <t>Surface contact</t>
        </is>
      </c>
      <c r="F2762" t="n">
        <v>0</v>
      </c>
      <c r="G2762" t="inlineStr">
        <is>
          <t>Tech D</t>
        </is>
      </c>
      <c r="H2762">
        <f>INDEX(Limits!$B$2:$B$5,MATCH(E2762,Limits!$A$2:$A$5,0))</f>
        <v/>
      </c>
      <c r="I2762">
        <f>INDEX(Limits!$C$2:$C$5,MATCH(E2762,Limits!$A$2:$A$5,0))</f>
        <v/>
      </c>
      <c r="J2762">
        <f>IF(F2762&gt;=I2762,"Action",IF(F2762&gt;=H2762,"Alert","Pass"))</f>
        <v/>
      </c>
      <c r="K2762" s="4">
        <f>DATE(YEAR(B2762),MONTH(B2762),1)</f>
        <v/>
      </c>
    </row>
    <row r="2763">
      <c r="A2763" t="inlineStr">
        <is>
          <t>EM002762</t>
        </is>
      </c>
      <c r="B2763" s="7" t="n">
        <v>46230</v>
      </c>
      <c r="C2763" t="inlineStr">
        <is>
          <t>CR-102</t>
        </is>
      </c>
      <c r="D2763" t="inlineStr">
        <is>
          <t>ISO 7</t>
        </is>
      </c>
      <c r="E2763" t="inlineStr">
        <is>
          <t>Compressed air</t>
        </is>
      </c>
      <c r="F2763" t="n">
        <v>0</v>
      </c>
      <c r="G2763" t="inlineStr">
        <is>
          <t>Tech D</t>
        </is>
      </c>
      <c r="H2763">
        <f>INDEX(Limits!$B$2:$B$5,MATCH(E2763,Limits!$A$2:$A$5,0))</f>
        <v/>
      </c>
      <c r="I2763">
        <f>INDEX(Limits!$C$2:$C$5,MATCH(E2763,Limits!$A$2:$A$5,0))</f>
        <v/>
      </c>
      <c r="J2763">
        <f>IF(F2763&gt;=I2763,"Action",IF(F2763&gt;=H2763,"Alert","Pass"))</f>
        <v/>
      </c>
      <c r="K2763" s="4">
        <f>DATE(YEAR(B2763),MONTH(B2763),1)</f>
        <v/>
      </c>
    </row>
    <row r="2764">
      <c r="A2764" t="inlineStr">
        <is>
          <t>EM002763</t>
        </is>
      </c>
      <c r="B2764" s="7" t="n">
        <v>46230</v>
      </c>
      <c r="C2764" t="inlineStr">
        <is>
          <t>CR-102</t>
        </is>
      </c>
      <c r="D2764" t="inlineStr">
        <is>
          <t>ISO 7</t>
        </is>
      </c>
      <c r="E2764" t="inlineStr">
        <is>
          <t>Personnel glove</t>
        </is>
      </c>
      <c r="F2764" t="n">
        <v>0</v>
      </c>
      <c r="G2764" t="inlineStr">
        <is>
          <t>Tech B</t>
        </is>
      </c>
      <c r="H2764">
        <f>INDEX(Limits!$B$2:$B$5,MATCH(E2764,Limits!$A$2:$A$5,0))</f>
        <v/>
      </c>
      <c r="I2764">
        <f>INDEX(Limits!$C$2:$C$5,MATCH(E2764,Limits!$A$2:$A$5,0))</f>
        <v/>
      </c>
      <c r="J2764">
        <f>IF(F2764&gt;=I2764,"Action",IF(F2764&gt;=H2764,"Alert","Pass"))</f>
        <v/>
      </c>
      <c r="K2764" s="4">
        <f>DATE(YEAR(B2764),MONTH(B2764),1)</f>
        <v/>
      </c>
    </row>
    <row r="2765">
      <c r="A2765" t="inlineStr">
        <is>
          <t>EM002764</t>
        </is>
      </c>
      <c r="B2765" s="7" t="n">
        <v>46230</v>
      </c>
      <c r="C2765" t="inlineStr">
        <is>
          <t>CR-201</t>
        </is>
      </c>
      <c r="D2765" t="inlineStr">
        <is>
          <t>ISO 8</t>
        </is>
      </c>
      <c r="E2765" t="inlineStr">
        <is>
          <t>Active air</t>
        </is>
      </c>
      <c r="F2765" t="n">
        <v>4</v>
      </c>
      <c r="G2765" t="inlineStr">
        <is>
          <t>Tech C</t>
        </is>
      </c>
      <c r="H2765">
        <f>INDEX(Limits!$B$2:$B$5,MATCH(E2765,Limits!$A$2:$A$5,0))</f>
        <v/>
      </c>
      <c r="I2765">
        <f>INDEX(Limits!$C$2:$C$5,MATCH(E2765,Limits!$A$2:$A$5,0))</f>
        <v/>
      </c>
      <c r="J2765">
        <f>IF(F2765&gt;=I2765,"Action",IF(F2765&gt;=H2765,"Alert","Pass"))</f>
        <v/>
      </c>
      <c r="K2765" s="4">
        <f>DATE(YEAR(B2765),MONTH(B2765),1)</f>
        <v/>
      </c>
    </row>
    <row r="2766">
      <c r="A2766" t="inlineStr">
        <is>
          <t>EM002765</t>
        </is>
      </c>
      <c r="B2766" s="7" t="n">
        <v>46230</v>
      </c>
      <c r="C2766" t="inlineStr">
        <is>
          <t>CR-201</t>
        </is>
      </c>
      <c r="D2766" t="inlineStr">
        <is>
          <t>ISO 8</t>
        </is>
      </c>
      <c r="E2766" t="inlineStr">
        <is>
          <t>Surface contact</t>
        </is>
      </c>
      <c r="F2766" t="n">
        <v>1</v>
      </c>
      <c r="G2766" t="inlineStr">
        <is>
          <t>Tech B</t>
        </is>
      </c>
      <c r="H2766">
        <f>INDEX(Limits!$B$2:$B$5,MATCH(E2766,Limits!$A$2:$A$5,0))</f>
        <v/>
      </c>
      <c r="I2766">
        <f>INDEX(Limits!$C$2:$C$5,MATCH(E2766,Limits!$A$2:$A$5,0))</f>
        <v/>
      </c>
      <c r="J2766">
        <f>IF(F2766&gt;=I2766,"Action",IF(F2766&gt;=H2766,"Alert","Pass"))</f>
        <v/>
      </c>
      <c r="K2766" s="4">
        <f>DATE(YEAR(B2766),MONTH(B2766),1)</f>
        <v/>
      </c>
    </row>
    <row r="2767">
      <c r="A2767" t="inlineStr">
        <is>
          <t>EM002766</t>
        </is>
      </c>
      <c r="B2767" s="7" t="n">
        <v>46230</v>
      </c>
      <c r="C2767" t="inlineStr">
        <is>
          <t>CR-201</t>
        </is>
      </c>
      <c r="D2767" t="inlineStr">
        <is>
          <t>ISO 8</t>
        </is>
      </c>
      <c r="E2767" t="inlineStr">
        <is>
          <t>Compressed air</t>
        </is>
      </c>
      <c r="F2767" t="n">
        <v>0</v>
      </c>
      <c r="G2767" t="inlineStr">
        <is>
          <t>Tech B</t>
        </is>
      </c>
      <c r="H2767">
        <f>INDEX(Limits!$B$2:$B$5,MATCH(E2767,Limits!$A$2:$A$5,0))</f>
        <v/>
      </c>
      <c r="I2767">
        <f>INDEX(Limits!$C$2:$C$5,MATCH(E2767,Limits!$A$2:$A$5,0))</f>
        <v/>
      </c>
      <c r="J2767">
        <f>IF(F2767&gt;=I2767,"Action",IF(F2767&gt;=H2767,"Alert","Pass"))</f>
        <v/>
      </c>
      <c r="K2767" s="4">
        <f>DATE(YEAR(B2767),MONTH(B2767),1)</f>
        <v/>
      </c>
    </row>
    <row r="2768">
      <c r="A2768" t="inlineStr">
        <is>
          <t>EM002767</t>
        </is>
      </c>
      <c r="B2768" s="7" t="n">
        <v>46230</v>
      </c>
      <c r="C2768" t="inlineStr">
        <is>
          <t>CR-201</t>
        </is>
      </c>
      <c r="D2768" t="inlineStr">
        <is>
          <t>ISO 8</t>
        </is>
      </c>
      <c r="E2768" t="inlineStr">
        <is>
          <t>Personnel glove</t>
        </is>
      </c>
      <c r="F2768" t="n">
        <v>0</v>
      </c>
      <c r="G2768" t="inlineStr">
        <is>
          <t>Tech B</t>
        </is>
      </c>
      <c r="H2768">
        <f>INDEX(Limits!$B$2:$B$5,MATCH(E2768,Limits!$A$2:$A$5,0))</f>
        <v/>
      </c>
      <c r="I2768">
        <f>INDEX(Limits!$C$2:$C$5,MATCH(E2768,Limits!$A$2:$A$5,0))</f>
        <v/>
      </c>
      <c r="J2768">
        <f>IF(F2768&gt;=I2768,"Action",IF(F2768&gt;=H2768,"Alert","Pass"))</f>
        <v/>
      </c>
      <c r="K2768" s="4">
        <f>DATE(YEAR(B2768),MONTH(B2768),1)</f>
        <v/>
      </c>
    </row>
    <row r="2769">
      <c r="A2769" t="inlineStr">
        <is>
          <t>EM002768</t>
        </is>
      </c>
      <c r="B2769" s="7" t="n">
        <v>46230</v>
      </c>
      <c r="C2769" t="inlineStr">
        <is>
          <t>CR-202</t>
        </is>
      </c>
      <c r="D2769" t="inlineStr">
        <is>
          <t>ISO 8</t>
        </is>
      </c>
      <c r="E2769" t="inlineStr">
        <is>
          <t>Active air</t>
        </is>
      </c>
      <c r="F2769" t="n">
        <v>2</v>
      </c>
      <c r="G2769" t="inlineStr">
        <is>
          <t>Tech C</t>
        </is>
      </c>
      <c r="H2769">
        <f>INDEX(Limits!$B$2:$B$5,MATCH(E2769,Limits!$A$2:$A$5,0))</f>
        <v/>
      </c>
      <c r="I2769">
        <f>INDEX(Limits!$C$2:$C$5,MATCH(E2769,Limits!$A$2:$A$5,0))</f>
        <v/>
      </c>
      <c r="J2769">
        <f>IF(F2769&gt;=I2769,"Action",IF(F2769&gt;=H2769,"Alert","Pass"))</f>
        <v/>
      </c>
      <c r="K2769" s="4">
        <f>DATE(YEAR(B2769),MONTH(B2769),1)</f>
        <v/>
      </c>
    </row>
    <row r="2770">
      <c r="A2770" t="inlineStr">
        <is>
          <t>EM002769</t>
        </is>
      </c>
      <c r="B2770" s="7" t="n">
        <v>46230</v>
      </c>
      <c r="C2770" t="inlineStr">
        <is>
          <t>CR-202</t>
        </is>
      </c>
      <c r="D2770" t="inlineStr">
        <is>
          <t>ISO 8</t>
        </is>
      </c>
      <c r="E2770" t="inlineStr">
        <is>
          <t>Surface contact</t>
        </is>
      </c>
      <c r="F2770" t="n">
        <v>0</v>
      </c>
      <c r="G2770" t="inlineStr">
        <is>
          <t>Tech A</t>
        </is>
      </c>
      <c r="H2770">
        <f>INDEX(Limits!$B$2:$B$5,MATCH(E2770,Limits!$A$2:$A$5,0))</f>
        <v/>
      </c>
      <c r="I2770">
        <f>INDEX(Limits!$C$2:$C$5,MATCH(E2770,Limits!$A$2:$A$5,0))</f>
        <v/>
      </c>
      <c r="J2770">
        <f>IF(F2770&gt;=I2770,"Action",IF(F2770&gt;=H2770,"Alert","Pass"))</f>
        <v/>
      </c>
      <c r="K2770" s="4">
        <f>DATE(YEAR(B2770),MONTH(B2770),1)</f>
        <v/>
      </c>
    </row>
    <row r="2771">
      <c r="A2771" t="inlineStr">
        <is>
          <t>EM002770</t>
        </is>
      </c>
      <c r="B2771" s="7" t="n">
        <v>46230</v>
      </c>
      <c r="C2771" t="inlineStr">
        <is>
          <t>CR-202</t>
        </is>
      </c>
      <c r="D2771" t="inlineStr">
        <is>
          <t>ISO 8</t>
        </is>
      </c>
      <c r="E2771" t="inlineStr">
        <is>
          <t>Compressed air</t>
        </is>
      </c>
      <c r="F2771" t="n">
        <v>0</v>
      </c>
      <c r="G2771" t="inlineStr">
        <is>
          <t>Tech A</t>
        </is>
      </c>
      <c r="H2771">
        <f>INDEX(Limits!$B$2:$B$5,MATCH(E2771,Limits!$A$2:$A$5,0))</f>
        <v/>
      </c>
      <c r="I2771">
        <f>INDEX(Limits!$C$2:$C$5,MATCH(E2771,Limits!$A$2:$A$5,0))</f>
        <v/>
      </c>
      <c r="J2771">
        <f>IF(F2771&gt;=I2771,"Action",IF(F2771&gt;=H2771,"Alert","Pass"))</f>
        <v/>
      </c>
      <c r="K2771" s="4">
        <f>DATE(YEAR(B2771),MONTH(B2771),1)</f>
        <v/>
      </c>
    </row>
    <row r="2772">
      <c r="A2772" t="inlineStr">
        <is>
          <t>EM002771</t>
        </is>
      </c>
      <c r="B2772" s="7" t="n">
        <v>46230</v>
      </c>
      <c r="C2772" t="inlineStr">
        <is>
          <t>CR-202</t>
        </is>
      </c>
      <c r="D2772" t="inlineStr">
        <is>
          <t>ISO 8</t>
        </is>
      </c>
      <c r="E2772" t="inlineStr">
        <is>
          <t>Personnel glove</t>
        </is>
      </c>
      <c r="F2772" t="n">
        <v>0</v>
      </c>
      <c r="G2772" t="inlineStr">
        <is>
          <t>Tech C</t>
        </is>
      </c>
      <c r="H2772">
        <f>INDEX(Limits!$B$2:$B$5,MATCH(E2772,Limits!$A$2:$A$5,0))</f>
        <v/>
      </c>
      <c r="I2772">
        <f>INDEX(Limits!$C$2:$C$5,MATCH(E2772,Limits!$A$2:$A$5,0))</f>
        <v/>
      </c>
      <c r="J2772">
        <f>IF(F2772&gt;=I2772,"Action",IF(F2772&gt;=H2772,"Alert","Pass"))</f>
        <v/>
      </c>
      <c r="K2772" s="4">
        <f>DATE(YEAR(B2772),MONTH(B2772),1)</f>
        <v/>
      </c>
    </row>
    <row r="2773">
      <c r="A2773" t="inlineStr">
        <is>
          <t>EM002772</t>
        </is>
      </c>
      <c r="B2773" s="7" t="n">
        <v>46230</v>
      </c>
      <c r="C2773" t="inlineStr">
        <is>
          <t>Gowning</t>
        </is>
      </c>
      <c r="D2773" t="inlineStr">
        <is>
          <t>ISO 8</t>
        </is>
      </c>
      <c r="E2773" t="inlineStr">
        <is>
          <t>Active air</t>
        </is>
      </c>
      <c r="F2773" t="n">
        <v>3</v>
      </c>
      <c r="G2773" t="inlineStr">
        <is>
          <t>Tech B</t>
        </is>
      </c>
      <c r="H2773">
        <f>INDEX(Limits!$B$2:$B$5,MATCH(E2773,Limits!$A$2:$A$5,0))</f>
        <v/>
      </c>
      <c r="I2773">
        <f>INDEX(Limits!$C$2:$C$5,MATCH(E2773,Limits!$A$2:$A$5,0))</f>
        <v/>
      </c>
      <c r="J2773">
        <f>IF(F2773&gt;=I2773,"Action",IF(F2773&gt;=H2773,"Alert","Pass"))</f>
        <v/>
      </c>
      <c r="K2773" s="4">
        <f>DATE(YEAR(B2773),MONTH(B2773),1)</f>
        <v/>
      </c>
    </row>
    <row r="2774">
      <c r="A2774" t="inlineStr">
        <is>
          <t>EM002773</t>
        </is>
      </c>
      <c r="B2774" s="7" t="n">
        <v>46230</v>
      </c>
      <c r="C2774" t="inlineStr">
        <is>
          <t>Gowning</t>
        </is>
      </c>
      <c r="D2774" t="inlineStr">
        <is>
          <t>ISO 8</t>
        </is>
      </c>
      <c r="E2774" t="inlineStr">
        <is>
          <t>Surface contact</t>
        </is>
      </c>
      <c r="F2774" t="n">
        <v>0</v>
      </c>
      <c r="G2774" t="inlineStr">
        <is>
          <t>Tech D</t>
        </is>
      </c>
      <c r="H2774">
        <f>INDEX(Limits!$B$2:$B$5,MATCH(E2774,Limits!$A$2:$A$5,0))</f>
        <v/>
      </c>
      <c r="I2774">
        <f>INDEX(Limits!$C$2:$C$5,MATCH(E2774,Limits!$A$2:$A$5,0))</f>
        <v/>
      </c>
      <c r="J2774">
        <f>IF(F2774&gt;=I2774,"Action",IF(F2774&gt;=H2774,"Alert","Pass"))</f>
        <v/>
      </c>
      <c r="K2774" s="4">
        <f>DATE(YEAR(B2774),MONTH(B2774),1)</f>
        <v/>
      </c>
    </row>
    <row r="2775">
      <c r="A2775" t="inlineStr">
        <is>
          <t>EM002774</t>
        </is>
      </c>
      <c r="B2775" s="7" t="n">
        <v>46230</v>
      </c>
      <c r="C2775" t="inlineStr">
        <is>
          <t>Gowning</t>
        </is>
      </c>
      <c r="D2775" t="inlineStr">
        <is>
          <t>ISO 8</t>
        </is>
      </c>
      <c r="E2775" t="inlineStr">
        <is>
          <t>Personnel glove</t>
        </is>
      </c>
      <c r="F2775" t="n">
        <v>0</v>
      </c>
      <c r="G2775" t="inlineStr">
        <is>
          <t>Tech A</t>
        </is>
      </c>
      <c r="H2775">
        <f>INDEX(Limits!$B$2:$B$5,MATCH(E2775,Limits!$A$2:$A$5,0))</f>
        <v/>
      </c>
      <c r="I2775">
        <f>INDEX(Limits!$C$2:$C$5,MATCH(E2775,Limits!$A$2:$A$5,0))</f>
        <v/>
      </c>
      <c r="J2775">
        <f>IF(F2775&gt;=I2775,"Action",IF(F2775&gt;=H2775,"Alert","Pass"))</f>
        <v/>
      </c>
      <c r="K2775" s="4">
        <f>DATE(YEAR(B2775),MONTH(B2775),1)</f>
        <v/>
      </c>
    </row>
    <row r="2776">
      <c r="A2776" t="inlineStr">
        <is>
          <t>EM002775</t>
        </is>
      </c>
      <c r="B2776" s="7" t="n">
        <v>46231</v>
      </c>
      <c r="C2776" t="inlineStr">
        <is>
          <t>CR-101</t>
        </is>
      </c>
      <c r="D2776" t="inlineStr">
        <is>
          <t>ISO 7</t>
        </is>
      </c>
      <c r="E2776" t="inlineStr">
        <is>
          <t>Active air</t>
        </is>
      </c>
      <c r="F2776" t="n">
        <v>0</v>
      </c>
      <c r="G2776" t="inlineStr">
        <is>
          <t>Tech D</t>
        </is>
      </c>
      <c r="H2776">
        <f>INDEX(Limits!$B$2:$B$5,MATCH(E2776,Limits!$A$2:$A$5,0))</f>
        <v/>
      </c>
      <c r="I2776">
        <f>INDEX(Limits!$C$2:$C$5,MATCH(E2776,Limits!$A$2:$A$5,0))</f>
        <v/>
      </c>
      <c r="J2776">
        <f>IF(F2776&gt;=I2776,"Action",IF(F2776&gt;=H2776,"Alert","Pass"))</f>
        <v/>
      </c>
      <c r="K2776" s="4">
        <f>DATE(YEAR(B2776),MONTH(B2776),1)</f>
        <v/>
      </c>
    </row>
    <row r="2777">
      <c r="A2777" t="inlineStr">
        <is>
          <t>EM002776</t>
        </is>
      </c>
      <c r="B2777" s="7" t="n">
        <v>46231</v>
      </c>
      <c r="C2777" t="inlineStr">
        <is>
          <t>CR-101</t>
        </is>
      </c>
      <c r="D2777" t="inlineStr">
        <is>
          <t>ISO 7</t>
        </is>
      </c>
      <c r="E2777" t="inlineStr">
        <is>
          <t>Surface contact</t>
        </is>
      </c>
      <c r="F2777" t="n">
        <v>0</v>
      </c>
      <c r="G2777" t="inlineStr">
        <is>
          <t>Tech A</t>
        </is>
      </c>
      <c r="H2777">
        <f>INDEX(Limits!$B$2:$B$5,MATCH(E2777,Limits!$A$2:$A$5,0))</f>
        <v/>
      </c>
      <c r="I2777">
        <f>INDEX(Limits!$C$2:$C$5,MATCH(E2777,Limits!$A$2:$A$5,0))</f>
        <v/>
      </c>
      <c r="J2777">
        <f>IF(F2777&gt;=I2777,"Action",IF(F2777&gt;=H2777,"Alert","Pass"))</f>
        <v/>
      </c>
      <c r="K2777" s="4">
        <f>DATE(YEAR(B2777),MONTH(B2777),1)</f>
        <v/>
      </c>
    </row>
    <row r="2778">
      <c r="A2778" t="inlineStr">
        <is>
          <t>EM002777</t>
        </is>
      </c>
      <c r="B2778" s="7" t="n">
        <v>46231</v>
      </c>
      <c r="C2778" t="inlineStr">
        <is>
          <t>CR-101</t>
        </is>
      </c>
      <c r="D2778" t="inlineStr">
        <is>
          <t>ISO 7</t>
        </is>
      </c>
      <c r="E2778" t="inlineStr">
        <is>
          <t>Compressed air</t>
        </is>
      </c>
      <c r="F2778" t="n">
        <v>0</v>
      </c>
      <c r="G2778" t="inlineStr">
        <is>
          <t>Tech D</t>
        </is>
      </c>
      <c r="H2778">
        <f>INDEX(Limits!$B$2:$B$5,MATCH(E2778,Limits!$A$2:$A$5,0))</f>
        <v/>
      </c>
      <c r="I2778">
        <f>INDEX(Limits!$C$2:$C$5,MATCH(E2778,Limits!$A$2:$A$5,0))</f>
        <v/>
      </c>
      <c r="J2778">
        <f>IF(F2778&gt;=I2778,"Action",IF(F2778&gt;=H2778,"Alert","Pass"))</f>
        <v/>
      </c>
      <c r="K2778" s="4">
        <f>DATE(YEAR(B2778),MONTH(B2778),1)</f>
        <v/>
      </c>
    </row>
    <row r="2779">
      <c r="A2779" t="inlineStr">
        <is>
          <t>EM002778</t>
        </is>
      </c>
      <c r="B2779" s="7" t="n">
        <v>46231</v>
      </c>
      <c r="C2779" t="inlineStr">
        <is>
          <t>CR-101</t>
        </is>
      </c>
      <c r="D2779" t="inlineStr">
        <is>
          <t>ISO 7</t>
        </is>
      </c>
      <c r="E2779" t="inlineStr">
        <is>
          <t>Personnel glove</t>
        </is>
      </c>
      <c r="F2779" t="n">
        <v>0</v>
      </c>
      <c r="G2779" t="inlineStr">
        <is>
          <t>Tech A</t>
        </is>
      </c>
      <c r="H2779">
        <f>INDEX(Limits!$B$2:$B$5,MATCH(E2779,Limits!$A$2:$A$5,0))</f>
        <v/>
      </c>
      <c r="I2779">
        <f>INDEX(Limits!$C$2:$C$5,MATCH(E2779,Limits!$A$2:$A$5,0))</f>
        <v/>
      </c>
      <c r="J2779">
        <f>IF(F2779&gt;=I2779,"Action",IF(F2779&gt;=H2779,"Alert","Pass"))</f>
        <v/>
      </c>
      <c r="K2779" s="4">
        <f>DATE(YEAR(B2779),MONTH(B2779),1)</f>
        <v/>
      </c>
    </row>
    <row r="2780">
      <c r="A2780" t="inlineStr">
        <is>
          <t>EM002779</t>
        </is>
      </c>
      <c r="B2780" s="7" t="n">
        <v>46231</v>
      </c>
      <c r="C2780" t="inlineStr">
        <is>
          <t>CR-102</t>
        </is>
      </c>
      <c r="D2780" t="inlineStr">
        <is>
          <t>ISO 7</t>
        </is>
      </c>
      <c r="E2780" t="inlineStr">
        <is>
          <t>Active air</t>
        </is>
      </c>
      <c r="F2780" t="n">
        <v>1</v>
      </c>
      <c r="G2780" t="inlineStr">
        <is>
          <t>Tech B</t>
        </is>
      </c>
      <c r="H2780">
        <f>INDEX(Limits!$B$2:$B$5,MATCH(E2780,Limits!$A$2:$A$5,0))</f>
        <v/>
      </c>
      <c r="I2780">
        <f>INDEX(Limits!$C$2:$C$5,MATCH(E2780,Limits!$A$2:$A$5,0))</f>
        <v/>
      </c>
      <c r="J2780">
        <f>IF(F2780&gt;=I2780,"Action",IF(F2780&gt;=H2780,"Alert","Pass"))</f>
        <v/>
      </c>
      <c r="K2780" s="4">
        <f>DATE(YEAR(B2780),MONTH(B2780),1)</f>
        <v/>
      </c>
    </row>
    <row r="2781">
      <c r="A2781" t="inlineStr">
        <is>
          <t>EM002780</t>
        </is>
      </c>
      <c r="B2781" s="7" t="n">
        <v>46231</v>
      </c>
      <c r="C2781" t="inlineStr">
        <is>
          <t>CR-102</t>
        </is>
      </c>
      <c r="D2781" t="inlineStr">
        <is>
          <t>ISO 7</t>
        </is>
      </c>
      <c r="E2781" t="inlineStr">
        <is>
          <t>Surface contact</t>
        </is>
      </c>
      <c r="F2781" t="n">
        <v>1</v>
      </c>
      <c r="G2781" t="inlineStr">
        <is>
          <t>Tech B</t>
        </is>
      </c>
      <c r="H2781">
        <f>INDEX(Limits!$B$2:$B$5,MATCH(E2781,Limits!$A$2:$A$5,0))</f>
        <v/>
      </c>
      <c r="I2781">
        <f>INDEX(Limits!$C$2:$C$5,MATCH(E2781,Limits!$A$2:$A$5,0))</f>
        <v/>
      </c>
      <c r="J2781">
        <f>IF(F2781&gt;=I2781,"Action",IF(F2781&gt;=H2781,"Alert","Pass"))</f>
        <v/>
      </c>
      <c r="K2781" s="4">
        <f>DATE(YEAR(B2781),MONTH(B2781),1)</f>
        <v/>
      </c>
    </row>
    <row r="2782">
      <c r="A2782" t="inlineStr">
        <is>
          <t>EM002781</t>
        </is>
      </c>
      <c r="B2782" s="7" t="n">
        <v>46231</v>
      </c>
      <c r="C2782" t="inlineStr">
        <is>
          <t>CR-102</t>
        </is>
      </c>
      <c r="D2782" t="inlineStr">
        <is>
          <t>ISO 7</t>
        </is>
      </c>
      <c r="E2782" t="inlineStr">
        <is>
          <t>Compressed air</t>
        </is>
      </c>
      <c r="F2782" t="n">
        <v>1</v>
      </c>
      <c r="G2782" t="inlineStr">
        <is>
          <t>Tech A</t>
        </is>
      </c>
      <c r="H2782">
        <f>INDEX(Limits!$B$2:$B$5,MATCH(E2782,Limits!$A$2:$A$5,0))</f>
        <v/>
      </c>
      <c r="I2782">
        <f>INDEX(Limits!$C$2:$C$5,MATCH(E2782,Limits!$A$2:$A$5,0))</f>
        <v/>
      </c>
      <c r="J2782">
        <f>IF(F2782&gt;=I2782,"Action",IF(F2782&gt;=H2782,"Alert","Pass"))</f>
        <v/>
      </c>
      <c r="K2782" s="4">
        <f>DATE(YEAR(B2782),MONTH(B2782),1)</f>
        <v/>
      </c>
    </row>
    <row r="2783">
      <c r="A2783" t="inlineStr">
        <is>
          <t>EM002782</t>
        </is>
      </c>
      <c r="B2783" s="7" t="n">
        <v>46231</v>
      </c>
      <c r="C2783" t="inlineStr">
        <is>
          <t>CR-102</t>
        </is>
      </c>
      <c r="D2783" t="inlineStr">
        <is>
          <t>ISO 7</t>
        </is>
      </c>
      <c r="E2783" t="inlineStr">
        <is>
          <t>Personnel glove</t>
        </is>
      </c>
      <c r="F2783" t="n">
        <v>0</v>
      </c>
      <c r="G2783" t="inlineStr">
        <is>
          <t>Tech B</t>
        </is>
      </c>
      <c r="H2783">
        <f>INDEX(Limits!$B$2:$B$5,MATCH(E2783,Limits!$A$2:$A$5,0))</f>
        <v/>
      </c>
      <c r="I2783">
        <f>INDEX(Limits!$C$2:$C$5,MATCH(E2783,Limits!$A$2:$A$5,0))</f>
        <v/>
      </c>
      <c r="J2783">
        <f>IF(F2783&gt;=I2783,"Action",IF(F2783&gt;=H2783,"Alert","Pass"))</f>
        <v/>
      </c>
      <c r="K2783" s="4">
        <f>DATE(YEAR(B2783),MONTH(B2783),1)</f>
        <v/>
      </c>
    </row>
    <row r="2784">
      <c r="A2784" t="inlineStr">
        <is>
          <t>EM002783</t>
        </is>
      </c>
      <c r="B2784" s="7" t="n">
        <v>46231</v>
      </c>
      <c r="C2784" t="inlineStr">
        <is>
          <t>CR-201</t>
        </is>
      </c>
      <c r="D2784" t="inlineStr">
        <is>
          <t>ISO 8</t>
        </is>
      </c>
      <c r="E2784" t="inlineStr">
        <is>
          <t>Active air</t>
        </is>
      </c>
      <c r="F2784" t="n">
        <v>0</v>
      </c>
      <c r="G2784" t="inlineStr">
        <is>
          <t>Tech A</t>
        </is>
      </c>
      <c r="H2784">
        <f>INDEX(Limits!$B$2:$B$5,MATCH(E2784,Limits!$A$2:$A$5,0))</f>
        <v/>
      </c>
      <c r="I2784">
        <f>INDEX(Limits!$C$2:$C$5,MATCH(E2784,Limits!$A$2:$A$5,0))</f>
        <v/>
      </c>
      <c r="J2784">
        <f>IF(F2784&gt;=I2784,"Action",IF(F2784&gt;=H2784,"Alert","Pass"))</f>
        <v/>
      </c>
      <c r="K2784" s="4">
        <f>DATE(YEAR(B2784),MONTH(B2784),1)</f>
        <v/>
      </c>
    </row>
    <row r="2785">
      <c r="A2785" t="inlineStr">
        <is>
          <t>EM002784</t>
        </is>
      </c>
      <c r="B2785" s="7" t="n">
        <v>46231</v>
      </c>
      <c r="C2785" t="inlineStr">
        <is>
          <t>CR-201</t>
        </is>
      </c>
      <c r="D2785" t="inlineStr">
        <is>
          <t>ISO 8</t>
        </is>
      </c>
      <c r="E2785" t="inlineStr">
        <is>
          <t>Surface contact</t>
        </is>
      </c>
      <c r="F2785" t="n">
        <v>0</v>
      </c>
      <c r="G2785" t="inlineStr">
        <is>
          <t>Tech A</t>
        </is>
      </c>
      <c r="H2785">
        <f>INDEX(Limits!$B$2:$B$5,MATCH(E2785,Limits!$A$2:$A$5,0))</f>
        <v/>
      </c>
      <c r="I2785">
        <f>INDEX(Limits!$C$2:$C$5,MATCH(E2785,Limits!$A$2:$A$5,0))</f>
        <v/>
      </c>
      <c r="J2785">
        <f>IF(F2785&gt;=I2785,"Action",IF(F2785&gt;=H2785,"Alert","Pass"))</f>
        <v/>
      </c>
      <c r="K2785" s="4">
        <f>DATE(YEAR(B2785),MONTH(B2785),1)</f>
        <v/>
      </c>
    </row>
    <row r="2786">
      <c r="A2786" t="inlineStr">
        <is>
          <t>EM002785</t>
        </is>
      </c>
      <c r="B2786" s="7" t="n">
        <v>46231</v>
      </c>
      <c r="C2786" t="inlineStr">
        <is>
          <t>CR-201</t>
        </is>
      </c>
      <c r="D2786" t="inlineStr">
        <is>
          <t>ISO 8</t>
        </is>
      </c>
      <c r="E2786" t="inlineStr">
        <is>
          <t>Compressed air</t>
        </is>
      </c>
      <c r="F2786" t="n">
        <v>0</v>
      </c>
      <c r="G2786" t="inlineStr">
        <is>
          <t>Tech A</t>
        </is>
      </c>
      <c r="H2786">
        <f>INDEX(Limits!$B$2:$B$5,MATCH(E2786,Limits!$A$2:$A$5,0))</f>
        <v/>
      </c>
      <c r="I2786">
        <f>INDEX(Limits!$C$2:$C$5,MATCH(E2786,Limits!$A$2:$A$5,0))</f>
        <v/>
      </c>
      <c r="J2786">
        <f>IF(F2786&gt;=I2786,"Action",IF(F2786&gt;=H2786,"Alert","Pass"))</f>
        <v/>
      </c>
      <c r="K2786" s="4">
        <f>DATE(YEAR(B2786),MONTH(B2786),1)</f>
        <v/>
      </c>
    </row>
    <row r="2787">
      <c r="A2787" t="inlineStr">
        <is>
          <t>EM002786</t>
        </is>
      </c>
      <c r="B2787" s="7" t="n">
        <v>46231</v>
      </c>
      <c r="C2787" t="inlineStr">
        <is>
          <t>CR-201</t>
        </is>
      </c>
      <c r="D2787" t="inlineStr">
        <is>
          <t>ISO 8</t>
        </is>
      </c>
      <c r="E2787" t="inlineStr">
        <is>
          <t>Personnel glove</t>
        </is>
      </c>
      <c r="F2787" t="n">
        <v>0</v>
      </c>
      <c r="G2787" t="inlineStr">
        <is>
          <t>Tech A</t>
        </is>
      </c>
      <c r="H2787">
        <f>INDEX(Limits!$B$2:$B$5,MATCH(E2787,Limits!$A$2:$A$5,0))</f>
        <v/>
      </c>
      <c r="I2787">
        <f>INDEX(Limits!$C$2:$C$5,MATCH(E2787,Limits!$A$2:$A$5,0))</f>
        <v/>
      </c>
      <c r="J2787">
        <f>IF(F2787&gt;=I2787,"Action",IF(F2787&gt;=H2787,"Alert","Pass"))</f>
        <v/>
      </c>
      <c r="K2787" s="4">
        <f>DATE(YEAR(B2787),MONTH(B2787),1)</f>
        <v/>
      </c>
    </row>
    <row r="2788">
      <c r="A2788" t="inlineStr">
        <is>
          <t>EM002787</t>
        </is>
      </c>
      <c r="B2788" s="7" t="n">
        <v>46231</v>
      </c>
      <c r="C2788" t="inlineStr">
        <is>
          <t>CR-202</t>
        </is>
      </c>
      <c r="D2788" t="inlineStr">
        <is>
          <t>ISO 8</t>
        </is>
      </c>
      <c r="E2788" t="inlineStr">
        <is>
          <t>Active air</t>
        </is>
      </c>
      <c r="F2788" t="n">
        <v>5</v>
      </c>
      <c r="G2788" t="inlineStr">
        <is>
          <t>Tech D</t>
        </is>
      </c>
      <c r="H2788">
        <f>INDEX(Limits!$B$2:$B$5,MATCH(E2788,Limits!$A$2:$A$5,0))</f>
        <v/>
      </c>
      <c r="I2788">
        <f>INDEX(Limits!$C$2:$C$5,MATCH(E2788,Limits!$A$2:$A$5,0))</f>
        <v/>
      </c>
      <c r="J2788">
        <f>IF(F2788&gt;=I2788,"Action",IF(F2788&gt;=H2788,"Alert","Pass"))</f>
        <v/>
      </c>
      <c r="K2788" s="4">
        <f>DATE(YEAR(B2788),MONTH(B2788),1)</f>
        <v/>
      </c>
    </row>
    <row r="2789">
      <c r="A2789" t="inlineStr">
        <is>
          <t>EM002788</t>
        </is>
      </c>
      <c r="B2789" s="7" t="n">
        <v>46231</v>
      </c>
      <c r="C2789" t="inlineStr">
        <is>
          <t>CR-202</t>
        </is>
      </c>
      <c r="D2789" t="inlineStr">
        <is>
          <t>ISO 8</t>
        </is>
      </c>
      <c r="E2789" t="inlineStr">
        <is>
          <t>Surface contact</t>
        </is>
      </c>
      <c r="F2789" t="n">
        <v>0</v>
      </c>
      <c r="G2789" t="inlineStr">
        <is>
          <t>Tech A</t>
        </is>
      </c>
      <c r="H2789">
        <f>INDEX(Limits!$B$2:$B$5,MATCH(E2789,Limits!$A$2:$A$5,0))</f>
        <v/>
      </c>
      <c r="I2789">
        <f>INDEX(Limits!$C$2:$C$5,MATCH(E2789,Limits!$A$2:$A$5,0))</f>
        <v/>
      </c>
      <c r="J2789">
        <f>IF(F2789&gt;=I2789,"Action",IF(F2789&gt;=H2789,"Alert","Pass"))</f>
        <v/>
      </c>
      <c r="K2789" s="4">
        <f>DATE(YEAR(B2789),MONTH(B2789),1)</f>
        <v/>
      </c>
    </row>
    <row r="2790">
      <c r="A2790" t="inlineStr">
        <is>
          <t>EM002789</t>
        </is>
      </c>
      <c r="B2790" s="7" t="n">
        <v>46231</v>
      </c>
      <c r="C2790" t="inlineStr">
        <is>
          <t>CR-202</t>
        </is>
      </c>
      <c r="D2790" t="inlineStr">
        <is>
          <t>ISO 8</t>
        </is>
      </c>
      <c r="E2790" t="inlineStr">
        <is>
          <t>Compressed air</t>
        </is>
      </c>
      <c r="F2790" t="n">
        <v>0</v>
      </c>
      <c r="G2790" t="inlineStr">
        <is>
          <t>Tech A</t>
        </is>
      </c>
      <c r="H2790">
        <f>INDEX(Limits!$B$2:$B$5,MATCH(E2790,Limits!$A$2:$A$5,0))</f>
        <v/>
      </c>
      <c r="I2790">
        <f>INDEX(Limits!$C$2:$C$5,MATCH(E2790,Limits!$A$2:$A$5,0))</f>
        <v/>
      </c>
      <c r="J2790">
        <f>IF(F2790&gt;=I2790,"Action",IF(F2790&gt;=H2790,"Alert","Pass"))</f>
        <v/>
      </c>
      <c r="K2790" s="4">
        <f>DATE(YEAR(B2790),MONTH(B2790),1)</f>
        <v/>
      </c>
    </row>
    <row r="2791">
      <c r="A2791" t="inlineStr">
        <is>
          <t>EM002790</t>
        </is>
      </c>
      <c r="B2791" s="7" t="n">
        <v>46231</v>
      </c>
      <c r="C2791" t="inlineStr">
        <is>
          <t>CR-202</t>
        </is>
      </c>
      <c r="D2791" t="inlineStr">
        <is>
          <t>ISO 8</t>
        </is>
      </c>
      <c r="E2791" t="inlineStr">
        <is>
          <t>Personnel glove</t>
        </is>
      </c>
      <c r="F2791" t="n">
        <v>0</v>
      </c>
      <c r="G2791" t="inlineStr">
        <is>
          <t>Tech B</t>
        </is>
      </c>
      <c r="H2791">
        <f>INDEX(Limits!$B$2:$B$5,MATCH(E2791,Limits!$A$2:$A$5,0))</f>
        <v/>
      </c>
      <c r="I2791">
        <f>INDEX(Limits!$C$2:$C$5,MATCH(E2791,Limits!$A$2:$A$5,0))</f>
        <v/>
      </c>
      <c r="J2791">
        <f>IF(F2791&gt;=I2791,"Action",IF(F2791&gt;=H2791,"Alert","Pass"))</f>
        <v/>
      </c>
      <c r="K2791" s="4">
        <f>DATE(YEAR(B2791),MONTH(B2791),1)</f>
        <v/>
      </c>
    </row>
    <row r="2792">
      <c r="A2792" t="inlineStr">
        <is>
          <t>EM002791</t>
        </is>
      </c>
      <c r="B2792" s="7" t="n">
        <v>46231</v>
      </c>
      <c r="C2792" t="inlineStr">
        <is>
          <t>Gowning</t>
        </is>
      </c>
      <c r="D2792" t="inlineStr">
        <is>
          <t>ISO 8</t>
        </is>
      </c>
      <c r="E2792" t="inlineStr">
        <is>
          <t>Active air</t>
        </is>
      </c>
      <c r="F2792" t="n">
        <v>5</v>
      </c>
      <c r="G2792" t="inlineStr">
        <is>
          <t>Tech C</t>
        </is>
      </c>
      <c r="H2792">
        <f>INDEX(Limits!$B$2:$B$5,MATCH(E2792,Limits!$A$2:$A$5,0))</f>
        <v/>
      </c>
      <c r="I2792">
        <f>INDEX(Limits!$C$2:$C$5,MATCH(E2792,Limits!$A$2:$A$5,0))</f>
        <v/>
      </c>
      <c r="J2792">
        <f>IF(F2792&gt;=I2792,"Action",IF(F2792&gt;=H2792,"Alert","Pass"))</f>
        <v/>
      </c>
      <c r="K2792" s="4">
        <f>DATE(YEAR(B2792),MONTH(B2792),1)</f>
        <v/>
      </c>
    </row>
    <row r="2793">
      <c r="A2793" t="inlineStr">
        <is>
          <t>EM002792</t>
        </is>
      </c>
      <c r="B2793" s="7" t="n">
        <v>46231</v>
      </c>
      <c r="C2793" t="inlineStr">
        <is>
          <t>Gowning</t>
        </is>
      </c>
      <c r="D2793" t="inlineStr">
        <is>
          <t>ISO 8</t>
        </is>
      </c>
      <c r="E2793" t="inlineStr">
        <is>
          <t>Surface contact</t>
        </is>
      </c>
      <c r="F2793" t="n">
        <v>1</v>
      </c>
      <c r="G2793" t="inlineStr">
        <is>
          <t>Tech A</t>
        </is>
      </c>
      <c r="H2793">
        <f>INDEX(Limits!$B$2:$B$5,MATCH(E2793,Limits!$A$2:$A$5,0))</f>
        <v/>
      </c>
      <c r="I2793">
        <f>INDEX(Limits!$C$2:$C$5,MATCH(E2793,Limits!$A$2:$A$5,0))</f>
        <v/>
      </c>
      <c r="J2793">
        <f>IF(F2793&gt;=I2793,"Action",IF(F2793&gt;=H2793,"Alert","Pass"))</f>
        <v/>
      </c>
      <c r="K2793" s="4">
        <f>DATE(YEAR(B2793),MONTH(B2793),1)</f>
        <v/>
      </c>
    </row>
    <row r="2794">
      <c r="A2794" t="inlineStr">
        <is>
          <t>EM002793</t>
        </is>
      </c>
      <c r="B2794" s="7" t="n">
        <v>46231</v>
      </c>
      <c r="C2794" t="inlineStr">
        <is>
          <t>Gowning</t>
        </is>
      </c>
      <c r="D2794" t="inlineStr">
        <is>
          <t>ISO 8</t>
        </is>
      </c>
      <c r="E2794" t="inlineStr">
        <is>
          <t>Personnel glove</t>
        </is>
      </c>
      <c r="F2794" t="n">
        <v>1</v>
      </c>
      <c r="G2794" t="inlineStr">
        <is>
          <t>Tech C</t>
        </is>
      </c>
      <c r="H2794">
        <f>INDEX(Limits!$B$2:$B$5,MATCH(E2794,Limits!$A$2:$A$5,0))</f>
        <v/>
      </c>
      <c r="I2794">
        <f>INDEX(Limits!$C$2:$C$5,MATCH(E2794,Limits!$A$2:$A$5,0))</f>
        <v/>
      </c>
      <c r="J2794">
        <f>IF(F2794&gt;=I2794,"Action",IF(F2794&gt;=H2794,"Alert","Pass"))</f>
        <v/>
      </c>
      <c r="K2794" s="4">
        <f>DATE(YEAR(B2794),MONTH(B2794),1)</f>
        <v/>
      </c>
    </row>
    <row r="2795">
      <c r="A2795" t="inlineStr">
        <is>
          <t>EM002794</t>
        </is>
      </c>
      <c r="B2795" s="7" t="n">
        <v>46232</v>
      </c>
      <c r="C2795" t="inlineStr">
        <is>
          <t>CR-101</t>
        </is>
      </c>
      <c r="D2795" t="inlineStr">
        <is>
          <t>ISO 7</t>
        </is>
      </c>
      <c r="E2795" t="inlineStr">
        <is>
          <t>Active air</t>
        </is>
      </c>
      <c r="F2795" t="n">
        <v>5</v>
      </c>
      <c r="G2795" t="inlineStr">
        <is>
          <t>Tech B</t>
        </is>
      </c>
      <c r="H2795">
        <f>INDEX(Limits!$B$2:$B$5,MATCH(E2795,Limits!$A$2:$A$5,0))</f>
        <v/>
      </c>
      <c r="I2795">
        <f>INDEX(Limits!$C$2:$C$5,MATCH(E2795,Limits!$A$2:$A$5,0))</f>
        <v/>
      </c>
      <c r="J2795">
        <f>IF(F2795&gt;=I2795,"Action",IF(F2795&gt;=H2795,"Alert","Pass"))</f>
        <v/>
      </c>
      <c r="K2795" s="4">
        <f>DATE(YEAR(B2795),MONTH(B2795),1)</f>
        <v/>
      </c>
    </row>
    <row r="2796">
      <c r="A2796" t="inlineStr">
        <is>
          <t>EM002795</t>
        </is>
      </c>
      <c r="B2796" s="7" t="n">
        <v>46232</v>
      </c>
      <c r="C2796" t="inlineStr">
        <is>
          <t>CR-101</t>
        </is>
      </c>
      <c r="D2796" t="inlineStr">
        <is>
          <t>ISO 7</t>
        </is>
      </c>
      <c r="E2796" t="inlineStr">
        <is>
          <t>Surface contact</t>
        </is>
      </c>
      <c r="F2796" t="n">
        <v>1</v>
      </c>
      <c r="G2796" t="inlineStr">
        <is>
          <t>Tech A</t>
        </is>
      </c>
      <c r="H2796">
        <f>INDEX(Limits!$B$2:$B$5,MATCH(E2796,Limits!$A$2:$A$5,0))</f>
        <v/>
      </c>
      <c r="I2796">
        <f>INDEX(Limits!$C$2:$C$5,MATCH(E2796,Limits!$A$2:$A$5,0))</f>
        <v/>
      </c>
      <c r="J2796">
        <f>IF(F2796&gt;=I2796,"Action",IF(F2796&gt;=H2796,"Alert","Pass"))</f>
        <v/>
      </c>
      <c r="K2796" s="4">
        <f>DATE(YEAR(B2796),MONTH(B2796),1)</f>
        <v/>
      </c>
    </row>
    <row r="2797">
      <c r="A2797" t="inlineStr">
        <is>
          <t>EM002796</t>
        </is>
      </c>
      <c r="B2797" s="7" t="n">
        <v>46232</v>
      </c>
      <c r="C2797" t="inlineStr">
        <is>
          <t>CR-101</t>
        </is>
      </c>
      <c r="D2797" t="inlineStr">
        <is>
          <t>ISO 7</t>
        </is>
      </c>
      <c r="E2797" t="inlineStr">
        <is>
          <t>Compressed air</t>
        </is>
      </c>
      <c r="F2797" t="n">
        <v>0</v>
      </c>
      <c r="G2797" t="inlineStr">
        <is>
          <t>Tech D</t>
        </is>
      </c>
      <c r="H2797">
        <f>INDEX(Limits!$B$2:$B$5,MATCH(E2797,Limits!$A$2:$A$5,0))</f>
        <v/>
      </c>
      <c r="I2797">
        <f>INDEX(Limits!$C$2:$C$5,MATCH(E2797,Limits!$A$2:$A$5,0))</f>
        <v/>
      </c>
      <c r="J2797">
        <f>IF(F2797&gt;=I2797,"Action",IF(F2797&gt;=H2797,"Alert","Pass"))</f>
        <v/>
      </c>
      <c r="K2797" s="4">
        <f>DATE(YEAR(B2797),MONTH(B2797),1)</f>
        <v/>
      </c>
    </row>
    <row r="2798">
      <c r="A2798" t="inlineStr">
        <is>
          <t>EM002797</t>
        </is>
      </c>
      <c r="B2798" s="7" t="n">
        <v>46232</v>
      </c>
      <c r="C2798" t="inlineStr">
        <is>
          <t>CR-101</t>
        </is>
      </c>
      <c r="D2798" t="inlineStr">
        <is>
          <t>ISO 7</t>
        </is>
      </c>
      <c r="E2798" t="inlineStr">
        <is>
          <t>Personnel glove</t>
        </is>
      </c>
      <c r="F2798" t="n">
        <v>1</v>
      </c>
      <c r="G2798" t="inlineStr">
        <is>
          <t>Tech B</t>
        </is>
      </c>
      <c r="H2798">
        <f>INDEX(Limits!$B$2:$B$5,MATCH(E2798,Limits!$A$2:$A$5,0))</f>
        <v/>
      </c>
      <c r="I2798">
        <f>INDEX(Limits!$C$2:$C$5,MATCH(E2798,Limits!$A$2:$A$5,0))</f>
        <v/>
      </c>
      <c r="J2798">
        <f>IF(F2798&gt;=I2798,"Action",IF(F2798&gt;=H2798,"Alert","Pass"))</f>
        <v/>
      </c>
      <c r="K2798" s="4">
        <f>DATE(YEAR(B2798),MONTH(B2798),1)</f>
        <v/>
      </c>
    </row>
    <row r="2799">
      <c r="A2799" t="inlineStr">
        <is>
          <t>EM002798</t>
        </is>
      </c>
      <c r="B2799" s="7" t="n">
        <v>46232</v>
      </c>
      <c r="C2799" t="inlineStr">
        <is>
          <t>CR-102</t>
        </is>
      </c>
      <c r="D2799" t="inlineStr">
        <is>
          <t>ISO 7</t>
        </is>
      </c>
      <c r="E2799" t="inlineStr">
        <is>
          <t>Active air</t>
        </is>
      </c>
      <c r="F2799" t="n">
        <v>0</v>
      </c>
      <c r="G2799" t="inlineStr">
        <is>
          <t>Tech A</t>
        </is>
      </c>
      <c r="H2799">
        <f>INDEX(Limits!$B$2:$B$5,MATCH(E2799,Limits!$A$2:$A$5,0))</f>
        <v/>
      </c>
      <c r="I2799">
        <f>INDEX(Limits!$C$2:$C$5,MATCH(E2799,Limits!$A$2:$A$5,0))</f>
        <v/>
      </c>
      <c r="J2799">
        <f>IF(F2799&gt;=I2799,"Action",IF(F2799&gt;=H2799,"Alert","Pass"))</f>
        <v/>
      </c>
      <c r="K2799" s="4">
        <f>DATE(YEAR(B2799),MONTH(B2799),1)</f>
        <v/>
      </c>
    </row>
    <row r="2800">
      <c r="A2800" t="inlineStr">
        <is>
          <t>EM002799</t>
        </is>
      </c>
      <c r="B2800" s="7" t="n">
        <v>46232</v>
      </c>
      <c r="C2800" t="inlineStr">
        <is>
          <t>CR-102</t>
        </is>
      </c>
      <c r="D2800" t="inlineStr">
        <is>
          <t>ISO 7</t>
        </is>
      </c>
      <c r="E2800" t="inlineStr">
        <is>
          <t>Surface contact</t>
        </is>
      </c>
      <c r="F2800" t="n">
        <v>2</v>
      </c>
      <c r="G2800" t="inlineStr">
        <is>
          <t>Tech D</t>
        </is>
      </c>
      <c r="H2800">
        <f>INDEX(Limits!$B$2:$B$5,MATCH(E2800,Limits!$A$2:$A$5,0))</f>
        <v/>
      </c>
      <c r="I2800">
        <f>INDEX(Limits!$C$2:$C$5,MATCH(E2800,Limits!$A$2:$A$5,0))</f>
        <v/>
      </c>
      <c r="J2800">
        <f>IF(F2800&gt;=I2800,"Action",IF(F2800&gt;=H2800,"Alert","Pass"))</f>
        <v/>
      </c>
      <c r="K2800" s="4">
        <f>DATE(YEAR(B2800),MONTH(B2800),1)</f>
        <v/>
      </c>
    </row>
    <row r="2801">
      <c r="A2801" t="inlineStr">
        <is>
          <t>EM002800</t>
        </is>
      </c>
      <c r="B2801" s="7" t="n">
        <v>46232</v>
      </c>
      <c r="C2801" t="inlineStr">
        <is>
          <t>CR-102</t>
        </is>
      </c>
      <c r="D2801" t="inlineStr">
        <is>
          <t>ISO 7</t>
        </is>
      </c>
      <c r="E2801" t="inlineStr">
        <is>
          <t>Compressed air</t>
        </is>
      </c>
      <c r="F2801" t="n">
        <v>0</v>
      </c>
      <c r="G2801" t="inlineStr">
        <is>
          <t>Tech C</t>
        </is>
      </c>
      <c r="H2801">
        <f>INDEX(Limits!$B$2:$B$5,MATCH(E2801,Limits!$A$2:$A$5,0))</f>
        <v/>
      </c>
      <c r="I2801">
        <f>INDEX(Limits!$C$2:$C$5,MATCH(E2801,Limits!$A$2:$A$5,0))</f>
        <v/>
      </c>
      <c r="J2801">
        <f>IF(F2801&gt;=I2801,"Action",IF(F2801&gt;=H2801,"Alert","Pass"))</f>
        <v/>
      </c>
      <c r="K2801" s="4">
        <f>DATE(YEAR(B2801),MONTH(B2801),1)</f>
        <v/>
      </c>
    </row>
    <row r="2802">
      <c r="A2802" t="inlineStr">
        <is>
          <t>EM002801</t>
        </is>
      </c>
      <c r="B2802" s="7" t="n">
        <v>46232</v>
      </c>
      <c r="C2802" t="inlineStr">
        <is>
          <t>CR-102</t>
        </is>
      </c>
      <c r="D2802" t="inlineStr">
        <is>
          <t>ISO 7</t>
        </is>
      </c>
      <c r="E2802" t="inlineStr">
        <is>
          <t>Personnel glove</t>
        </is>
      </c>
      <c r="F2802" t="n">
        <v>0</v>
      </c>
      <c r="G2802" t="inlineStr">
        <is>
          <t>Tech B</t>
        </is>
      </c>
      <c r="H2802">
        <f>INDEX(Limits!$B$2:$B$5,MATCH(E2802,Limits!$A$2:$A$5,0))</f>
        <v/>
      </c>
      <c r="I2802">
        <f>INDEX(Limits!$C$2:$C$5,MATCH(E2802,Limits!$A$2:$A$5,0))</f>
        <v/>
      </c>
      <c r="J2802">
        <f>IF(F2802&gt;=I2802,"Action",IF(F2802&gt;=H2802,"Alert","Pass"))</f>
        <v/>
      </c>
      <c r="K2802" s="4">
        <f>DATE(YEAR(B2802),MONTH(B2802),1)</f>
        <v/>
      </c>
    </row>
    <row r="2803">
      <c r="A2803" t="inlineStr">
        <is>
          <t>EM002802</t>
        </is>
      </c>
      <c r="B2803" s="7" t="n">
        <v>46232</v>
      </c>
      <c r="C2803" t="inlineStr">
        <is>
          <t>CR-201</t>
        </is>
      </c>
      <c r="D2803" t="inlineStr">
        <is>
          <t>ISO 8</t>
        </is>
      </c>
      <c r="E2803" t="inlineStr">
        <is>
          <t>Active air</t>
        </is>
      </c>
      <c r="F2803" t="n">
        <v>2</v>
      </c>
      <c r="G2803" t="inlineStr">
        <is>
          <t>Tech D</t>
        </is>
      </c>
      <c r="H2803">
        <f>INDEX(Limits!$B$2:$B$5,MATCH(E2803,Limits!$A$2:$A$5,0))</f>
        <v/>
      </c>
      <c r="I2803">
        <f>INDEX(Limits!$C$2:$C$5,MATCH(E2803,Limits!$A$2:$A$5,0))</f>
        <v/>
      </c>
      <c r="J2803">
        <f>IF(F2803&gt;=I2803,"Action",IF(F2803&gt;=H2803,"Alert","Pass"))</f>
        <v/>
      </c>
      <c r="K2803" s="4">
        <f>DATE(YEAR(B2803),MONTH(B2803),1)</f>
        <v/>
      </c>
    </row>
    <row r="2804">
      <c r="A2804" t="inlineStr">
        <is>
          <t>EM002803</t>
        </is>
      </c>
      <c r="B2804" s="7" t="n">
        <v>46232</v>
      </c>
      <c r="C2804" t="inlineStr">
        <is>
          <t>CR-201</t>
        </is>
      </c>
      <c r="D2804" t="inlineStr">
        <is>
          <t>ISO 8</t>
        </is>
      </c>
      <c r="E2804" t="inlineStr">
        <is>
          <t>Surface contact</t>
        </is>
      </c>
      <c r="F2804" t="n">
        <v>0</v>
      </c>
      <c r="G2804" t="inlineStr">
        <is>
          <t>Tech D</t>
        </is>
      </c>
      <c r="H2804">
        <f>INDEX(Limits!$B$2:$B$5,MATCH(E2804,Limits!$A$2:$A$5,0))</f>
        <v/>
      </c>
      <c r="I2804">
        <f>INDEX(Limits!$C$2:$C$5,MATCH(E2804,Limits!$A$2:$A$5,0))</f>
        <v/>
      </c>
      <c r="J2804">
        <f>IF(F2804&gt;=I2804,"Action",IF(F2804&gt;=H2804,"Alert","Pass"))</f>
        <v/>
      </c>
      <c r="K2804" s="4">
        <f>DATE(YEAR(B2804),MONTH(B2804),1)</f>
        <v/>
      </c>
    </row>
    <row r="2805">
      <c r="A2805" t="inlineStr">
        <is>
          <t>EM002804</t>
        </is>
      </c>
      <c r="B2805" s="7" t="n">
        <v>46232</v>
      </c>
      <c r="C2805" t="inlineStr">
        <is>
          <t>CR-201</t>
        </is>
      </c>
      <c r="D2805" t="inlineStr">
        <is>
          <t>ISO 8</t>
        </is>
      </c>
      <c r="E2805" t="inlineStr">
        <is>
          <t>Compressed air</t>
        </is>
      </c>
      <c r="F2805" t="n">
        <v>0</v>
      </c>
      <c r="G2805" t="inlineStr">
        <is>
          <t>Tech A</t>
        </is>
      </c>
      <c r="H2805">
        <f>INDEX(Limits!$B$2:$B$5,MATCH(E2805,Limits!$A$2:$A$5,0))</f>
        <v/>
      </c>
      <c r="I2805">
        <f>INDEX(Limits!$C$2:$C$5,MATCH(E2805,Limits!$A$2:$A$5,0))</f>
        <v/>
      </c>
      <c r="J2805">
        <f>IF(F2805&gt;=I2805,"Action",IF(F2805&gt;=H2805,"Alert","Pass"))</f>
        <v/>
      </c>
      <c r="K2805" s="4">
        <f>DATE(YEAR(B2805),MONTH(B2805),1)</f>
        <v/>
      </c>
    </row>
    <row r="2806">
      <c r="A2806" t="inlineStr">
        <is>
          <t>EM002805</t>
        </is>
      </c>
      <c r="B2806" s="7" t="n">
        <v>46232</v>
      </c>
      <c r="C2806" t="inlineStr">
        <is>
          <t>CR-201</t>
        </is>
      </c>
      <c r="D2806" t="inlineStr">
        <is>
          <t>ISO 8</t>
        </is>
      </c>
      <c r="E2806" t="inlineStr">
        <is>
          <t>Personnel glove</t>
        </is>
      </c>
      <c r="F2806" t="n">
        <v>0</v>
      </c>
      <c r="G2806" t="inlineStr">
        <is>
          <t>Tech B</t>
        </is>
      </c>
      <c r="H2806">
        <f>INDEX(Limits!$B$2:$B$5,MATCH(E2806,Limits!$A$2:$A$5,0))</f>
        <v/>
      </c>
      <c r="I2806">
        <f>INDEX(Limits!$C$2:$C$5,MATCH(E2806,Limits!$A$2:$A$5,0))</f>
        <v/>
      </c>
      <c r="J2806">
        <f>IF(F2806&gt;=I2806,"Action",IF(F2806&gt;=H2806,"Alert","Pass"))</f>
        <v/>
      </c>
      <c r="K2806" s="4">
        <f>DATE(YEAR(B2806),MONTH(B2806),1)</f>
        <v/>
      </c>
    </row>
    <row r="2807">
      <c r="A2807" t="inlineStr">
        <is>
          <t>EM002806</t>
        </is>
      </c>
      <c r="B2807" s="7" t="n">
        <v>46232</v>
      </c>
      <c r="C2807" t="inlineStr">
        <is>
          <t>CR-202</t>
        </is>
      </c>
      <c r="D2807" t="inlineStr">
        <is>
          <t>ISO 8</t>
        </is>
      </c>
      <c r="E2807" t="inlineStr">
        <is>
          <t>Active air</t>
        </is>
      </c>
      <c r="F2807" t="n">
        <v>1</v>
      </c>
      <c r="G2807" t="inlineStr">
        <is>
          <t>Tech C</t>
        </is>
      </c>
      <c r="H2807">
        <f>INDEX(Limits!$B$2:$B$5,MATCH(E2807,Limits!$A$2:$A$5,0))</f>
        <v/>
      </c>
      <c r="I2807">
        <f>INDEX(Limits!$C$2:$C$5,MATCH(E2807,Limits!$A$2:$A$5,0))</f>
        <v/>
      </c>
      <c r="J2807">
        <f>IF(F2807&gt;=I2807,"Action",IF(F2807&gt;=H2807,"Alert","Pass"))</f>
        <v/>
      </c>
      <c r="K2807" s="4">
        <f>DATE(YEAR(B2807),MONTH(B2807),1)</f>
        <v/>
      </c>
    </row>
    <row r="2808">
      <c r="A2808" t="inlineStr">
        <is>
          <t>EM002807</t>
        </is>
      </c>
      <c r="B2808" s="7" t="n">
        <v>46232</v>
      </c>
      <c r="C2808" t="inlineStr">
        <is>
          <t>CR-202</t>
        </is>
      </c>
      <c r="D2808" t="inlineStr">
        <is>
          <t>ISO 8</t>
        </is>
      </c>
      <c r="E2808" t="inlineStr">
        <is>
          <t>Surface contact</t>
        </is>
      </c>
      <c r="F2808" t="n">
        <v>3</v>
      </c>
      <c r="G2808" t="inlineStr">
        <is>
          <t>Tech D</t>
        </is>
      </c>
      <c r="H2808">
        <f>INDEX(Limits!$B$2:$B$5,MATCH(E2808,Limits!$A$2:$A$5,0))</f>
        <v/>
      </c>
      <c r="I2808">
        <f>INDEX(Limits!$C$2:$C$5,MATCH(E2808,Limits!$A$2:$A$5,0))</f>
        <v/>
      </c>
      <c r="J2808">
        <f>IF(F2808&gt;=I2808,"Action",IF(F2808&gt;=H2808,"Alert","Pass"))</f>
        <v/>
      </c>
      <c r="K2808" s="4">
        <f>DATE(YEAR(B2808),MONTH(B2808),1)</f>
        <v/>
      </c>
    </row>
    <row r="2809">
      <c r="A2809" t="inlineStr">
        <is>
          <t>EM002808</t>
        </is>
      </c>
      <c r="B2809" s="7" t="n">
        <v>46232</v>
      </c>
      <c r="C2809" t="inlineStr">
        <is>
          <t>CR-202</t>
        </is>
      </c>
      <c r="D2809" t="inlineStr">
        <is>
          <t>ISO 8</t>
        </is>
      </c>
      <c r="E2809" t="inlineStr">
        <is>
          <t>Compressed air</t>
        </is>
      </c>
      <c r="F2809" t="n">
        <v>0</v>
      </c>
      <c r="G2809" t="inlineStr">
        <is>
          <t>Tech D</t>
        </is>
      </c>
      <c r="H2809">
        <f>INDEX(Limits!$B$2:$B$5,MATCH(E2809,Limits!$A$2:$A$5,0))</f>
        <v/>
      </c>
      <c r="I2809">
        <f>INDEX(Limits!$C$2:$C$5,MATCH(E2809,Limits!$A$2:$A$5,0))</f>
        <v/>
      </c>
      <c r="J2809">
        <f>IF(F2809&gt;=I2809,"Action",IF(F2809&gt;=H2809,"Alert","Pass"))</f>
        <v/>
      </c>
      <c r="K2809" s="4">
        <f>DATE(YEAR(B2809),MONTH(B2809),1)</f>
        <v/>
      </c>
    </row>
    <row r="2810">
      <c r="A2810" t="inlineStr">
        <is>
          <t>EM002809</t>
        </is>
      </c>
      <c r="B2810" s="7" t="n">
        <v>46232</v>
      </c>
      <c r="C2810" t="inlineStr">
        <is>
          <t>CR-202</t>
        </is>
      </c>
      <c r="D2810" t="inlineStr">
        <is>
          <t>ISO 8</t>
        </is>
      </c>
      <c r="E2810" t="inlineStr">
        <is>
          <t>Personnel glove</t>
        </is>
      </c>
      <c r="F2810" t="n">
        <v>0</v>
      </c>
      <c r="G2810" t="inlineStr">
        <is>
          <t>Tech B</t>
        </is>
      </c>
      <c r="H2810">
        <f>INDEX(Limits!$B$2:$B$5,MATCH(E2810,Limits!$A$2:$A$5,0))</f>
        <v/>
      </c>
      <c r="I2810">
        <f>INDEX(Limits!$C$2:$C$5,MATCH(E2810,Limits!$A$2:$A$5,0))</f>
        <v/>
      </c>
      <c r="J2810">
        <f>IF(F2810&gt;=I2810,"Action",IF(F2810&gt;=H2810,"Alert","Pass"))</f>
        <v/>
      </c>
      <c r="K2810" s="4">
        <f>DATE(YEAR(B2810),MONTH(B2810),1)</f>
        <v/>
      </c>
    </row>
    <row r="2811">
      <c r="A2811" t="inlineStr">
        <is>
          <t>EM002810</t>
        </is>
      </c>
      <c r="B2811" s="7" t="n">
        <v>46232</v>
      </c>
      <c r="C2811" t="inlineStr">
        <is>
          <t>Gowning</t>
        </is>
      </c>
      <c r="D2811" t="inlineStr">
        <is>
          <t>ISO 8</t>
        </is>
      </c>
      <c r="E2811" t="inlineStr">
        <is>
          <t>Active air</t>
        </is>
      </c>
      <c r="F2811" t="n">
        <v>2</v>
      </c>
      <c r="G2811" t="inlineStr">
        <is>
          <t>Tech C</t>
        </is>
      </c>
      <c r="H2811">
        <f>INDEX(Limits!$B$2:$B$5,MATCH(E2811,Limits!$A$2:$A$5,0))</f>
        <v/>
      </c>
      <c r="I2811">
        <f>INDEX(Limits!$C$2:$C$5,MATCH(E2811,Limits!$A$2:$A$5,0))</f>
        <v/>
      </c>
      <c r="J2811">
        <f>IF(F2811&gt;=I2811,"Action",IF(F2811&gt;=H2811,"Alert","Pass"))</f>
        <v/>
      </c>
      <c r="K2811" s="4">
        <f>DATE(YEAR(B2811),MONTH(B2811),1)</f>
        <v/>
      </c>
    </row>
    <row r="2812">
      <c r="A2812" t="inlineStr">
        <is>
          <t>EM002811</t>
        </is>
      </c>
      <c r="B2812" s="7" t="n">
        <v>46232</v>
      </c>
      <c r="C2812" t="inlineStr">
        <is>
          <t>Gowning</t>
        </is>
      </c>
      <c r="D2812" t="inlineStr">
        <is>
          <t>ISO 8</t>
        </is>
      </c>
      <c r="E2812" t="inlineStr">
        <is>
          <t>Surface contact</t>
        </is>
      </c>
      <c r="F2812" t="n">
        <v>0</v>
      </c>
      <c r="G2812" t="inlineStr">
        <is>
          <t>Tech B</t>
        </is>
      </c>
      <c r="H2812">
        <f>INDEX(Limits!$B$2:$B$5,MATCH(E2812,Limits!$A$2:$A$5,0))</f>
        <v/>
      </c>
      <c r="I2812">
        <f>INDEX(Limits!$C$2:$C$5,MATCH(E2812,Limits!$A$2:$A$5,0))</f>
        <v/>
      </c>
      <c r="J2812">
        <f>IF(F2812&gt;=I2812,"Action",IF(F2812&gt;=H2812,"Alert","Pass"))</f>
        <v/>
      </c>
      <c r="K2812" s="4">
        <f>DATE(YEAR(B2812),MONTH(B2812),1)</f>
        <v/>
      </c>
    </row>
    <row r="2813">
      <c r="A2813" t="inlineStr">
        <is>
          <t>EM002812</t>
        </is>
      </c>
      <c r="B2813" s="7" t="n">
        <v>46232</v>
      </c>
      <c r="C2813" t="inlineStr">
        <is>
          <t>Gowning</t>
        </is>
      </c>
      <c r="D2813" t="inlineStr">
        <is>
          <t>ISO 8</t>
        </is>
      </c>
      <c r="E2813" t="inlineStr">
        <is>
          <t>Personnel glove</t>
        </is>
      </c>
      <c r="F2813" t="n">
        <v>0</v>
      </c>
      <c r="G2813" t="inlineStr">
        <is>
          <t>Tech D</t>
        </is>
      </c>
      <c r="H2813">
        <f>INDEX(Limits!$B$2:$B$5,MATCH(E2813,Limits!$A$2:$A$5,0))</f>
        <v/>
      </c>
      <c r="I2813">
        <f>INDEX(Limits!$C$2:$C$5,MATCH(E2813,Limits!$A$2:$A$5,0))</f>
        <v/>
      </c>
      <c r="J2813">
        <f>IF(F2813&gt;=I2813,"Action",IF(F2813&gt;=H2813,"Alert","Pass"))</f>
        <v/>
      </c>
      <c r="K2813" s="4">
        <f>DATE(YEAR(B2813),MONTH(B2813),1)</f>
        <v/>
      </c>
    </row>
    <row r="2814">
      <c r="A2814" t="inlineStr">
        <is>
          <t>EM002813</t>
        </is>
      </c>
      <c r="B2814" s="7" t="n">
        <v>46233</v>
      </c>
      <c r="C2814" t="inlineStr">
        <is>
          <t>CR-101</t>
        </is>
      </c>
      <c r="D2814" t="inlineStr">
        <is>
          <t>ISO 7</t>
        </is>
      </c>
      <c r="E2814" t="inlineStr">
        <is>
          <t>Active air</t>
        </is>
      </c>
      <c r="F2814" t="n">
        <v>0</v>
      </c>
      <c r="G2814" t="inlineStr">
        <is>
          <t>Tech A</t>
        </is>
      </c>
      <c r="H2814">
        <f>INDEX(Limits!$B$2:$B$5,MATCH(E2814,Limits!$A$2:$A$5,0))</f>
        <v/>
      </c>
      <c r="I2814">
        <f>INDEX(Limits!$C$2:$C$5,MATCH(E2814,Limits!$A$2:$A$5,0))</f>
        <v/>
      </c>
      <c r="J2814">
        <f>IF(F2814&gt;=I2814,"Action",IF(F2814&gt;=H2814,"Alert","Pass"))</f>
        <v/>
      </c>
      <c r="K2814" s="4">
        <f>DATE(YEAR(B2814),MONTH(B2814),1)</f>
        <v/>
      </c>
    </row>
    <row r="2815">
      <c r="A2815" t="inlineStr">
        <is>
          <t>EM002814</t>
        </is>
      </c>
      <c r="B2815" s="7" t="n">
        <v>46233</v>
      </c>
      <c r="C2815" t="inlineStr">
        <is>
          <t>CR-101</t>
        </is>
      </c>
      <c r="D2815" t="inlineStr">
        <is>
          <t>ISO 7</t>
        </is>
      </c>
      <c r="E2815" t="inlineStr">
        <is>
          <t>Surface contact</t>
        </is>
      </c>
      <c r="F2815" t="n">
        <v>1</v>
      </c>
      <c r="G2815" t="inlineStr">
        <is>
          <t>Tech C</t>
        </is>
      </c>
      <c r="H2815">
        <f>INDEX(Limits!$B$2:$B$5,MATCH(E2815,Limits!$A$2:$A$5,0))</f>
        <v/>
      </c>
      <c r="I2815">
        <f>INDEX(Limits!$C$2:$C$5,MATCH(E2815,Limits!$A$2:$A$5,0))</f>
        <v/>
      </c>
      <c r="J2815">
        <f>IF(F2815&gt;=I2815,"Action",IF(F2815&gt;=H2815,"Alert","Pass"))</f>
        <v/>
      </c>
      <c r="K2815" s="4">
        <f>DATE(YEAR(B2815),MONTH(B2815),1)</f>
        <v/>
      </c>
    </row>
    <row r="2816">
      <c r="A2816" t="inlineStr">
        <is>
          <t>EM002815</t>
        </is>
      </c>
      <c r="B2816" s="7" t="n">
        <v>46233</v>
      </c>
      <c r="C2816" t="inlineStr">
        <is>
          <t>CR-101</t>
        </is>
      </c>
      <c r="D2816" t="inlineStr">
        <is>
          <t>ISO 7</t>
        </is>
      </c>
      <c r="E2816" t="inlineStr">
        <is>
          <t>Compressed air</t>
        </is>
      </c>
      <c r="F2816" t="n">
        <v>0</v>
      </c>
      <c r="G2816" t="inlineStr">
        <is>
          <t>Tech C</t>
        </is>
      </c>
      <c r="H2816">
        <f>INDEX(Limits!$B$2:$B$5,MATCH(E2816,Limits!$A$2:$A$5,0))</f>
        <v/>
      </c>
      <c r="I2816">
        <f>INDEX(Limits!$C$2:$C$5,MATCH(E2816,Limits!$A$2:$A$5,0))</f>
        <v/>
      </c>
      <c r="J2816">
        <f>IF(F2816&gt;=I2816,"Action",IF(F2816&gt;=H2816,"Alert","Pass"))</f>
        <v/>
      </c>
      <c r="K2816" s="4">
        <f>DATE(YEAR(B2816),MONTH(B2816),1)</f>
        <v/>
      </c>
    </row>
    <row r="2817">
      <c r="A2817" t="inlineStr">
        <is>
          <t>EM002816</t>
        </is>
      </c>
      <c r="B2817" s="7" t="n">
        <v>46233</v>
      </c>
      <c r="C2817" t="inlineStr">
        <is>
          <t>CR-101</t>
        </is>
      </c>
      <c r="D2817" t="inlineStr">
        <is>
          <t>ISO 7</t>
        </is>
      </c>
      <c r="E2817" t="inlineStr">
        <is>
          <t>Personnel glove</t>
        </is>
      </c>
      <c r="F2817" t="n">
        <v>0</v>
      </c>
      <c r="G2817" t="inlineStr">
        <is>
          <t>Tech A</t>
        </is>
      </c>
      <c r="H2817">
        <f>INDEX(Limits!$B$2:$B$5,MATCH(E2817,Limits!$A$2:$A$5,0))</f>
        <v/>
      </c>
      <c r="I2817">
        <f>INDEX(Limits!$C$2:$C$5,MATCH(E2817,Limits!$A$2:$A$5,0))</f>
        <v/>
      </c>
      <c r="J2817">
        <f>IF(F2817&gt;=I2817,"Action",IF(F2817&gt;=H2817,"Alert","Pass"))</f>
        <v/>
      </c>
      <c r="K2817" s="4">
        <f>DATE(YEAR(B2817),MONTH(B2817),1)</f>
        <v/>
      </c>
    </row>
    <row r="2818">
      <c r="A2818" t="inlineStr">
        <is>
          <t>EM002817</t>
        </is>
      </c>
      <c r="B2818" s="7" t="n">
        <v>46233</v>
      </c>
      <c r="C2818" t="inlineStr">
        <is>
          <t>CR-102</t>
        </is>
      </c>
      <c r="D2818" t="inlineStr">
        <is>
          <t>ISO 7</t>
        </is>
      </c>
      <c r="E2818" t="inlineStr">
        <is>
          <t>Active air</t>
        </is>
      </c>
      <c r="F2818" t="n">
        <v>2</v>
      </c>
      <c r="G2818" t="inlineStr">
        <is>
          <t>Tech B</t>
        </is>
      </c>
      <c r="H2818">
        <f>INDEX(Limits!$B$2:$B$5,MATCH(E2818,Limits!$A$2:$A$5,0))</f>
        <v/>
      </c>
      <c r="I2818">
        <f>INDEX(Limits!$C$2:$C$5,MATCH(E2818,Limits!$A$2:$A$5,0))</f>
        <v/>
      </c>
      <c r="J2818">
        <f>IF(F2818&gt;=I2818,"Action",IF(F2818&gt;=H2818,"Alert","Pass"))</f>
        <v/>
      </c>
      <c r="K2818" s="4">
        <f>DATE(YEAR(B2818),MONTH(B2818),1)</f>
        <v/>
      </c>
    </row>
    <row r="2819">
      <c r="A2819" t="inlineStr">
        <is>
          <t>EM002818</t>
        </is>
      </c>
      <c r="B2819" s="7" t="n">
        <v>46233</v>
      </c>
      <c r="C2819" t="inlineStr">
        <is>
          <t>CR-102</t>
        </is>
      </c>
      <c r="D2819" t="inlineStr">
        <is>
          <t>ISO 7</t>
        </is>
      </c>
      <c r="E2819" t="inlineStr">
        <is>
          <t>Surface contact</t>
        </is>
      </c>
      <c r="F2819" t="n">
        <v>0</v>
      </c>
      <c r="G2819" t="inlineStr">
        <is>
          <t>Tech B</t>
        </is>
      </c>
      <c r="H2819">
        <f>INDEX(Limits!$B$2:$B$5,MATCH(E2819,Limits!$A$2:$A$5,0))</f>
        <v/>
      </c>
      <c r="I2819">
        <f>INDEX(Limits!$C$2:$C$5,MATCH(E2819,Limits!$A$2:$A$5,0))</f>
        <v/>
      </c>
      <c r="J2819">
        <f>IF(F2819&gt;=I2819,"Action",IF(F2819&gt;=H2819,"Alert","Pass"))</f>
        <v/>
      </c>
      <c r="K2819" s="4">
        <f>DATE(YEAR(B2819),MONTH(B2819),1)</f>
        <v/>
      </c>
    </row>
    <row r="2820">
      <c r="A2820" t="inlineStr">
        <is>
          <t>EM002819</t>
        </is>
      </c>
      <c r="B2820" s="7" t="n">
        <v>46233</v>
      </c>
      <c r="C2820" t="inlineStr">
        <is>
          <t>CR-102</t>
        </is>
      </c>
      <c r="D2820" t="inlineStr">
        <is>
          <t>ISO 7</t>
        </is>
      </c>
      <c r="E2820" t="inlineStr">
        <is>
          <t>Compressed air</t>
        </is>
      </c>
      <c r="F2820" t="n">
        <v>0</v>
      </c>
      <c r="G2820" t="inlineStr">
        <is>
          <t>Tech B</t>
        </is>
      </c>
      <c r="H2820">
        <f>INDEX(Limits!$B$2:$B$5,MATCH(E2820,Limits!$A$2:$A$5,0))</f>
        <v/>
      </c>
      <c r="I2820">
        <f>INDEX(Limits!$C$2:$C$5,MATCH(E2820,Limits!$A$2:$A$5,0))</f>
        <v/>
      </c>
      <c r="J2820">
        <f>IF(F2820&gt;=I2820,"Action",IF(F2820&gt;=H2820,"Alert","Pass"))</f>
        <v/>
      </c>
      <c r="K2820" s="4">
        <f>DATE(YEAR(B2820),MONTH(B2820),1)</f>
        <v/>
      </c>
    </row>
    <row r="2821">
      <c r="A2821" t="inlineStr">
        <is>
          <t>EM002820</t>
        </is>
      </c>
      <c r="B2821" s="7" t="n">
        <v>46233</v>
      </c>
      <c r="C2821" t="inlineStr">
        <is>
          <t>CR-102</t>
        </is>
      </c>
      <c r="D2821" t="inlineStr">
        <is>
          <t>ISO 7</t>
        </is>
      </c>
      <c r="E2821" t="inlineStr">
        <is>
          <t>Personnel glove</t>
        </is>
      </c>
      <c r="F2821" t="n">
        <v>0</v>
      </c>
      <c r="G2821" t="inlineStr">
        <is>
          <t>Tech D</t>
        </is>
      </c>
      <c r="H2821">
        <f>INDEX(Limits!$B$2:$B$5,MATCH(E2821,Limits!$A$2:$A$5,0))</f>
        <v/>
      </c>
      <c r="I2821">
        <f>INDEX(Limits!$C$2:$C$5,MATCH(E2821,Limits!$A$2:$A$5,0))</f>
        <v/>
      </c>
      <c r="J2821">
        <f>IF(F2821&gt;=I2821,"Action",IF(F2821&gt;=H2821,"Alert","Pass"))</f>
        <v/>
      </c>
      <c r="K2821" s="4">
        <f>DATE(YEAR(B2821),MONTH(B2821),1)</f>
        <v/>
      </c>
    </row>
    <row r="2822">
      <c r="A2822" t="inlineStr">
        <is>
          <t>EM002821</t>
        </is>
      </c>
      <c r="B2822" s="7" t="n">
        <v>46233</v>
      </c>
      <c r="C2822" t="inlineStr">
        <is>
          <t>CR-201</t>
        </is>
      </c>
      <c r="D2822" t="inlineStr">
        <is>
          <t>ISO 8</t>
        </is>
      </c>
      <c r="E2822" t="inlineStr">
        <is>
          <t>Active air</t>
        </is>
      </c>
      <c r="F2822" t="n">
        <v>5</v>
      </c>
      <c r="G2822" t="inlineStr">
        <is>
          <t>Tech D</t>
        </is>
      </c>
      <c r="H2822">
        <f>INDEX(Limits!$B$2:$B$5,MATCH(E2822,Limits!$A$2:$A$5,0))</f>
        <v/>
      </c>
      <c r="I2822">
        <f>INDEX(Limits!$C$2:$C$5,MATCH(E2822,Limits!$A$2:$A$5,0))</f>
        <v/>
      </c>
      <c r="J2822">
        <f>IF(F2822&gt;=I2822,"Action",IF(F2822&gt;=H2822,"Alert","Pass"))</f>
        <v/>
      </c>
      <c r="K2822" s="4">
        <f>DATE(YEAR(B2822),MONTH(B2822),1)</f>
        <v/>
      </c>
    </row>
    <row r="2823">
      <c r="A2823" t="inlineStr">
        <is>
          <t>EM002822</t>
        </is>
      </c>
      <c r="B2823" s="7" t="n">
        <v>46233</v>
      </c>
      <c r="C2823" t="inlineStr">
        <is>
          <t>CR-201</t>
        </is>
      </c>
      <c r="D2823" t="inlineStr">
        <is>
          <t>ISO 8</t>
        </is>
      </c>
      <c r="E2823" t="inlineStr">
        <is>
          <t>Surface contact</t>
        </is>
      </c>
      <c r="F2823" t="n">
        <v>1</v>
      </c>
      <c r="G2823" t="inlineStr">
        <is>
          <t>Tech B</t>
        </is>
      </c>
      <c r="H2823">
        <f>INDEX(Limits!$B$2:$B$5,MATCH(E2823,Limits!$A$2:$A$5,0))</f>
        <v/>
      </c>
      <c r="I2823">
        <f>INDEX(Limits!$C$2:$C$5,MATCH(E2823,Limits!$A$2:$A$5,0))</f>
        <v/>
      </c>
      <c r="J2823">
        <f>IF(F2823&gt;=I2823,"Action",IF(F2823&gt;=H2823,"Alert","Pass"))</f>
        <v/>
      </c>
      <c r="K2823" s="4">
        <f>DATE(YEAR(B2823),MONTH(B2823),1)</f>
        <v/>
      </c>
    </row>
    <row r="2824">
      <c r="A2824" t="inlineStr">
        <is>
          <t>EM002823</t>
        </is>
      </c>
      <c r="B2824" s="7" t="n">
        <v>46233</v>
      </c>
      <c r="C2824" t="inlineStr">
        <is>
          <t>CR-201</t>
        </is>
      </c>
      <c r="D2824" t="inlineStr">
        <is>
          <t>ISO 8</t>
        </is>
      </c>
      <c r="E2824" t="inlineStr">
        <is>
          <t>Compressed air</t>
        </is>
      </c>
      <c r="F2824" t="n">
        <v>0</v>
      </c>
      <c r="G2824" t="inlineStr">
        <is>
          <t>Tech A</t>
        </is>
      </c>
      <c r="H2824">
        <f>INDEX(Limits!$B$2:$B$5,MATCH(E2824,Limits!$A$2:$A$5,0))</f>
        <v/>
      </c>
      <c r="I2824">
        <f>INDEX(Limits!$C$2:$C$5,MATCH(E2824,Limits!$A$2:$A$5,0))</f>
        <v/>
      </c>
      <c r="J2824">
        <f>IF(F2824&gt;=I2824,"Action",IF(F2824&gt;=H2824,"Alert","Pass"))</f>
        <v/>
      </c>
      <c r="K2824" s="4">
        <f>DATE(YEAR(B2824),MONTH(B2824),1)</f>
        <v/>
      </c>
    </row>
    <row r="2825">
      <c r="A2825" t="inlineStr">
        <is>
          <t>EM002824</t>
        </is>
      </c>
      <c r="B2825" s="7" t="n">
        <v>46233</v>
      </c>
      <c r="C2825" t="inlineStr">
        <is>
          <t>CR-201</t>
        </is>
      </c>
      <c r="D2825" t="inlineStr">
        <is>
          <t>ISO 8</t>
        </is>
      </c>
      <c r="E2825" t="inlineStr">
        <is>
          <t>Personnel glove</t>
        </is>
      </c>
      <c r="F2825" t="n">
        <v>1</v>
      </c>
      <c r="G2825" t="inlineStr">
        <is>
          <t>Tech C</t>
        </is>
      </c>
      <c r="H2825">
        <f>INDEX(Limits!$B$2:$B$5,MATCH(E2825,Limits!$A$2:$A$5,0))</f>
        <v/>
      </c>
      <c r="I2825">
        <f>INDEX(Limits!$C$2:$C$5,MATCH(E2825,Limits!$A$2:$A$5,0))</f>
        <v/>
      </c>
      <c r="J2825">
        <f>IF(F2825&gt;=I2825,"Action",IF(F2825&gt;=H2825,"Alert","Pass"))</f>
        <v/>
      </c>
      <c r="K2825" s="4">
        <f>DATE(YEAR(B2825),MONTH(B2825),1)</f>
        <v/>
      </c>
    </row>
    <row r="2826">
      <c r="A2826" t="inlineStr">
        <is>
          <t>EM002825</t>
        </is>
      </c>
      <c r="B2826" s="7" t="n">
        <v>46233</v>
      </c>
      <c r="C2826" t="inlineStr">
        <is>
          <t>CR-202</t>
        </is>
      </c>
      <c r="D2826" t="inlineStr">
        <is>
          <t>ISO 8</t>
        </is>
      </c>
      <c r="E2826" t="inlineStr">
        <is>
          <t>Active air</t>
        </is>
      </c>
      <c r="F2826" t="n">
        <v>3</v>
      </c>
      <c r="G2826" t="inlineStr">
        <is>
          <t>Tech B</t>
        </is>
      </c>
      <c r="H2826">
        <f>INDEX(Limits!$B$2:$B$5,MATCH(E2826,Limits!$A$2:$A$5,0))</f>
        <v/>
      </c>
      <c r="I2826">
        <f>INDEX(Limits!$C$2:$C$5,MATCH(E2826,Limits!$A$2:$A$5,0))</f>
        <v/>
      </c>
      <c r="J2826">
        <f>IF(F2826&gt;=I2826,"Action",IF(F2826&gt;=H2826,"Alert","Pass"))</f>
        <v/>
      </c>
      <c r="K2826" s="4">
        <f>DATE(YEAR(B2826),MONTH(B2826),1)</f>
        <v/>
      </c>
    </row>
    <row r="2827">
      <c r="A2827" t="inlineStr">
        <is>
          <t>EM002826</t>
        </is>
      </c>
      <c r="B2827" s="7" t="n">
        <v>46233</v>
      </c>
      <c r="C2827" t="inlineStr">
        <is>
          <t>CR-202</t>
        </is>
      </c>
      <c r="D2827" t="inlineStr">
        <is>
          <t>ISO 8</t>
        </is>
      </c>
      <c r="E2827" t="inlineStr">
        <is>
          <t>Surface contact</t>
        </is>
      </c>
      <c r="F2827" t="n">
        <v>1</v>
      </c>
      <c r="G2827" t="inlineStr">
        <is>
          <t>Tech D</t>
        </is>
      </c>
      <c r="H2827">
        <f>INDEX(Limits!$B$2:$B$5,MATCH(E2827,Limits!$A$2:$A$5,0))</f>
        <v/>
      </c>
      <c r="I2827">
        <f>INDEX(Limits!$C$2:$C$5,MATCH(E2827,Limits!$A$2:$A$5,0))</f>
        <v/>
      </c>
      <c r="J2827">
        <f>IF(F2827&gt;=I2827,"Action",IF(F2827&gt;=H2827,"Alert","Pass"))</f>
        <v/>
      </c>
      <c r="K2827" s="4">
        <f>DATE(YEAR(B2827),MONTH(B2827),1)</f>
        <v/>
      </c>
    </row>
    <row r="2828">
      <c r="A2828" t="inlineStr">
        <is>
          <t>EM002827</t>
        </is>
      </c>
      <c r="B2828" s="7" t="n">
        <v>46233</v>
      </c>
      <c r="C2828" t="inlineStr">
        <is>
          <t>CR-202</t>
        </is>
      </c>
      <c r="D2828" t="inlineStr">
        <is>
          <t>ISO 8</t>
        </is>
      </c>
      <c r="E2828" t="inlineStr">
        <is>
          <t>Compressed air</t>
        </is>
      </c>
      <c r="F2828" t="n">
        <v>0</v>
      </c>
      <c r="G2828" t="inlineStr">
        <is>
          <t>Tech D</t>
        </is>
      </c>
      <c r="H2828">
        <f>INDEX(Limits!$B$2:$B$5,MATCH(E2828,Limits!$A$2:$A$5,0))</f>
        <v/>
      </c>
      <c r="I2828">
        <f>INDEX(Limits!$C$2:$C$5,MATCH(E2828,Limits!$A$2:$A$5,0))</f>
        <v/>
      </c>
      <c r="J2828">
        <f>IF(F2828&gt;=I2828,"Action",IF(F2828&gt;=H2828,"Alert","Pass"))</f>
        <v/>
      </c>
      <c r="K2828" s="4">
        <f>DATE(YEAR(B2828),MONTH(B2828),1)</f>
        <v/>
      </c>
    </row>
    <row r="2829">
      <c r="A2829" t="inlineStr">
        <is>
          <t>EM002828</t>
        </is>
      </c>
      <c r="B2829" s="7" t="n">
        <v>46233</v>
      </c>
      <c r="C2829" t="inlineStr">
        <is>
          <t>CR-202</t>
        </is>
      </c>
      <c r="D2829" t="inlineStr">
        <is>
          <t>ISO 8</t>
        </is>
      </c>
      <c r="E2829" t="inlineStr">
        <is>
          <t>Personnel glove</t>
        </is>
      </c>
      <c r="F2829" t="n">
        <v>0</v>
      </c>
      <c r="G2829" t="inlineStr">
        <is>
          <t>Tech B</t>
        </is>
      </c>
      <c r="H2829">
        <f>INDEX(Limits!$B$2:$B$5,MATCH(E2829,Limits!$A$2:$A$5,0))</f>
        <v/>
      </c>
      <c r="I2829">
        <f>INDEX(Limits!$C$2:$C$5,MATCH(E2829,Limits!$A$2:$A$5,0))</f>
        <v/>
      </c>
      <c r="J2829">
        <f>IF(F2829&gt;=I2829,"Action",IF(F2829&gt;=H2829,"Alert","Pass"))</f>
        <v/>
      </c>
      <c r="K2829" s="4">
        <f>DATE(YEAR(B2829),MONTH(B2829),1)</f>
        <v/>
      </c>
    </row>
    <row r="2830">
      <c r="A2830" t="inlineStr">
        <is>
          <t>EM002829</t>
        </is>
      </c>
      <c r="B2830" s="7" t="n">
        <v>46233</v>
      </c>
      <c r="C2830" t="inlineStr">
        <is>
          <t>Gowning</t>
        </is>
      </c>
      <c r="D2830" t="inlineStr">
        <is>
          <t>ISO 8</t>
        </is>
      </c>
      <c r="E2830" t="inlineStr">
        <is>
          <t>Active air</t>
        </is>
      </c>
      <c r="F2830" t="n">
        <v>5</v>
      </c>
      <c r="G2830" t="inlineStr">
        <is>
          <t>Tech A</t>
        </is>
      </c>
      <c r="H2830">
        <f>INDEX(Limits!$B$2:$B$5,MATCH(E2830,Limits!$A$2:$A$5,0))</f>
        <v/>
      </c>
      <c r="I2830">
        <f>INDEX(Limits!$C$2:$C$5,MATCH(E2830,Limits!$A$2:$A$5,0))</f>
        <v/>
      </c>
      <c r="J2830">
        <f>IF(F2830&gt;=I2830,"Action",IF(F2830&gt;=H2830,"Alert","Pass"))</f>
        <v/>
      </c>
      <c r="K2830" s="4">
        <f>DATE(YEAR(B2830),MONTH(B2830),1)</f>
        <v/>
      </c>
    </row>
    <row r="2831">
      <c r="A2831" t="inlineStr">
        <is>
          <t>EM002830</t>
        </is>
      </c>
      <c r="B2831" s="7" t="n">
        <v>46233</v>
      </c>
      <c r="C2831" t="inlineStr">
        <is>
          <t>Gowning</t>
        </is>
      </c>
      <c r="D2831" t="inlineStr">
        <is>
          <t>ISO 8</t>
        </is>
      </c>
      <c r="E2831" t="inlineStr">
        <is>
          <t>Surface contact</t>
        </is>
      </c>
      <c r="F2831" t="n">
        <v>0</v>
      </c>
      <c r="G2831" t="inlineStr">
        <is>
          <t>Tech A</t>
        </is>
      </c>
      <c r="H2831">
        <f>INDEX(Limits!$B$2:$B$5,MATCH(E2831,Limits!$A$2:$A$5,0))</f>
        <v/>
      </c>
      <c r="I2831">
        <f>INDEX(Limits!$C$2:$C$5,MATCH(E2831,Limits!$A$2:$A$5,0))</f>
        <v/>
      </c>
      <c r="J2831">
        <f>IF(F2831&gt;=I2831,"Action",IF(F2831&gt;=H2831,"Alert","Pass"))</f>
        <v/>
      </c>
      <c r="K2831" s="4">
        <f>DATE(YEAR(B2831),MONTH(B2831),1)</f>
        <v/>
      </c>
    </row>
    <row r="2832">
      <c r="A2832" t="inlineStr">
        <is>
          <t>EM002831</t>
        </is>
      </c>
      <c r="B2832" s="7" t="n">
        <v>46233</v>
      </c>
      <c r="C2832" t="inlineStr">
        <is>
          <t>Gowning</t>
        </is>
      </c>
      <c r="D2832" t="inlineStr">
        <is>
          <t>ISO 8</t>
        </is>
      </c>
      <c r="E2832" t="inlineStr">
        <is>
          <t>Personnel glove</t>
        </is>
      </c>
      <c r="F2832" t="n">
        <v>0</v>
      </c>
      <c r="G2832" t="inlineStr">
        <is>
          <t>Tech A</t>
        </is>
      </c>
      <c r="H2832">
        <f>INDEX(Limits!$B$2:$B$5,MATCH(E2832,Limits!$A$2:$A$5,0))</f>
        <v/>
      </c>
      <c r="I2832">
        <f>INDEX(Limits!$C$2:$C$5,MATCH(E2832,Limits!$A$2:$A$5,0))</f>
        <v/>
      </c>
      <c r="J2832">
        <f>IF(F2832&gt;=I2832,"Action",IF(F2832&gt;=H2832,"Alert","Pass"))</f>
        <v/>
      </c>
      <c r="K2832" s="4">
        <f>DATE(YEAR(B2832),MONTH(B2832),1)</f>
        <v/>
      </c>
    </row>
    <row r="2833">
      <c r="A2833" t="inlineStr">
        <is>
          <t>EM002832</t>
        </is>
      </c>
      <c r="B2833" s="7" t="n">
        <v>46234</v>
      </c>
      <c r="C2833" t="inlineStr">
        <is>
          <t>CR-101</t>
        </is>
      </c>
      <c r="D2833" t="inlineStr">
        <is>
          <t>ISO 7</t>
        </is>
      </c>
      <c r="E2833" t="inlineStr">
        <is>
          <t>Active air</t>
        </is>
      </c>
      <c r="F2833" t="n">
        <v>0</v>
      </c>
      <c r="G2833" t="inlineStr">
        <is>
          <t>Tech B</t>
        </is>
      </c>
      <c r="H2833">
        <f>INDEX(Limits!$B$2:$B$5,MATCH(E2833,Limits!$A$2:$A$5,0))</f>
        <v/>
      </c>
      <c r="I2833">
        <f>INDEX(Limits!$C$2:$C$5,MATCH(E2833,Limits!$A$2:$A$5,0))</f>
        <v/>
      </c>
      <c r="J2833">
        <f>IF(F2833&gt;=I2833,"Action",IF(F2833&gt;=H2833,"Alert","Pass"))</f>
        <v/>
      </c>
      <c r="K2833" s="4">
        <f>DATE(YEAR(B2833),MONTH(B2833),1)</f>
        <v/>
      </c>
    </row>
    <row r="2834">
      <c r="A2834" t="inlineStr">
        <is>
          <t>EM002833</t>
        </is>
      </c>
      <c r="B2834" s="7" t="n">
        <v>46234</v>
      </c>
      <c r="C2834" t="inlineStr">
        <is>
          <t>CR-101</t>
        </is>
      </c>
      <c r="D2834" t="inlineStr">
        <is>
          <t>ISO 7</t>
        </is>
      </c>
      <c r="E2834" t="inlineStr">
        <is>
          <t>Surface contact</t>
        </is>
      </c>
      <c r="F2834" t="n">
        <v>1</v>
      </c>
      <c r="G2834" t="inlineStr">
        <is>
          <t>Tech D</t>
        </is>
      </c>
      <c r="H2834">
        <f>INDEX(Limits!$B$2:$B$5,MATCH(E2834,Limits!$A$2:$A$5,0))</f>
        <v/>
      </c>
      <c r="I2834">
        <f>INDEX(Limits!$C$2:$C$5,MATCH(E2834,Limits!$A$2:$A$5,0))</f>
        <v/>
      </c>
      <c r="J2834">
        <f>IF(F2834&gt;=I2834,"Action",IF(F2834&gt;=H2834,"Alert","Pass"))</f>
        <v/>
      </c>
      <c r="K2834" s="4">
        <f>DATE(YEAR(B2834),MONTH(B2834),1)</f>
        <v/>
      </c>
    </row>
    <row r="2835">
      <c r="A2835" t="inlineStr">
        <is>
          <t>EM002834</t>
        </is>
      </c>
      <c r="B2835" s="7" t="n">
        <v>46234</v>
      </c>
      <c r="C2835" t="inlineStr">
        <is>
          <t>CR-101</t>
        </is>
      </c>
      <c r="D2835" t="inlineStr">
        <is>
          <t>ISO 7</t>
        </is>
      </c>
      <c r="E2835" t="inlineStr">
        <is>
          <t>Compressed air</t>
        </is>
      </c>
      <c r="F2835" t="n">
        <v>0</v>
      </c>
      <c r="G2835" t="inlineStr">
        <is>
          <t>Tech A</t>
        </is>
      </c>
      <c r="H2835">
        <f>INDEX(Limits!$B$2:$B$5,MATCH(E2835,Limits!$A$2:$A$5,0))</f>
        <v/>
      </c>
      <c r="I2835">
        <f>INDEX(Limits!$C$2:$C$5,MATCH(E2835,Limits!$A$2:$A$5,0))</f>
        <v/>
      </c>
      <c r="J2835">
        <f>IF(F2835&gt;=I2835,"Action",IF(F2835&gt;=H2835,"Alert","Pass"))</f>
        <v/>
      </c>
      <c r="K2835" s="4">
        <f>DATE(YEAR(B2835),MONTH(B2835),1)</f>
        <v/>
      </c>
    </row>
    <row r="2836">
      <c r="A2836" t="inlineStr">
        <is>
          <t>EM002835</t>
        </is>
      </c>
      <c r="B2836" s="7" t="n">
        <v>46234</v>
      </c>
      <c r="C2836" t="inlineStr">
        <is>
          <t>CR-101</t>
        </is>
      </c>
      <c r="D2836" t="inlineStr">
        <is>
          <t>ISO 7</t>
        </is>
      </c>
      <c r="E2836" t="inlineStr">
        <is>
          <t>Personnel glove</t>
        </is>
      </c>
      <c r="F2836" t="n">
        <v>0</v>
      </c>
      <c r="G2836" t="inlineStr">
        <is>
          <t>Tech B</t>
        </is>
      </c>
      <c r="H2836">
        <f>INDEX(Limits!$B$2:$B$5,MATCH(E2836,Limits!$A$2:$A$5,0))</f>
        <v/>
      </c>
      <c r="I2836">
        <f>INDEX(Limits!$C$2:$C$5,MATCH(E2836,Limits!$A$2:$A$5,0))</f>
        <v/>
      </c>
      <c r="J2836">
        <f>IF(F2836&gt;=I2836,"Action",IF(F2836&gt;=H2836,"Alert","Pass"))</f>
        <v/>
      </c>
      <c r="K2836" s="4">
        <f>DATE(YEAR(B2836),MONTH(B2836),1)</f>
        <v/>
      </c>
    </row>
    <row r="2837">
      <c r="A2837" t="inlineStr">
        <is>
          <t>EM002836</t>
        </is>
      </c>
      <c r="B2837" s="7" t="n">
        <v>46234</v>
      </c>
      <c r="C2837" t="inlineStr">
        <is>
          <t>CR-102</t>
        </is>
      </c>
      <c r="D2837" t="inlineStr">
        <is>
          <t>ISO 7</t>
        </is>
      </c>
      <c r="E2837" t="inlineStr">
        <is>
          <t>Active air</t>
        </is>
      </c>
      <c r="F2837" t="n">
        <v>4</v>
      </c>
      <c r="G2837" t="inlineStr">
        <is>
          <t>Tech C</t>
        </is>
      </c>
      <c r="H2837">
        <f>INDEX(Limits!$B$2:$B$5,MATCH(E2837,Limits!$A$2:$A$5,0))</f>
        <v/>
      </c>
      <c r="I2837">
        <f>INDEX(Limits!$C$2:$C$5,MATCH(E2837,Limits!$A$2:$A$5,0))</f>
        <v/>
      </c>
      <c r="J2837">
        <f>IF(F2837&gt;=I2837,"Action",IF(F2837&gt;=H2837,"Alert","Pass"))</f>
        <v/>
      </c>
      <c r="K2837" s="4">
        <f>DATE(YEAR(B2837),MONTH(B2837),1)</f>
        <v/>
      </c>
    </row>
    <row r="2838">
      <c r="A2838" t="inlineStr">
        <is>
          <t>EM002837</t>
        </is>
      </c>
      <c r="B2838" s="7" t="n">
        <v>46234</v>
      </c>
      <c r="C2838" t="inlineStr">
        <is>
          <t>CR-102</t>
        </is>
      </c>
      <c r="D2838" t="inlineStr">
        <is>
          <t>ISO 7</t>
        </is>
      </c>
      <c r="E2838" t="inlineStr">
        <is>
          <t>Surface contact</t>
        </is>
      </c>
      <c r="F2838" t="n">
        <v>2</v>
      </c>
      <c r="G2838" t="inlineStr">
        <is>
          <t>Tech B</t>
        </is>
      </c>
      <c r="H2838">
        <f>INDEX(Limits!$B$2:$B$5,MATCH(E2838,Limits!$A$2:$A$5,0))</f>
        <v/>
      </c>
      <c r="I2838">
        <f>INDEX(Limits!$C$2:$C$5,MATCH(E2838,Limits!$A$2:$A$5,0))</f>
        <v/>
      </c>
      <c r="J2838">
        <f>IF(F2838&gt;=I2838,"Action",IF(F2838&gt;=H2838,"Alert","Pass"))</f>
        <v/>
      </c>
      <c r="K2838" s="4">
        <f>DATE(YEAR(B2838),MONTH(B2838),1)</f>
        <v/>
      </c>
    </row>
    <row r="2839">
      <c r="A2839" t="inlineStr">
        <is>
          <t>EM002838</t>
        </is>
      </c>
      <c r="B2839" s="7" t="n">
        <v>46234</v>
      </c>
      <c r="C2839" t="inlineStr">
        <is>
          <t>CR-102</t>
        </is>
      </c>
      <c r="D2839" t="inlineStr">
        <is>
          <t>ISO 7</t>
        </is>
      </c>
      <c r="E2839" t="inlineStr">
        <is>
          <t>Compressed air</t>
        </is>
      </c>
      <c r="F2839" t="n">
        <v>0</v>
      </c>
      <c r="G2839" t="inlineStr">
        <is>
          <t>Tech D</t>
        </is>
      </c>
      <c r="H2839">
        <f>INDEX(Limits!$B$2:$B$5,MATCH(E2839,Limits!$A$2:$A$5,0))</f>
        <v/>
      </c>
      <c r="I2839">
        <f>INDEX(Limits!$C$2:$C$5,MATCH(E2839,Limits!$A$2:$A$5,0))</f>
        <v/>
      </c>
      <c r="J2839">
        <f>IF(F2839&gt;=I2839,"Action",IF(F2839&gt;=H2839,"Alert","Pass"))</f>
        <v/>
      </c>
      <c r="K2839" s="4">
        <f>DATE(YEAR(B2839),MONTH(B2839),1)</f>
        <v/>
      </c>
    </row>
    <row r="2840">
      <c r="A2840" t="inlineStr">
        <is>
          <t>EM002839</t>
        </is>
      </c>
      <c r="B2840" s="7" t="n">
        <v>46234</v>
      </c>
      <c r="C2840" t="inlineStr">
        <is>
          <t>CR-102</t>
        </is>
      </c>
      <c r="D2840" t="inlineStr">
        <is>
          <t>ISO 7</t>
        </is>
      </c>
      <c r="E2840" t="inlineStr">
        <is>
          <t>Personnel glove</t>
        </is>
      </c>
      <c r="F2840" t="n">
        <v>0</v>
      </c>
      <c r="G2840" t="inlineStr">
        <is>
          <t>Tech A</t>
        </is>
      </c>
      <c r="H2840">
        <f>INDEX(Limits!$B$2:$B$5,MATCH(E2840,Limits!$A$2:$A$5,0))</f>
        <v/>
      </c>
      <c r="I2840">
        <f>INDEX(Limits!$C$2:$C$5,MATCH(E2840,Limits!$A$2:$A$5,0))</f>
        <v/>
      </c>
      <c r="J2840">
        <f>IF(F2840&gt;=I2840,"Action",IF(F2840&gt;=H2840,"Alert","Pass"))</f>
        <v/>
      </c>
      <c r="K2840" s="4">
        <f>DATE(YEAR(B2840),MONTH(B2840),1)</f>
        <v/>
      </c>
    </row>
    <row r="2841">
      <c r="A2841" t="inlineStr">
        <is>
          <t>EM002840</t>
        </is>
      </c>
      <c r="B2841" s="7" t="n">
        <v>46234</v>
      </c>
      <c r="C2841" t="inlineStr">
        <is>
          <t>CR-201</t>
        </is>
      </c>
      <c r="D2841" t="inlineStr">
        <is>
          <t>ISO 8</t>
        </is>
      </c>
      <c r="E2841" t="inlineStr">
        <is>
          <t>Active air</t>
        </is>
      </c>
      <c r="F2841" t="n">
        <v>0</v>
      </c>
      <c r="G2841" t="inlineStr">
        <is>
          <t>Tech B</t>
        </is>
      </c>
      <c r="H2841">
        <f>INDEX(Limits!$B$2:$B$5,MATCH(E2841,Limits!$A$2:$A$5,0))</f>
        <v/>
      </c>
      <c r="I2841">
        <f>INDEX(Limits!$C$2:$C$5,MATCH(E2841,Limits!$A$2:$A$5,0))</f>
        <v/>
      </c>
      <c r="J2841">
        <f>IF(F2841&gt;=I2841,"Action",IF(F2841&gt;=H2841,"Alert","Pass"))</f>
        <v/>
      </c>
      <c r="K2841" s="4">
        <f>DATE(YEAR(B2841),MONTH(B2841),1)</f>
        <v/>
      </c>
    </row>
    <row r="2842">
      <c r="A2842" t="inlineStr">
        <is>
          <t>EM002841</t>
        </is>
      </c>
      <c r="B2842" s="7" t="n">
        <v>46234</v>
      </c>
      <c r="C2842" t="inlineStr">
        <is>
          <t>CR-201</t>
        </is>
      </c>
      <c r="D2842" t="inlineStr">
        <is>
          <t>ISO 8</t>
        </is>
      </c>
      <c r="E2842" t="inlineStr">
        <is>
          <t>Surface contact</t>
        </is>
      </c>
      <c r="F2842" t="n">
        <v>1</v>
      </c>
      <c r="G2842" t="inlineStr">
        <is>
          <t>Tech A</t>
        </is>
      </c>
      <c r="H2842">
        <f>INDEX(Limits!$B$2:$B$5,MATCH(E2842,Limits!$A$2:$A$5,0))</f>
        <v/>
      </c>
      <c r="I2842">
        <f>INDEX(Limits!$C$2:$C$5,MATCH(E2842,Limits!$A$2:$A$5,0))</f>
        <v/>
      </c>
      <c r="J2842">
        <f>IF(F2842&gt;=I2842,"Action",IF(F2842&gt;=H2842,"Alert","Pass"))</f>
        <v/>
      </c>
      <c r="K2842" s="4">
        <f>DATE(YEAR(B2842),MONTH(B2842),1)</f>
        <v/>
      </c>
    </row>
    <row r="2843">
      <c r="A2843" t="inlineStr">
        <is>
          <t>EM002842</t>
        </is>
      </c>
      <c r="B2843" s="7" t="n">
        <v>46234</v>
      </c>
      <c r="C2843" t="inlineStr">
        <is>
          <t>CR-201</t>
        </is>
      </c>
      <c r="D2843" t="inlineStr">
        <is>
          <t>ISO 8</t>
        </is>
      </c>
      <c r="E2843" t="inlineStr">
        <is>
          <t>Compressed air</t>
        </is>
      </c>
      <c r="F2843" t="n">
        <v>0</v>
      </c>
      <c r="G2843" t="inlineStr">
        <is>
          <t>Tech B</t>
        </is>
      </c>
      <c r="H2843">
        <f>INDEX(Limits!$B$2:$B$5,MATCH(E2843,Limits!$A$2:$A$5,0))</f>
        <v/>
      </c>
      <c r="I2843">
        <f>INDEX(Limits!$C$2:$C$5,MATCH(E2843,Limits!$A$2:$A$5,0))</f>
        <v/>
      </c>
      <c r="J2843">
        <f>IF(F2843&gt;=I2843,"Action",IF(F2843&gt;=H2843,"Alert","Pass"))</f>
        <v/>
      </c>
      <c r="K2843" s="4">
        <f>DATE(YEAR(B2843),MONTH(B2843),1)</f>
        <v/>
      </c>
    </row>
    <row r="2844">
      <c r="A2844" t="inlineStr">
        <is>
          <t>EM002843</t>
        </is>
      </c>
      <c r="B2844" s="7" t="n">
        <v>46234</v>
      </c>
      <c r="C2844" t="inlineStr">
        <is>
          <t>CR-201</t>
        </is>
      </c>
      <c r="D2844" t="inlineStr">
        <is>
          <t>ISO 8</t>
        </is>
      </c>
      <c r="E2844" t="inlineStr">
        <is>
          <t>Personnel glove</t>
        </is>
      </c>
      <c r="F2844" t="n">
        <v>0</v>
      </c>
      <c r="G2844" t="inlineStr">
        <is>
          <t>Tech C</t>
        </is>
      </c>
      <c r="H2844">
        <f>INDEX(Limits!$B$2:$B$5,MATCH(E2844,Limits!$A$2:$A$5,0))</f>
        <v/>
      </c>
      <c r="I2844">
        <f>INDEX(Limits!$C$2:$C$5,MATCH(E2844,Limits!$A$2:$A$5,0))</f>
        <v/>
      </c>
      <c r="J2844">
        <f>IF(F2844&gt;=I2844,"Action",IF(F2844&gt;=H2844,"Alert","Pass"))</f>
        <v/>
      </c>
      <c r="K2844" s="4">
        <f>DATE(YEAR(B2844),MONTH(B2844),1)</f>
        <v/>
      </c>
    </row>
    <row r="2845">
      <c r="A2845" t="inlineStr">
        <is>
          <t>EM002844</t>
        </is>
      </c>
      <c r="B2845" s="7" t="n">
        <v>46234</v>
      </c>
      <c r="C2845" t="inlineStr">
        <is>
          <t>CR-202</t>
        </is>
      </c>
      <c r="D2845" t="inlineStr">
        <is>
          <t>ISO 8</t>
        </is>
      </c>
      <c r="E2845" t="inlineStr">
        <is>
          <t>Active air</t>
        </is>
      </c>
      <c r="F2845" t="n">
        <v>1</v>
      </c>
      <c r="G2845" t="inlineStr">
        <is>
          <t>Tech A</t>
        </is>
      </c>
      <c r="H2845">
        <f>INDEX(Limits!$B$2:$B$5,MATCH(E2845,Limits!$A$2:$A$5,0))</f>
        <v/>
      </c>
      <c r="I2845">
        <f>INDEX(Limits!$C$2:$C$5,MATCH(E2845,Limits!$A$2:$A$5,0))</f>
        <v/>
      </c>
      <c r="J2845">
        <f>IF(F2845&gt;=I2845,"Action",IF(F2845&gt;=H2845,"Alert","Pass"))</f>
        <v/>
      </c>
      <c r="K2845" s="4">
        <f>DATE(YEAR(B2845),MONTH(B2845),1)</f>
        <v/>
      </c>
    </row>
    <row r="2846">
      <c r="A2846" t="inlineStr">
        <is>
          <t>EM002845</t>
        </is>
      </c>
      <c r="B2846" s="7" t="n">
        <v>46234</v>
      </c>
      <c r="C2846" t="inlineStr">
        <is>
          <t>CR-202</t>
        </is>
      </c>
      <c r="D2846" t="inlineStr">
        <is>
          <t>ISO 8</t>
        </is>
      </c>
      <c r="E2846" t="inlineStr">
        <is>
          <t>Surface contact</t>
        </is>
      </c>
      <c r="F2846" t="n">
        <v>2</v>
      </c>
      <c r="G2846" t="inlineStr">
        <is>
          <t>Tech A</t>
        </is>
      </c>
      <c r="H2846">
        <f>INDEX(Limits!$B$2:$B$5,MATCH(E2846,Limits!$A$2:$A$5,0))</f>
        <v/>
      </c>
      <c r="I2846">
        <f>INDEX(Limits!$C$2:$C$5,MATCH(E2846,Limits!$A$2:$A$5,0))</f>
        <v/>
      </c>
      <c r="J2846">
        <f>IF(F2846&gt;=I2846,"Action",IF(F2846&gt;=H2846,"Alert","Pass"))</f>
        <v/>
      </c>
      <c r="K2846" s="4">
        <f>DATE(YEAR(B2846),MONTH(B2846),1)</f>
        <v/>
      </c>
    </row>
    <row r="2847">
      <c r="A2847" t="inlineStr">
        <is>
          <t>EM002846</t>
        </is>
      </c>
      <c r="B2847" s="7" t="n">
        <v>46234</v>
      </c>
      <c r="C2847" t="inlineStr">
        <is>
          <t>CR-202</t>
        </is>
      </c>
      <c r="D2847" t="inlineStr">
        <is>
          <t>ISO 8</t>
        </is>
      </c>
      <c r="E2847" t="inlineStr">
        <is>
          <t>Compressed air</t>
        </is>
      </c>
      <c r="F2847" t="n">
        <v>0</v>
      </c>
      <c r="G2847" t="inlineStr">
        <is>
          <t>Tech B</t>
        </is>
      </c>
      <c r="H2847">
        <f>INDEX(Limits!$B$2:$B$5,MATCH(E2847,Limits!$A$2:$A$5,0))</f>
        <v/>
      </c>
      <c r="I2847">
        <f>INDEX(Limits!$C$2:$C$5,MATCH(E2847,Limits!$A$2:$A$5,0))</f>
        <v/>
      </c>
      <c r="J2847">
        <f>IF(F2847&gt;=I2847,"Action",IF(F2847&gt;=H2847,"Alert","Pass"))</f>
        <v/>
      </c>
      <c r="K2847" s="4">
        <f>DATE(YEAR(B2847),MONTH(B2847),1)</f>
        <v/>
      </c>
    </row>
    <row r="2848">
      <c r="A2848" t="inlineStr">
        <is>
          <t>EM002847</t>
        </is>
      </c>
      <c r="B2848" s="7" t="n">
        <v>46234</v>
      </c>
      <c r="C2848" t="inlineStr">
        <is>
          <t>CR-202</t>
        </is>
      </c>
      <c r="D2848" t="inlineStr">
        <is>
          <t>ISO 8</t>
        </is>
      </c>
      <c r="E2848" t="inlineStr">
        <is>
          <t>Personnel glove</t>
        </is>
      </c>
      <c r="F2848" t="n">
        <v>0</v>
      </c>
      <c r="G2848" t="inlineStr">
        <is>
          <t>Tech C</t>
        </is>
      </c>
      <c r="H2848">
        <f>INDEX(Limits!$B$2:$B$5,MATCH(E2848,Limits!$A$2:$A$5,0))</f>
        <v/>
      </c>
      <c r="I2848">
        <f>INDEX(Limits!$C$2:$C$5,MATCH(E2848,Limits!$A$2:$A$5,0))</f>
        <v/>
      </c>
      <c r="J2848">
        <f>IF(F2848&gt;=I2848,"Action",IF(F2848&gt;=H2848,"Alert","Pass"))</f>
        <v/>
      </c>
      <c r="K2848" s="4">
        <f>DATE(YEAR(B2848),MONTH(B2848),1)</f>
        <v/>
      </c>
    </row>
    <row r="2849">
      <c r="A2849" t="inlineStr">
        <is>
          <t>EM002848</t>
        </is>
      </c>
      <c r="B2849" s="7" t="n">
        <v>46234</v>
      </c>
      <c r="C2849" t="inlineStr">
        <is>
          <t>Gowning</t>
        </is>
      </c>
      <c r="D2849" t="inlineStr">
        <is>
          <t>ISO 8</t>
        </is>
      </c>
      <c r="E2849" t="inlineStr">
        <is>
          <t>Active air</t>
        </is>
      </c>
      <c r="F2849" t="n">
        <v>3</v>
      </c>
      <c r="G2849" t="inlineStr">
        <is>
          <t>Tech A</t>
        </is>
      </c>
      <c r="H2849">
        <f>INDEX(Limits!$B$2:$B$5,MATCH(E2849,Limits!$A$2:$A$5,0))</f>
        <v/>
      </c>
      <c r="I2849">
        <f>INDEX(Limits!$C$2:$C$5,MATCH(E2849,Limits!$A$2:$A$5,0))</f>
        <v/>
      </c>
      <c r="J2849">
        <f>IF(F2849&gt;=I2849,"Action",IF(F2849&gt;=H2849,"Alert","Pass"))</f>
        <v/>
      </c>
      <c r="K2849" s="4">
        <f>DATE(YEAR(B2849),MONTH(B2849),1)</f>
        <v/>
      </c>
    </row>
    <row r="2850">
      <c r="A2850" t="inlineStr">
        <is>
          <t>EM002849</t>
        </is>
      </c>
      <c r="B2850" s="7" t="n">
        <v>46234</v>
      </c>
      <c r="C2850" t="inlineStr">
        <is>
          <t>Gowning</t>
        </is>
      </c>
      <c r="D2850" t="inlineStr">
        <is>
          <t>ISO 8</t>
        </is>
      </c>
      <c r="E2850" t="inlineStr">
        <is>
          <t>Surface contact</t>
        </is>
      </c>
      <c r="F2850" t="n">
        <v>2</v>
      </c>
      <c r="G2850" t="inlineStr">
        <is>
          <t>Tech C</t>
        </is>
      </c>
      <c r="H2850">
        <f>INDEX(Limits!$B$2:$B$5,MATCH(E2850,Limits!$A$2:$A$5,0))</f>
        <v/>
      </c>
      <c r="I2850">
        <f>INDEX(Limits!$C$2:$C$5,MATCH(E2850,Limits!$A$2:$A$5,0))</f>
        <v/>
      </c>
      <c r="J2850">
        <f>IF(F2850&gt;=I2850,"Action",IF(F2850&gt;=H2850,"Alert","Pass"))</f>
        <v/>
      </c>
      <c r="K2850" s="4">
        <f>DATE(YEAR(B2850),MONTH(B2850),1)</f>
        <v/>
      </c>
    </row>
    <row r="2851">
      <c r="A2851" t="inlineStr">
        <is>
          <t>EM002850</t>
        </is>
      </c>
      <c r="B2851" s="7" t="n">
        <v>46234</v>
      </c>
      <c r="C2851" t="inlineStr">
        <is>
          <t>Gowning</t>
        </is>
      </c>
      <c r="D2851" t="inlineStr">
        <is>
          <t>ISO 8</t>
        </is>
      </c>
      <c r="E2851" t="inlineStr">
        <is>
          <t>Personnel glove</t>
        </is>
      </c>
      <c r="F2851" t="n">
        <v>0</v>
      </c>
      <c r="G2851" t="inlineStr">
        <is>
          <t>Tech B</t>
        </is>
      </c>
      <c r="H2851">
        <f>INDEX(Limits!$B$2:$B$5,MATCH(E2851,Limits!$A$2:$A$5,0))</f>
        <v/>
      </c>
      <c r="I2851">
        <f>INDEX(Limits!$C$2:$C$5,MATCH(E2851,Limits!$A$2:$A$5,0))</f>
        <v/>
      </c>
      <c r="J2851">
        <f>IF(F2851&gt;=I2851,"Action",IF(F2851&gt;=H2851,"Alert","Pass"))</f>
        <v/>
      </c>
      <c r="K2851" s="4">
        <f>DATE(YEAR(B2851),MONTH(B2851),1)</f>
        <v/>
      </c>
    </row>
    <row r="2852">
      <c r="A2852" t="inlineStr">
        <is>
          <t>EM002851</t>
        </is>
      </c>
      <c r="B2852" s="7" t="n">
        <v>46237</v>
      </c>
      <c r="C2852" t="inlineStr">
        <is>
          <t>CR-101</t>
        </is>
      </c>
      <c r="D2852" t="inlineStr">
        <is>
          <t>ISO 7</t>
        </is>
      </c>
      <c r="E2852" t="inlineStr">
        <is>
          <t>Active air</t>
        </is>
      </c>
      <c r="F2852" t="n">
        <v>0</v>
      </c>
      <c r="G2852" t="inlineStr">
        <is>
          <t>Tech D</t>
        </is>
      </c>
      <c r="H2852">
        <f>INDEX(Limits!$B$2:$B$5,MATCH(E2852,Limits!$A$2:$A$5,0))</f>
        <v/>
      </c>
      <c r="I2852">
        <f>INDEX(Limits!$C$2:$C$5,MATCH(E2852,Limits!$A$2:$A$5,0))</f>
        <v/>
      </c>
      <c r="J2852">
        <f>IF(F2852&gt;=I2852,"Action",IF(F2852&gt;=H2852,"Alert","Pass"))</f>
        <v/>
      </c>
      <c r="K2852" s="4">
        <f>DATE(YEAR(B2852),MONTH(B2852),1)</f>
        <v/>
      </c>
    </row>
    <row r="2853">
      <c r="A2853" t="inlineStr">
        <is>
          <t>EM002852</t>
        </is>
      </c>
      <c r="B2853" s="7" t="n">
        <v>46237</v>
      </c>
      <c r="C2853" t="inlineStr">
        <is>
          <t>CR-101</t>
        </is>
      </c>
      <c r="D2853" t="inlineStr">
        <is>
          <t>ISO 7</t>
        </is>
      </c>
      <c r="E2853" t="inlineStr">
        <is>
          <t>Surface contact</t>
        </is>
      </c>
      <c r="F2853" t="n">
        <v>1</v>
      </c>
      <c r="G2853" t="inlineStr">
        <is>
          <t>Tech D</t>
        </is>
      </c>
      <c r="H2853">
        <f>INDEX(Limits!$B$2:$B$5,MATCH(E2853,Limits!$A$2:$A$5,0))</f>
        <v/>
      </c>
      <c r="I2853">
        <f>INDEX(Limits!$C$2:$C$5,MATCH(E2853,Limits!$A$2:$A$5,0))</f>
        <v/>
      </c>
      <c r="J2853">
        <f>IF(F2853&gt;=I2853,"Action",IF(F2853&gt;=H2853,"Alert","Pass"))</f>
        <v/>
      </c>
      <c r="K2853" s="4">
        <f>DATE(YEAR(B2853),MONTH(B2853),1)</f>
        <v/>
      </c>
    </row>
    <row r="2854">
      <c r="A2854" t="inlineStr">
        <is>
          <t>EM002853</t>
        </is>
      </c>
      <c r="B2854" s="7" t="n">
        <v>46237</v>
      </c>
      <c r="C2854" t="inlineStr">
        <is>
          <t>CR-101</t>
        </is>
      </c>
      <c r="D2854" t="inlineStr">
        <is>
          <t>ISO 7</t>
        </is>
      </c>
      <c r="E2854" t="inlineStr">
        <is>
          <t>Compressed air</t>
        </is>
      </c>
      <c r="F2854" t="n">
        <v>0</v>
      </c>
      <c r="G2854" t="inlineStr">
        <is>
          <t>Tech A</t>
        </is>
      </c>
      <c r="H2854">
        <f>INDEX(Limits!$B$2:$B$5,MATCH(E2854,Limits!$A$2:$A$5,0))</f>
        <v/>
      </c>
      <c r="I2854">
        <f>INDEX(Limits!$C$2:$C$5,MATCH(E2854,Limits!$A$2:$A$5,0))</f>
        <v/>
      </c>
      <c r="J2854">
        <f>IF(F2854&gt;=I2854,"Action",IF(F2854&gt;=H2854,"Alert","Pass"))</f>
        <v/>
      </c>
      <c r="K2854" s="4">
        <f>DATE(YEAR(B2854),MONTH(B2854),1)</f>
        <v/>
      </c>
    </row>
    <row r="2855">
      <c r="A2855" t="inlineStr">
        <is>
          <t>EM002854</t>
        </is>
      </c>
      <c r="B2855" s="7" t="n">
        <v>46237</v>
      </c>
      <c r="C2855" t="inlineStr">
        <is>
          <t>CR-101</t>
        </is>
      </c>
      <c r="D2855" t="inlineStr">
        <is>
          <t>ISO 7</t>
        </is>
      </c>
      <c r="E2855" t="inlineStr">
        <is>
          <t>Personnel glove</t>
        </is>
      </c>
      <c r="F2855" t="n">
        <v>0</v>
      </c>
      <c r="G2855" t="inlineStr">
        <is>
          <t>Tech C</t>
        </is>
      </c>
      <c r="H2855">
        <f>INDEX(Limits!$B$2:$B$5,MATCH(E2855,Limits!$A$2:$A$5,0))</f>
        <v/>
      </c>
      <c r="I2855">
        <f>INDEX(Limits!$C$2:$C$5,MATCH(E2855,Limits!$A$2:$A$5,0))</f>
        <v/>
      </c>
      <c r="J2855">
        <f>IF(F2855&gt;=I2855,"Action",IF(F2855&gt;=H2855,"Alert","Pass"))</f>
        <v/>
      </c>
      <c r="K2855" s="4">
        <f>DATE(YEAR(B2855),MONTH(B2855),1)</f>
        <v/>
      </c>
    </row>
    <row r="2856">
      <c r="A2856" t="inlineStr">
        <is>
          <t>EM002855</t>
        </is>
      </c>
      <c r="B2856" s="7" t="n">
        <v>46237</v>
      </c>
      <c r="C2856" t="inlineStr">
        <is>
          <t>CR-102</t>
        </is>
      </c>
      <c r="D2856" t="inlineStr">
        <is>
          <t>ISO 7</t>
        </is>
      </c>
      <c r="E2856" t="inlineStr">
        <is>
          <t>Active air</t>
        </is>
      </c>
      <c r="F2856" t="n">
        <v>1</v>
      </c>
      <c r="G2856" t="inlineStr">
        <is>
          <t>Tech C</t>
        </is>
      </c>
      <c r="H2856">
        <f>INDEX(Limits!$B$2:$B$5,MATCH(E2856,Limits!$A$2:$A$5,0))</f>
        <v/>
      </c>
      <c r="I2856">
        <f>INDEX(Limits!$C$2:$C$5,MATCH(E2856,Limits!$A$2:$A$5,0))</f>
        <v/>
      </c>
      <c r="J2856">
        <f>IF(F2856&gt;=I2856,"Action",IF(F2856&gt;=H2856,"Alert","Pass"))</f>
        <v/>
      </c>
      <c r="K2856" s="4">
        <f>DATE(YEAR(B2856),MONTH(B2856),1)</f>
        <v/>
      </c>
    </row>
    <row r="2857">
      <c r="A2857" t="inlineStr">
        <is>
          <t>EM002856</t>
        </is>
      </c>
      <c r="B2857" s="7" t="n">
        <v>46237</v>
      </c>
      <c r="C2857" t="inlineStr">
        <is>
          <t>CR-102</t>
        </is>
      </c>
      <c r="D2857" t="inlineStr">
        <is>
          <t>ISO 7</t>
        </is>
      </c>
      <c r="E2857" t="inlineStr">
        <is>
          <t>Surface contact</t>
        </is>
      </c>
      <c r="F2857" t="n">
        <v>1</v>
      </c>
      <c r="G2857" t="inlineStr">
        <is>
          <t>Tech C</t>
        </is>
      </c>
      <c r="H2857">
        <f>INDEX(Limits!$B$2:$B$5,MATCH(E2857,Limits!$A$2:$A$5,0))</f>
        <v/>
      </c>
      <c r="I2857">
        <f>INDEX(Limits!$C$2:$C$5,MATCH(E2857,Limits!$A$2:$A$5,0))</f>
        <v/>
      </c>
      <c r="J2857">
        <f>IF(F2857&gt;=I2857,"Action",IF(F2857&gt;=H2857,"Alert","Pass"))</f>
        <v/>
      </c>
      <c r="K2857" s="4">
        <f>DATE(YEAR(B2857),MONTH(B2857),1)</f>
        <v/>
      </c>
    </row>
    <row r="2858">
      <c r="A2858" t="inlineStr">
        <is>
          <t>EM002857</t>
        </is>
      </c>
      <c r="B2858" s="7" t="n">
        <v>46237</v>
      </c>
      <c r="C2858" t="inlineStr">
        <is>
          <t>CR-102</t>
        </is>
      </c>
      <c r="D2858" t="inlineStr">
        <is>
          <t>ISO 7</t>
        </is>
      </c>
      <c r="E2858" t="inlineStr">
        <is>
          <t>Compressed air</t>
        </is>
      </c>
      <c r="F2858" t="n">
        <v>0</v>
      </c>
      <c r="G2858" t="inlineStr">
        <is>
          <t>Tech A</t>
        </is>
      </c>
      <c r="H2858">
        <f>INDEX(Limits!$B$2:$B$5,MATCH(E2858,Limits!$A$2:$A$5,0))</f>
        <v/>
      </c>
      <c r="I2858">
        <f>INDEX(Limits!$C$2:$C$5,MATCH(E2858,Limits!$A$2:$A$5,0))</f>
        <v/>
      </c>
      <c r="J2858">
        <f>IF(F2858&gt;=I2858,"Action",IF(F2858&gt;=H2858,"Alert","Pass"))</f>
        <v/>
      </c>
      <c r="K2858" s="4">
        <f>DATE(YEAR(B2858),MONTH(B2858),1)</f>
        <v/>
      </c>
    </row>
    <row r="2859">
      <c r="A2859" t="inlineStr">
        <is>
          <t>EM002858</t>
        </is>
      </c>
      <c r="B2859" s="7" t="n">
        <v>46237</v>
      </c>
      <c r="C2859" t="inlineStr">
        <is>
          <t>CR-102</t>
        </is>
      </c>
      <c r="D2859" t="inlineStr">
        <is>
          <t>ISO 7</t>
        </is>
      </c>
      <c r="E2859" t="inlineStr">
        <is>
          <t>Personnel glove</t>
        </is>
      </c>
      <c r="F2859" t="n">
        <v>0</v>
      </c>
      <c r="G2859" t="inlineStr">
        <is>
          <t>Tech B</t>
        </is>
      </c>
      <c r="H2859">
        <f>INDEX(Limits!$B$2:$B$5,MATCH(E2859,Limits!$A$2:$A$5,0))</f>
        <v/>
      </c>
      <c r="I2859">
        <f>INDEX(Limits!$C$2:$C$5,MATCH(E2859,Limits!$A$2:$A$5,0))</f>
        <v/>
      </c>
      <c r="J2859">
        <f>IF(F2859&gt;=I2859,"Action",IF(F2859&gt;=H2859,"Alert","Pass"))</f>
        <v/>
      </c>
      <c r="K2859" s="4">
        <f>DATE(YEAR(B2859),MONTH(B2859),1)</f>
        <v/>
      </c>
    </row>
    <row r="2860">
      <c r="A2860" t="inlineStr">
        <is>
          <t>EM002859</t>
        </is>
      </c>
      <c r="B2860" s="7" t="n">
        <v>46237</v>
      </c>
      <c r="C2860" t="inlineStr">
        <is>
          <t>CR-201</t>
        </is>
      </c>
      <c r="D2860" t="inlineStr">
        <is>
          <t>ISO 8</t>
        </is>
      </c>
      <c r="E2860" t="inlineStr">
        <is>
          <t>Active air</t>
        </is>
      </c>
      <c r="F2860" t="n">
        <v>6</v>
      </c>
      <c r="G2860" t="inlineStr">
        <is>
          <t>Tech B</t>
        </is>
      </c>
      <c r="H2860">
        <f>INDEX(Limits!$B$2:$B$5,MATCH(E2860,Limits!$A$2:$A$5,0))</f>
        <v/>
      </c>
      <c r="I2860">
        <f>INDEX(Limits!$C$2:$C$5,MATCH(E2860,Limits!$A$2:$A$5,0))</f>
        <v/>
      </c>
      <c r="J2860">
        <f>IF(F2860&gt;=I2860,"Action",IF(F2860&gt;=H2860,"Alert","Pass"))</f>
        <v/>
      </c>
      <c r="K2860" s="4">
        <f>DATE(YEAR(B2860),MONTH(B2860),1)</f>
        <v/>
      </c>
    </row>
    <row r="2861">
      <c r="A2861" t="inlineStr">
        <is>
          <t>EM002860</t>
        </is>
      </c>
      <c r="B2861" s="7" t="n">
        <v>46237</v>
      </c>
      <c r="C2861" t="inlineStr">
        <is>
          <t>CR-201</t>
        </is>
      </c>
      <c r="D2861" t="inlineStr">
        <is>
          <t>ISO 8</t>
        </is>
      </c>
      <c r="E2861" t="inlineStr">
        <is>
          <t>Surface contact</t>
        </is>
      </c>
      <c r="F2861" t="n">
        <v>1</v>
      </c>
      <c r="G2861" t="inlineStr">
        <is>
          <t>Tech B</t>
        </is>
      </c>
      <c r="H2861">
        <f>INDEX(Limits!$B$2:$B$5,MATCH(E2861,Limits!$A$2:$A$5,0))</f>
        <v/>
      </c>
      <c r="I2861">
        <f>INDEX(Limits!$C$2:$C$5,MATCH(E2861,Limits!$A$2:$A$5,0))</f>
        <v/>
      </c>
      <c r="J2861">
        <f>IF(F2861&gt;=I2861,"Action",IF(F2861&gt;=H2861,"Alert","Pass"))</f>
        <v/>
      </c>
      <c r="K2861" s="4">
        <f>DATE(YEAR(B2861),MONTH(B2861),1)</f>
        <v/>
      </c>
    </row>
    <row r="2862">
      <c r="A2862" t="inlineStr">
        <is>
          <t>EM002861</t>
        </is>
      </c>
      <c r="B2862" s="7" t="n">
        <v>46237</v>
      </c>
      <c r="C2862" t="inlineStr">
        <is>
          <t>CR-201</t>
        </is>
      </c>
      <c r="D2862" t="inlineStr">
        <is>
          <t>ISO 8</t>
        </is>
      </c>
      <c r="E2862" t="inlineStr">
        <is>
          <t>Compressed air</t>
        </is>
      </c>
      <c r="F2862" t="n">
        <v>0</v>
      </c>
      <c r="G2862" t="inlineStr">
        <is>
          <t>Tech C</t>
        </is>
      </c>
      <c r="H2862">
        <f>INDEX(Limits!$B$2:$B$5,MATCH(E2862,Limits!$A$2:$A$5,0))</f>
        <v/>
      </c>
      <c r="I2862">
        <f>INDEX(Limits!$C$2:$C$5,MATCH(E2862,Limits!$A$2:$A$5,0))</f>
        <v/>
      </c>
      <c r="J2862">
        <f>IF(F2862&gt;=I2862,"Action",IF(F2862&gt;=H2862,"Alert","Pass"))</f>
        <v/>
      </c>
      <c r="K2862" s="4">
        <f>DATE(YEAR(B2862),MONTH(B2862),1)</f>
        <v/>
      </c>
    </row>
    <row r="2863">
      <c r="A2863" t="inlineStr">
        <is>
          <t>EM002862</t>
        </is>
      </c>
      <c r="B2863" s="7" t="n">
        <v>46237</v>
      </c>
      <c r="C2863" t="inlineStr">
        <is>
          <t>CR-201</t>
        </is>
      </c>
      <c r="D2863" t="inlineStr">
        <is>
          <t>ISO 8</t>
        </is>
      </c>
      <c r="E2863" t="inlineStr">
        <is>
          <t>Personnel glove</t>
        </is>
      </c>
      <c r="F2863" t="n">
        <v>0</v>
      </c>
      <c r="G2863" t="inlineStr">
        <is>
          <t>Tech A</t>
        </is>
      </c>
      <c r="H2863">
        <f>INDEX(Limits!$B$2:$B$5,MATCH(E2863,Limits!$A$2:$A$5,0))</f>
        <v/>
      </c>
      <c r="I2863">
        <f>INDEX(Limits!$C$2:$C$5,MATCH(E2863,Limits!$A$2:$A$5,0))</f>
        <v/>
      </c>
      <c r="J2863">
        <f>IF(F2863&gt;=I2863,"Action",IF(F2863&gt;=H2863,"Alert","Pass"))</f>
        <v/>
      </c>
      <c r="K2863" s="4">
        <f>DATE(YEAR(B2863),MONTH(B2863),1)</f>
        <v/>
      </c>
    </row>
    <row r="2864">
      <c r="A2864" t="inlineStr">
        <is>
          <t>EM002863</t>
        </is>
      </c>
      <c r="B2864" s="7" t="n">
        <v>46237</v>
      </c>
      <c r="C2864" t="inlineStr">
        <is>
          <t>CR-202</t>
        </is>
      </c>
      <c r="D2864" t="inlineStr">
        <is>
          <t>ISO 8</t>
        </is>
      </c>
      <c r="E2864" t="inlineStr">
        <is>
          <t>Active air</t>
        </is>
      </c>
      <c r="F2864" t="n">
        <v>0</v>
      </c>
      <c r="G2864" t="inlineStr">
        <is>
          <t>Tech D</t>
        </is>
      </c>
      <c r="H2864">
        <f>INDEX(Limits!$B$2:$B$5,MATCH(E2864,Limits!$A$2:$A$5,0))</f>
        <v/>
      </c>
      <c r="I2864">
        <f>INDEX(Limits!$C$2:$C$5,MATCH(E2864,Limits!$A$2:$A$5,0))</f>
        <v/>
      </c>
      <c r="J2864">
        <f>IF(F2864&gt;=I2864,"Action",IF(F2864&gt;=H2864,"Alert","Pass"))</f>
        <v/>
      </c>
      <c r="K2864" s="4">
        <f>DATE(YEAR(B2864),MONTH(B2864),1)</f>
        <v/>
      </c>
    </row>
    <row r="2865">
      <c r="A2865" t="inlineStr">
        <is>
          <t>EM002864</t>
        </is>
      </c>
      <c r="B2865" s="7" t="n">
        <v>46237</v>
      </c>
      <c r="C2865" t="inlineStr">
        <is>
          <t>CR-202</t>
        </is>
      </c>
      <c r="D2865" t="inlineStr">
        <is>
          <t>ISO 8</t>
        </is>
      </c>
      <c r="E2865" t="inlineStr">
        <is>
          <t>Surface contact</t>
        </is>
      </c>
      <c r="F2865" t="n">
        <v>0</v>
      </c>
      <c r="G2865" t="inlineStr">
        <is>
          <t>Tech D</t>
        </is>
      </c>
      <c r="H2865">
        <f>INDEX(Limits!$B$2:$B$5,MATCH(E2865,Limits!$A$2:$A$5,0))</f>
        <v/>
      </c>
      <c r="I2865">
        <f>INDEX(Limits!$C$2:$C$5,MATCH(E2865,Limits!$A$2:$A$5,0))</f>
        <v/>
      </c>
      <c r="J2865">
        <f>IF(F2865&gt;=I2865,"Action",IF(F2865&gt;=H2865,"Alert","Pass"))</f>
        <v/>
      </c>
      <c r="K2865" s="4">
        <f>DATE(YEAR(B2865),MONTH(B2865),1)</f>
        <v/>
      </c>
    </row>
    <row r="2866">
      <c r="A2866" t="inlineStr">
        <is>
          <t>EM002865</t>
        </is>
      </c>
      <c r="B2866" s="7" t="n">
        <v>46237</v>
      </c>
      <c r="C2866" t="inlineStr">
        <is>
          <t>CR-202</t>
        </is>
      </c>
      <c r="D2866" t="inlineStr">
        <is>
          <t>ISO 8</t>
        </is>
      </c>
      <c r="E2866" t="inlineStr">
        <is>
          <t>Compressed air</t>
        </is>
      </c>
      <c r="F2866" t="n">
        <v>0</v>
      </c>
      <c r="G2866" t="inlineStr">
        <is>
          <t>Tech D</t>
        </is>
      </c>
      <c r="H2866">
        <f>INDEX(Limits!$B$2:$B$5,MATCH(E2866,Limits!$A$2:$A$5,0))</f>
        <v/>
      </c>
      <c r="I2866">
        <f>INDEX(Limits!$C$2:$C$5,MATCH(E2866,Limits!$A$2:$A$5,0))</f>
        <v/>
      </c>
      <c r="J2866">
        <f>IF(F2866&gt;=I2866,"Action",IF(F2866&gt;=H2866,"Alert","Pass"))</f>
        <v/>
      </c>
      <c r="K2866" s="4">
        <f>DATE(YEAR(B2866),MONTH(B2866),1)</f>
        <v/>
      </c>
    </row>
    <row r="2867">
      <c r="A2867" t="inlineStr">
        <is>
          <t>EM002866</t>
        </is>
      </c>
      <c r="B2867" s="7" t="n">
        <v>46237</v>
      </c>
      <c r="C2867" t="inlineStr">
        <is>
          <t>CR-202</t>
        </is>
      </c>
      <c r="D2867" t="inlineStr">
        <is>
          <t>ISO 8</t>
        </is>
      </c>
      <c r="E2867" t="inlineStr">
        <is>
          <t>Personnel glove</t>
        </is>
      </c>
      <c r="F2867" t="n">
        <v>0</v>
      </c>
      <c r="G2867" t="inlineStr">
        <is>
          <t>Tech A</t>
        </is>
      </c>
      <c r="H2867">
        <f>INDEX(Limits!$B$2:$B$5,MATCH(E2867,Limits!$A$2:$A$5,0))</f>
        <v/>
      </c>
      <c r="I2867">
        <f>INDEX(Limits!$C$2:$C$5,MATCH(E2867,Limits!$A$2:$A$5,0))</f>
        <v/>
      </c>
      <c r="J2867">
        <f>IF(F2867&gt;=I2867,"Action",IF(F2867&gt;=H2867,"Alert","Pass"))</f>
        <v/>
      </c>
      <c r="K2867" s="4">
        <f>DATE(YEAR(B2867),MONTH(B2867),1)</f>
        <v/>
      </c>
    </row>
    <row r="2868">
      <c r="A2868" t="inlineStr">
        <is>
          <t>EM002867</t>
        </is>
      </c>
      <c r="B2868" s="7" t="n">
        <v>46237</v>
      </c>
      <c r="C2868" t="inlineStr">
        <is>
          <t>Gowning</t>
        </is>
      </c>
      <c r="D2868" t="inlineStr">
        <is>
          <t>ISO 8</t>
        </is>
      </c>
      <c r="E2868" t="inlineStr">
        <is>
          <t>Active air</t>
        </is>
      </c>
      <c r="F2868" t="n">
        <v>3</v>
      </c>
      <c r="G2868" t="inlineStr">
        <is>
          <t>Tech B</t>
        </is>
      </c>
      <c r="H2868">
        <f>INDEX(Limits!$B$2:$B$5,MATCH(E2868,Limits!$A$2:$A$5,0))</f>
        <v/>
      </c>
      <c r="I2868">
        <f>INDEX(Limits!$C$2:$C$5,MATCH(E2868,Limits!$A$2:$A$5,0))</f>
        <v/>
      </c>
      <c r="J2868">
        <f>IF(F2868&gt;=I2868,"Action",IF(F2868&gt;=H2868,"Alert","Pass"))</f>
        <v/>
      </c>
      <c r="K2868" s="4">
        <f>DATE(YEAR(B2868),MONTH(B2868),1)</f>
        <v/>
      </c>
    </row>
    <row r="2869">
      <c r="A2869" t="inlineStr">
        <is>
          <t>EM002868</t>
        </is>
      </c>
      <c r="B2869" s="7" t="n">
        <v>46237</v>
      </c>
      <c r="C2869" t="inlineStr">
        <is>
          <t>Gowning</t>
        </is>
      </c>
      <c r="D2869" t="inlineStr">
        <is>
          <t>ISO 8</t>
        </is>
      </c>
      <c r="E2869" t="inlineStr">
        <is>
          <t>Surface contact</t>
        </is>
      </c>
      <c r="F2869" t="n">
        <v>1</v>
      </c>
      <c r="G2869" t="inlineStr">
        <is>
          <t>Tech D</t>
        </is>
      </c>
      <c r="H2869">
        <f>INDEX(Limits!$B$2:$B$5,MATCH(E2869,Limits!$A$2:$A$5,0))</f>
        <v/>
      </c>
      <c r="I2869">
        <f>INDEX(Limits!$C$2:$C$5,MATCH(E2869,Limits!$A$2:$A$5,0))</f>
        <v/>
      </c>
      <c r="J2869">
        <f>IF(F2869&gt;=I2869,"Action",IF(F2869&gt;=H2869,"Alert","Pass"))</f>
        <v/>
      </c>
      <c r="K2869" s="4">
        <f>DATE(YEAR(B2869),MONTH(B2869),1)</f>
        <v/>
      </c>
    </row>
    <row r="2870">
      <c r="A2870" t="inlineStr">
        <is>
          <t>EM002869</t>
        </is>
      </c>
      <c r="B2870" s="7" t="n">
        <v>46237</v>
      </c>
      <c r="C2870" t="inlineStr">
        <is>
          <t>Gowning</t>
        </is>
      </c>
      <c r="D2870" t="inlineStr">
        <is>
          <t>ISO 8</t>
        </is>
      </c>
      <c r="E2870" t="inlineStr">
        <is>
          <t>Personnel glove</t>
        </is>
      </c>
      <c r="F2870" t="n">
        <v>1</v>
      </c>
      <c r="G2870" t="inlineStr">
        <is>
          <t>Tech B</t>
        </is>
      </c>
      <c r="H2870">
        <f>INDEX(Limits!$B$2:$B$5,MATCH(E2870,Limits!$A$2:$A$5,0))</f>
        <v/>
      </c>
      <c r="I2870">
        <f>INDEX(Limits!$C$2:$C$5,MATCH(E2870,Limits!$A$2:$A$5,0))</f>
        <v/>
      </c>
      <c r="J2870">
        <f>IF(F2870&gt;=I2870,"Action",IF(F2870&gt;=H2870,"Alert","Pass"))</f>
        <v/>
      </c>
      <c r="K2870" s="4">
        <f>DATE(YEAR(B2870),MONTH(B2870),1)</f>
        <v/>
      </c>
    </row>
    <row r="2871">
      <c r="A2871" t="inlineStr">
        <is>
          <t>EM002870</t>
        </is>
      </c>
      <c r="B2871" s="7" t="n">
        <v>46238</v>
      </c>
      <c r="C2871" t="inlineStr">
        <is>
          <t>CR-101</t>
        </is>
      </c>
      <c r="D2871" t="inlineStr">
        <is>
          <t>ISO 7</t>
        </is>
      </c>
      <c r="E2871" t="inlineStr">
        <is>
          <t>Active air</t>
        </is>
      </c>
      <c r="F2871" t="n">
        <v>1</v>
      </c>
      <c r="G2871" t="inlineStr">
        <is>
          <t>Tech D</t>
        </is>
      </c>
      <c r="H2871">
        <f>INDEX(Limits!$B$2:$B$5,MATCH(E2871,Limits!$A$2:$A$5,0))</f>
        <v/>
      </c>
      <c r="I2871">
        <f>INDEX(Limits!$C$2:$C$5,MATCH(E2871,Limits!$A$2:$A$5,0))</f>
        <v/>
      </c>
      <c r="J2871">
        <f>IF(F2871&gt;=I2871,"Action",IF(F2871&gt;=H2871,"Alert","Pass"))</f>
        <v/>
      </c>
      <c r="K2871" s="4">
        <f>DATE(YEAR(B2871),MONTH(B2871),1)</f>
        <v/>
      </c>
    </row>
    <row r="2872">
      <c r="A2872" t="inlineStr">
        <is>
          <t>EM002871</t>
        </is>
      </c>
      <c r="B2872" s="7" t="n">
        <v>46238</v>
      </c>
      <c r="C2872" t="inlineStr">
        <is>
          <t>CR-101</t>
        </is>
      </c>
      <c r="D2872" t="inlineStr">
        <is>
          <t>ISO 7</t>
        </is>
      </c>
      <c r="E2872" t="inlineStr">
        <is>
          <t>Surface contact</t>
        </is>
      </c>
      <c r="F2872" t="n">
        <v>0</v>
      </c>
      <c r="G2872" t="inlineStr">
        <is>
          <t>Tech C</t>
        </is>
      </c>
      <c r="H2872">
        <f>INDEX(Limits!$B$2:$B$5,MATCH(E2872,Limits!$A$2:$A$5,0))</f>
        <v/>
      </c>
      <c r="I2872">
        <f>INDEX(Limits!$C$2:$C$5,MATCH(E2872,Limits!$A$2:$A$5,0))</f>
        <v/>
      </c>
      <c r="J2872">
        <f>IF(F2872&gt;=I2872,"Action",IF(F2872&gt;=H2872,"Alert","Pass"))</f>
        <v/>
      </c>
      <c r="K2872" s="4">
        <f>DATE(YEAR(B2872),MONTH(B2872),1)</f>
        <v/>
      </c>
    </row>
    <row r="2873">
      <c r="A2873" t="inlineStr">
        <is>
          <t>EM002872</t>
        </is>
      </c>
      <c r="B2873" s="7" t="n">
        <v>46238</v>
      </c>
      <c r="C2873" t="inlineStr">
        <is>
          <t>CR-101</t>
        </is>
      </c>
      <c r="D2873" t="inlineStr">
        <is>
          <t>ISO 7</t>
        </is>
      </c>
      <c r="E2873" t="inlineStr">
        <is>
          <t>Compressed air</t>
        </is>
      </c>
      <c r="F2873" t="n">
        <v>0</v>
      </c>
      <c r="G2873" t="inlineStr">
        <is>
          <t>Tech A</t>
        </is>
      </c>
      <c r="H2873">
        <f>INDEX(Limits!$B$2:$B$5,MATCH(E2873,Limits!$A$2:$A$5,0))</f>
        <v/>
      </c>
      <c r="I2873">
        <f>INDEX(Limits!$C$2:$C$5,MATCH(E2873,Limits!$A$2:$A$5,0))</f>
        <v/>
      </c>
      <c r="J2873">
        <f>IF(F2873&gt;=I2873,"Action",IF(F2873&gt;=H2873,"Alert","Pass"))</f>
        <v/>
      </c>
      <c r="K2873" s="4">
        <f>DATE(YEAR(B2873),MONTH(B2873),1)</f>
        <v/>
      </c>
    </row>
    <row r="2874">
      <c r="A2874" t="inlineStr">
        <is>
          <t>EM002873</t>
        </is>
      </c>
      <c r="B2874" s="7" t="n">
        <v>46238</v>
      </c>
      <c r="C2874" t="inlineStr">
        <is>
          <t>CR-101</t>
        </is>
      </c>
      <c r="D2874" t="inlineStr">
        <is>
          <t>ISO 7</t>
        </is>
      </c>
      <c r="E2874" t="inlineStr">
        <is>
          <t>Personnel glove</t>
        </is>
      </c>
      <c r="F2874" t="n">
        <v>0</v>
      </c>
      <c r="G2874" t="inlineStr">
        <is>
          <t>Tech D</t>
        </is>
      </c>
      <c r="H2874">
        <f>INDEX(Limits!$B$2:$B$5,MATCH(E2874,Limits!$A$2:$A$5,0))</f>
        <v/>
      </c>
      <c r="I2874">
        <f>INDEX(Limits!$C$2:$C$5,MATCH(E2874,Limits!$A$2:$A$5,0))</f>
        <v/>
      </c>
      <c r="J2874">
        <f>IF(F2874&gt;=I2874,"Action",IF(F2874&gt;=H2874,"Alert","Pass"))</f>
        <v/>
      </c>
      <c r="K2874" s="4">
        <f>DATE(YEAR(B2874),MONTH(B2874),1)</f>
        <v/>
      </c>
    </row>
    <row r="2875">
      <c r="A2875" t="inlineStr">
        <is>
          <t>EM002874</t>
        </is>
      </c>
      <c r="B2875" s="7" t="n">
        <v>46238</v>
      </c>
      <c r="C2875" t="inlineStr">
        <is>
          <t>CR-102</t>
        </is>
      </c>
      <c r="D2875" t="inlineStr">
        <is>
          <t>ISO 7</t>
        </is>
      </c>
      <c r="E2875" t="inlineStr">
        <is>
          <t>Active air</t>
        </is>
      </c>
      <c r="F2875" t="n">
        <v>1</v>
      </c>
      <c r="G2875" t="inlineStr">
        <is>
          <t>Tech A</t>
        </is>
      </c>
      <c r="H2875">
        <f>INDEX(Limits!$B$2:$B$5,MATCH(E2875,Limits!$A$2:$A$5,0))</f>
        <v/>
      </c>
      <c r="I2875">
        <f>INDEX(Limits!$C$2:$C$5,MATCH(E2875,Limits!$A$2:$A$5,0))</f>
        <v/>
      </c>
      <c r="J2875">
        <f>IF(F2875&gt;=I2875,"Action",IF(F2875&gt;=H2875,"Alert","Pass"))</f>
        <v/>
      </c>
      <c r="K2875" s="4">
        <f>DATE(YEAR(B2875),MONTH(B2875),1)</f>
        <v/>
      </c>
    </row>
    <row r="2876">
      <c r="A2876" t="inlineStr">
        <is>
          <t>EM002875</t>
        </is>
      </c>
      <c r="B2876" s="7" t="n">
        <v>46238</v>
      </c>
      <c r="C2876" t="inlineStr">
        <is>
          <t>CR-102</t>
        </is>
      </c>
      <c r="D2876" t="inlineStr">
        <is>
          <t>ISO 7</t>
        </is>
      </c>
      <c r="E2876" t="inlineStr">
        <is>
          <t>Surface contact</t>
        </is>
      </c>
      <c r="F2876" t="n">
        <v>0</v>
      </c>
      <c r="G2876" t="inlineStr">
        <is>
          <t>Tech B</t>
        </is>
      </c>
      <c r="H2876">
        <f>INDEX(Limits!$B$2:$B$5,MATCH(E2876,Limits!$A$2:$A$5,0))</f>
        <v/>
      </c>
      <c r="I2876">
        <f>INDEX(Limits!$C$2:$C$5,MATCH(E2876,Limits!$A$2:$A$5,0))</f>
        <v/>
      </c>
      <c r="J2876">
        <f>IF(F2876&gt;=I2876,"Action",IF(F2876&gt;=H2876,"Alert","Pass"))</f>
        <v/>
      </c>
      <c r="K2876" s="4">
        <f>DATE(YEAR(B2876),MONTH(B2876),1)</f>
        <v/>
      </c>
    </row>
    <row r="2877">
      <c r="A2877" t="inlineStr">
        <is>
          <t>EM002876</t>
        </is>
      </c>
      <c r="B2877" s="7" t="n">
        <v>46238</v>
      </c>
      <c r="C2877" t="inlineStr">
        <is>
          <t>CR-102</t>
        </is>
      </c>
      <c r="D2877" t="inlineStr">
        <is>
          <t>ISO 7</t>
        </is>
      </c>
      <c r="E2877" t="inlineStr">
        <is>
          <t>Compressed air</t>
        </is>
      </c>
      <c r="F2877" t="n">
        <v>0</v>
      </c>
      <c r="G2877" t="inlineStr">
        <is>
          <t>Tech C</t>
        </is>
      </c>
      <c r="H2877">
        <f>INDEX(Limits!$B$2:$B$5,MATCH(E2877,Limits!$A$2:$A$5,0))</f>
        <v/>
      </c>
      <c r="I2877">
        <f>INDEX(Limits!$C$2:$C$5,MATCH(E2877,Limits!$A$2:$A$5,0))</f>
        <v/>
      </c>
      <c r="J2877">
        <f>IF(F2877&gt;=I2877,"Action",IF(F2877&gt;=H2877,"Alert","Pass"))</f>
        <v/>
      </c>
      <c r="K2877" s="4">
        <f>DATE(YEAR(B2877),MONTH(B2877),1)</f>
        <v/>
      </c>
    </row>
    <row r="2878">
      <c r="A2878" t="inlineStr">
        <is>
          <t>EM002877</t>
        </is>
      </c>
      <c r="B2878" s="7" t="n">
        <v>46238</v>
      </c>
      <c r="C2878" t="inlineStr">
        <is>
          <t>CR-102</t>
        </is>
      </c>
      <c r="D2878" t="inlineStr">
        <is>
          <t>ISO 7</t>
        </is>
      </c>
      <c r="E2878" t="inlineStr">
        <is>
          <t>Personnel glove</t>
        </is>
      </c>
      <c r="F2878" t="n">
        <v>0</v>
      </c>
      <c r="G2878" t="inlineStr">
        <is>
          <t>Tech C</t>
        </is>
      </c>
      <c r="H2878">
        <f>INDEX(Limits!$B$2:$B$5,MATCH(E2878,Limits!$A$2:$A$5,0))</f>
        <v/>
      </c>
      <c r="I2878">
        <f>INDEX(Limits!$C$2:$C$5,MATCH(E2878,Limits!$A$2:$A$5,0))</f>
        <v/>
      </c>
      <c r="J2878">
        <f>IF(F2878&gt;=I2878,"Action",IF(F2878&gt;=H2878,"Alert","Pass"))</f>
        <v/>
      </c>
      <c r="K2878" s="4">
        <f>DATE(YEAR(B2878),MONTH(B2878),1)</f>
        <v/>
      </c>
    </row>
    <row r="2879">
      <c r="A2879" t="inlineStr">
        <is>
          <t>EM002878</t>
        </is>
      </c>
      <c r="B2879" s="7" t="n">
        <v>46238</v>
      </c>
      <c r="C2879" t="inlineStr">
        <is>
          <t>CR-201</t>
        </is>
      </c>
      <c r="D2879" t="inlineStr">
        <is>
          <t>ISO 8</t>
        </is>
      </c>
      <c r="E2879" t="inlineStr">
        <is>
          <t>Active air</t>
        </is>
      </c>
      <c r="F2879" t="n">
        <v>1</v>
      </c>
      <c r="G2879" t="inlineStr">
        <is>
          <t>Tech C</t>
        </is>
      </c>
      <c r="H2879">
        <f>INDEX(Limits!$B$2:$B$5,MATCH(E2879,Limits!$A$2:$A$5,0))</f>
        <v/>
      </c>
      <c r="I2879">
        <f>INDEX(Limits!$C$2:$C$5,MATCH(E2879,Limits!$A$2:$A$5,0))</f>
        <v/>
      </c>
      <c r="J2879">
        <f>IF(F2879&gt;=I2879,"Action",IF(F2879&gt;=H2879,"Alert","Pass"))</f>
        <v/>
      </c>
      <c r="K2879" s="4">
        <f>DATE(YEAR(B2879),MONTH(B2879),1)</f>
        <v/>
      </c>
    </row>
    <row r="2880">
      <c r="A2880" t="inlineStr">
        <is>
          <t>EM002879</t>
        </is>
      </c>
      <c r="B2880" s="7" t="n">
        <v>46238</v>
      </c>
      <c r="C2880" t="inlineStr">
        <is>
          <t>CR-201</t>
        </is>
      </c>
      <c r="D2880" t="inlineStr">
        <is>
          <t>ISO 8</t>
        </is>
      </c>
      <c r="E2880" t="inlineStr">
        <is>
          <t>Surface contact</t>
        </is>
      </c>
      <c r="F2880" t="n">
        <v>0</v>
      </c>
      <c r="G2880" t="inlineStr">
        <is>
          <t>Tech C</t>
        </is>
      </c>
      <c r="H2880">
        <f>INDEX(Limits!$B$2:$B$5,MATCH(E2880,Limits!$A$2:$A$5,0))</f>
        <v/>
      </c>
      <c r="I2880">
        <f>INDEX(Limits!$C$2:$C$5,MATCH(E2880,Limits!$A$2:$A$5,0))</f>
        <v/>
      </c>
      <c r="J2880">
        <f>IF(F2880&gt;=I2880,"Action",IF(F2880&gt;=H2880,"Alert","Pass"))</f>
        <v/>
      </c>
      <c r="K2880" s="4">
        <f>DATE(YEAR(B2880),MONTH(B2880),1)</f>
        <v/>
      </c>
    </row>
    <row r="2881">
      <c r="A2881" t="inlineStr">
        <is>
          <t>EM002880</t>
        </is>
      </c>
      <c r="B2881" s="7" t="n">
        <v>46238</v>
      </c>
      <c r="C2881" t="inlineStr">
        <is>
          <t>CR-201</t>
        </is>
      </c>
      <c r="D2881" t="inlineStr">
        <is>
          <t>ISO 8</t>
        </is>
      </c>
      <c r="E2881" t="inlineStr">
        <is>
          <t>Compressed air</t>
        </is>
      </c>
      <c r="F2881" t="n">
        <v>0</v>
      </c>
      <c r="G2881" t="inlineStr">
        <is>
          <t>Tech A</t>
        </is>
      </c>
      <c r="H2881">
        <f>INDEX(Limits!$B$2:$B$5,MATCH(E2881,Limits!$A$2:$A$5,0))</f>
        <v/>
      </c>
      <c r="I2881">
        <f>INDEX(Limits!$C$2:$C$5,MATCH(E2881,Limits!$A$2:$A$5,0))</f>
        <v/>
      </c>
      <c r="J2881">
        <f>IF(F2881&gt;=I2881,"Action",IF(F2881&gt;=H2881,"Alert","Pass"))</f>
        <v/>
      </c>
      <c r="K2881" s="4">
        <f>DATE(YEAR(B2881),MONTH(B2881),1)</f>
        <v/>
      </c>
    </row>
    <row r="2882">
      <c r="A2882" t="inlineStr">
        <is>
          <t>EM002881</t>
        </is>
      </c>
      <c r="B2882" s="7" t="n">
        <v>46238</v>
      </c>
      <c r="C2882" t="inlineStr">
        <is>
          <t>CR-201</t>
        </is>
      </c>
      <c r="D2882" t="inlineStr">
        <is>
          <t>ISO 8</t>
        </is>
      </c>
      <c r="E2882" t="inlineStr">
        <is>
          <t>Personnel glove</t>
        </is>
      </c>
      <c r="F2882" t="n">
        <v>0</v>
      </c>
      <c r="G2882" t="inlineStr">
        <is>
          <t>Tech C</t>
        </is>
      </c>
      <c r="H2882">
        <f>INDEX(Limits!$B$2:$B$5,MATCH(E2882,Limits!$A$2:$A$5,0))</f>
        <v/>
      </c>
      <c r="I2882">
        <f>INDEX(Limits!$C$2:$C$5,MATCH(E2882,Limits!$A$2:$A$5,0))</f>
        <v/>
      </c>
      <c r="J2882">
        <f>IF(F2882&gt;=I2882,"Action",IF(F2882&gt;=H2882,"Alert","Pass"))</f>
        <v/>
      </c>
      <c r="K2882" s="4">
        <f>DATE(YEAR(B2882),MONTH(B2882),1)</f>
        <v/>
      </c>
    </row>
    <row r="2883">
      <c r="A2883" t="inlineStr">
        <is>
          <t>EM002882</t>
        </is>
      </c>
      <c r="B2883" s="7" t="n">
        <v>46238</v>
      </c>
      <c r="C2883" t="inlineStr">
        <is>
          <t>CR-202</t>
        </is>
      </c>
      <c r="D2883" t="inlineStr">
        <is>
          <t>ISO 8</t>
        </is>
      </c>
      <c r="E2883" t="inlineStr">
        <is>
          <t>Active air</t>
        </is>
      </c>
      <c r="F2883" t="n">
        <v>1</v>
      </c>
      <c r="G2883" t="inlineStr">
        <is>
          <t>Tech A</t>
        </is>
      </c>
      <c r="H2883">
        <f>INDEX(Limits!$B$2:$B$5,MATCH(E2883,Limits!$A$2:$A$5,0))</f>
        <v/>
      </c>
      <c r="I2883">
        <f>INDEX(Limits!$C$2:$C$5,MATCH(E2883,Limits!$A$2:$A$5,0))</f>
        <v/>
      </c>
      <c r="J2883">
        <f>IF(F2883&gt;=I2883,"Action",IF(F2883&gt;=H2883,"Alert","Pass"))</f>
        <v/>
      </c>
      <c r="K2883" s="4">
        <f>DATE(YEAR(B2883),MONTH(B2883),1)</f>
        <v/>
      </c>
    </row>
    <row r="2884">
      <c r="A2884" t="inlineStr">
        <is>
          <t>EM002883</t>
        </is>
      </c>
      <c r="B2884" s="7" t="n">
        <v>46238</v>
      </c>
      <c r="C2884" t="inlineStr">
        <is>
          <t>CR-202</t>
        </is>
      </c>
      <c r="D2884" t="inlineStr">
        <is>
          <t>ISO 8</t>
        </is>
      </c>
      <c r="E2884" t="inlineStr">
        <is>
          <t>Surface contact</t>
        </is>
      </c>
      <c r="F2884" t="n">
        <v>1</v>
      </c>
      <c r="G2884" t="inlineStr">
        <is>
          <t>Tech D</t>
        </is>
      </c>
      <c r="H2884">
        <f>INDEX(Limits!$B$2:$B$5,MATCH(E2884,Limits!$A$2:$A$5,0))</f>
        <v/>
      </c>
      <c r="I2884">
        <f>INDEX(Limits!$C$2:$C$5,MATCH(E2884,Limits!$A$2:$A$5,0))</f>
        <v/>
      </c>
      <c r="J2884">
        <f>IF(F2884&gt;=I2884,"Action",IF(F2884&gt;=H2884,"Alert","Pass"))</f>
        <v/>
      </c>
      <c r="K2884" s="4">
        <f>DATE(YEAR(B2884),MONTH(B2884),1)</f>
        <v/>
      </c>
    </row>
    <row r="2885">
      <c r="A2885" t="inlineStr">
        <is>
          <t>EM002884</t>
        </is>
      </c>
      <c r="B2885" s="7" t="n">
        <v>46238</v>
      </c>
      <c r="C2885" t="inlineStr">
        <is>
          <t>CR-202</t>
        </is>
      </c>
      <c r="D2885" t="inlineStr">
        <is>
          <t>ISO 8</t>
        </is>
      </c>
      <c r="E2885" t="inlineStr">
        <is>
          <t>Compressed air</t>
        </is>
      </c>
      <c r="F2885" t="n">
        <v>0</v>
      </c>
      <c r="G2885" t="inlineStr">
        <is>
          <t>Tech D</t>
        </is>
      </c>
      <c r="H2885">
        <f>INDEX(Limits!$B$2:$B$5,MATCH(E2885,Limits!$A$2:$A$5,0))</f>
        <v/>
      </c>
      <c r="I2885">
        <f>INDEX(Limits!$C$2:$C$5,MATCH(E2885,Limits!$A$2:$A$5,0))</f>
        <v/>
      </c>
      <c r="J2885">
        <f>IF(F2885&gt;=I2885,"Action",IF(F2885&gt;=H2885,"Alert","Pass"))</f>
        <v/>
      </c>
      <c r="K2885" s="4">
        <f>DATE(YEAR(B2885),MONTH(B2885),1)</f>
        <v/>
      </c>
    </row>
    <row r="2886">
      <c r="A2886" t="inlineStr">
        <is>
          <t>EM002885</t>
        </is>
      </c>
      <c r="B2886" s="7" t="n">
        <v>46238</v>
      </c>
      <c r="C2886" t="inlineStr">
        <is>
          <t>CR-202</t>
        </is>
      </c>
      <c r="D2886" t="inlineStr">
        <is>
          <t>ISO 8</t>
        </is>
      </c>
      <c r="E2886" t="inlineStr">
        <is>
          <t>Personnel glove</t>
        </is>
      </c>
      <c r="F2886" t="n">
        <v>0</v>
      </c>
      <c r="G2886" t="inlineStr">
        <is>
          <t>Tech B</t>
        </is>
      </c>
      <c r="H2886">
        <f>INDEX(Limits!$B$2:$B$5,MATCH(E2886,Limits!$A$2:$A$5,0))</f>
        <v/>
      </c>
      <c r="I2886">
        <f>INDEX(Limits!$C$2:$C$5,MATCH(E2886,Limits!$A$2:$A$5,0))</f>
        <v/>
      </c>
      <c r="J2886">
        <f>IF(F2886&gt;=I2886,"Action",IF(F2886&gt;=H2886,"Alert","Pass"))</f>
        <v/>
      </c>
      <c r="K2886" s="4">
        <f>DATE(YEAR(B2886),MONTH(B2886),1)</f>
        <v/>
      </c>
    </row>
    <row r="2887">
      <c r="A2887" t="inlineStr">
        <is>
          <t>EM002886</t>
        </is>
      </c>
      <c r="B2887" s="7" t="n">
        <v>46238</v>
      </c>
      <c r="C2887" t="inlineStr">
        <is>
          <t>Gowning</t>
        </is>
      </c>
      <c r="D2887" t="inlineStr">
        <is>
          <t>ISO 8</t>
        </is>
      </c>
      <c r="E2887" t="inlineStr">
        <is>
          <t>Active air</t>
        </is>
      </c>
      <c r="F2887" t="n">
        <v>3</v>
      </c>
      <c r="G2887" t="inlineStr">
        <is>
          <t>Tech B</t>
        </is>
      </c>
      <c r="H2887">
        <f>INDEX(Limits!$B$2:$B$5,MATCH(E2887,Limits!$A$2:$A$5,0))</f>
        <v/>
      </c>
      <c r="I2887">
        <f>INDEX(Limits!$C$2:$C$5,MATCH(E2887,Limits!$A$2:$A$5,0))</f>
        <v/>
      </c>
      <c r="J2887">
        <f>IF(F2887&gt;=I2887,"Action",IF(F2887&gt;=H2887,"Alert","Pass"))</f>
        <v/>
      </c>
      <c r="K2887" s="4">
        <f>DATE(YEAR(B2887),MONTH(B2887),1)</f>
        <v/>
      </c>
    </row>
    <row r="2888">
      <c r="A2888" t="inlineStr">
        <is>
          <t>EM002887</t>
        </is>
      </c>
      <c r="B2888" s="7" t="n">
        <v>46238</v>
      </c>
      <c r="C2888" t="inlineStr">
        <is>
          <t>Gowning</t>
        </is>
      </c>
      <c r="D2888" t="inlineStr">
        <is>
          <t>ISO 8</t>
        </is>
      </c>
      <c r="E2888" t="inlineStr">
        <is>
          <t>Surface contact</t>
        </is>
      </c>
      <c r="F2888" t="n">
        <v>1</v>
      </c>
      <c r="G2888" t="inlineStr">
        <is>
          <t>Tech A</t>
        </is>
      </c>
      <c r="H2888">
        <f>INDEX(Limits!$B$2:$B$5,MATCH(E2888,Limits!$A$2:$A$5,0))</f>
        <v/>
      </c>
      <c r="I2888">
        <f>INDEX(Limits!$C$2:$C$5,MATCH(E2888,Limits!$A$2:$A$5,0))</f>
        <v/>
      </c>
      <c r="J2888">
        <f>IF(F2888&gt;=I2888,"Action",IF(F2888&gt;=H2888,"Alert","Pass"))</f>
        <v/>
      </c>
      <c r="K2888" s="4">
        <f>DATE(YEAR(B2888),MONTH(B2888),1)</f>
        <v/>
      </c>
    </row>
    <row r="2889">
      <c r="A2889" t="inlineStr">
        <is>
          <t>EM002888</t>
        </is>
      </c>
      <c r="B2889" s="7" t="n">
        <v>46238</v>
      </c>
      <c r="C2889" t="inlineStr">
        <is>
          <t>Gowning</t>
        </is>
      </c>
      <c r="D2889" t="inlineStr">
        <is>
          <t>ISO 8</t>
        </is>
      </c>
      <c r="E2889" t="inlineStr">
        <is>
          <t>Personnel glove</t>
        </is>
      </c>
      <c r="F2889" t="n">
        <v>0</v>
      </c>
      <c r="G2889" t="inlineStr">
        <is>
          <t>Tech A</t>
        </is>
      </c>
      <c r="H2889">
        <f>INDEX(Limits!$B$2:$B$5,MATCH(E2889,Limits!$A$2:$A$5,0))</f>
        <v/>
      </c>
      <c r="I2889">
        <f>INDEX(Limits!$C$2:$C$5,MATCH(E2889,Limits!$A$2:$A$5,0))</f>
        <v/>
      </c>
      <c r="J2889">
        <f>IF(F2889&gt;=I2889,"Action",IF(F2889&gt;=H2889,"Alert","Pass"))</f>
        <v/>
      </c>
      <c r="K2889" s="4">
        <f>DATE(YEAR(B2889),MONTH(B2889),1)</f>
        <v/>
      </c>
    </row>
    <row r="2890">
      <c r="A2890" t="inlineStr">
        <is>
          <t>EM002889</t>
        </is>
      </c>
      <c r="B2890" s="7" t="n">
        <v>46239</v>
      </c>
      <c r="C2890" t="inlineStr">
        <is>
          <t>CR-101</t>
        </is>
      </c>
      <c r="D2890" t="inlineStr">
        <is>
          <t>ISO 7</t>
        </is>
      </c>
      <c r="E2890" t="inlineStr">
        <is>
          <t>Active air</t>
        </is>
      </c>
      <c r="F2890" t="n">
        <v>1</v>
      </c>
      <c r="G2890" t="inlineStr">
        <is>
          <t>Tech D</t>
        </is>
      </c>
      <c r="H2890">
        <f>INDEX(Limits!$B$2:$B$5,MATCH(E2890,Limits!$A$2:$A$5,0))</f>
        <v/>
      </c>
      <c r="I2890">
        <f>INDEX(Limits!$C$2:$C$5,MATCH(E2890,Limits!$A$2:$A$5,0))</f>
        <v/>
      </c>
      <c r="J2890">
        <f>IF(F2890&gt;=I2890,"Action",IF(F2890&gt;=H2890,"Alert","Pass"))</f>
        <v/>
      </c>
      <c r="K2890" s="4">
        <f>DATE(YEAR(B2890),MONTH(B2890),1)</f>
        <v/>
      </c>
    </row>
    <row r="2891">
      <c r="A2891" t="inlineStr">
        <is>
          <t>EM002890</t>
        </is>
      </c>
      <c r="B2891" s="7" t="n">
        <v>46239</v>
      </c>
      <c r="C2891" t="inlineStr">
        <is>
          <t>CR-101</t>
        </is>
      </c>
      <c r="D2891" t="inlineStr">
        <is>
          <t>ISO 7</t>
        </is>
      </c>
      <c r="E2891" t="inlineStr">
        <is>
          <t>Surface contact</t>
        </is>
      </c>
      <c r="F2891" t="n">
        <v>0</v>
      </c>
      <c r="G2891" t="inlineStr">
        <is>
          <t>Tech D</t>
        </is>
      </c>
      <c r="H2891">
        <f>INDEX(Limits!$B$2:$B$5,MATCH(E2891,Limits!$A$2:$A$5,0))</f>
        <v/>
      </c>
      <c r="I2891">
        <f>INDEX(Limits!$C$2:$C$5,MATCH(E2891,Limits!$A$2:$A$5,0))</f>
        <v/>
      </c>
      <c r="J2891">
        <f>IF(F2891&gt;=I2891,"Action",IF(F2891&gt;=H2891,"Alert","Pass"))</f>
        <v/>
      </c>
      <c r="K2891" s="4">
        <f>DATE(YEAR(B2891),MONTH(B2891),1)</f>
        <v/>
      </c>
    </row>
    <row r="2892">
      <c r="A2892" t="inlineStr">
        <is>
          <t>EM002891</t>
        </is>
      </c>
      <c r="B2892" s="7" t="n">
        <v>46239</v>
      </c>
      <c r="C2892" t="inlineStr">
        <is>
          <t>CR-101</t>
        </is>
      </c>
      <c r="D2892" t="inlineStr">
        <is>
          <t>ISO 7</t>
        </is>
      </c>
      <c r="E2892" t="inlineStr">
        <is>
          <t>Compressed air</t>
        </is>
      </c>
      <c r="F2892" t="n">
        <v>0</v>
      </c>
      <c r="G2892" t="inlineStr">
        <is>
          <t>Tech B</t>
        </is>
      </c>
      <c r="H2892">
        <f>INDEX(Limits!$B$2:$B$5,MATCH(E2892,Limits!$A$2:$A$5,0))</f>
        <v/>
      </c>
      <c r="I2892">
        <f>INDEX(Limits!$C$2:$C$5,MATCH(E2892,Limits!$A$2:$A$5,0))</f>
        <v/>
      </c>
      <c r="J2892">
        <f>IF(F2892&gt;=I2892,"Action",IF(F2892&gt;=H2892,"Alert","Pass"))</f>
        <v/>
      </c>
      <c r="K2892" s="4">
        <f>DATE(YEAR(B2892),MONTH(B2892),1)</f>
        <v/>
      </c>
    </row>
    <row r="2893">
      <c r="A2893" t="inlineStr">
        <is>
          <t>EM002892</t>
        </is>
      </c>
      <c r="B2893" s="7" t="n">
        <v>46239</v>
      </c>
      <c r="C2893" t="inlineStr">
        <is>
          <t>CR-101</t>
        </is>
      </c>
      <c r="D2893" t="inlineStr">
        <is>
          <t>ISO 7</t>
        </is>
      </c>
      <c r="E2893" t="inlineStr">
        <is>
          <t>Personnel glove</t>
        </is>
      </c>
      <c r="F2893" t="n">
        <v>0</v>
      </c>
      <c r="G2893" t="inlineStr">
        <is>
          <t>Tech A</t>
        </is>
      </c>
      <c r="H2893">
        <f>INDEX(Limits!$B$2:$B$5,MATCH(E2893,Limits!$A$2:$A$5,0))</f>
        <v/>
      </c>
      <c r="I2893">
        <f>INDEX(Limits!$C$2:$C$5,MATCH(E2893,Limits!$A$2:$A$5,0))</f>
        <v/>
      </c>
      <c r="J2893">
        <f>IF(F2893&gt;=I2893,"Action",IF(F2893&gt;=H2893,"Alert","Pass"))</f>
        <v/>
      </c>
      <c r="K2893" s="4">
        <f>DATE(YEAR(B2893),MONTH(B2893),1)</f>
        <v/>
      </c>
    </row>
    <row r="2894">
      <c r="A2894" t="inlineStr">
        <is>
          <t>EM002893</t>
        </is>
      </c>
      <c r="B2894" s="7" t="n">
        <v>46239</v>
      </c>
      <c r="C2894" t="inlineStr">
        <is>
          <t>CR-102</t>
        </is>
      </c>
      <c r="D2894" t="inlineStr">
        <is>
          <t>ISO 7</t>
        </is>
      </c>
      <c r="E2894" t="inlineStr">
        <is>
          <t>Active air</t>
        </is>
      </c>
      <c r="F2894" t="n">
        <v>4</v>
      </c>
      <c r="G2894" t="inlineStr">
        <is>
          <t>Tech D</t>
        </is>
      </c>
      <c r="H2894">
        <f>INDEX(Limits!$B$2:$B$5,MATCH(E2894,Limits!$A$2:$A$5,0))</f>
        <v/>
      </c>
      <c r="I2894">
        <f>INDEX(Limits!$C$2:$C$5,MATCH(E2894,Limits!$A$2:$A$5,0))</f>
        <v/>
      </c>
      <c r="J2894">
        <f>IF(F2894&gt;=I2894,"Action",IF(F2894&gt;=H2894,"Alert","Pass"))</f>
        <v/>
      </c>
      <c r="K2894" s="4">
        <f>DATE(YEAR(B2894),MONTH(B2894),1)</f>
        <v/>
      </c>
    </row>
    <row r="2895">
      <c r="A2895" t="inlineStr">
        <is>
          <t>EM002894</t>
        </is>
      </c>
      <c r="B2895" s="7" t="n">
        <v>46239</v>
      </c>
      <c r="C2895" t="inlineStr">
        <is>
          <t>CR-102</t>
        </is>
      </c>
      <c r="D2895" t="inlineStr">
        <is>
          <t>ISO 7</t>
        </is>
      </c>
      <c r="E2895" t="inlineStr">
        <is>
          <t>Surface contact</t>
        </is>
      </c>
      <c r="F2895" t="n">
        <v>0</v>
      </c>
      <c r="G2895" t="inlineStr">
        <is>
          <t>Tech D</t>
        </is>
      </c>
      <c r="H2895">
        <f>INDEX(Limits!$B$2:$B$5,MATCH(E2895,Limits!$A$2:$A$5,0))</f>
        <v/>
      </c>
      <c r="I2895">
        <f>INDEX(Limits!$C$2:$C$5,MATCH(E2895,Limits!$A$2:$A$5,0))</f>
        <v/>
      </c>
      <c r="J2895">
        <f>IF(F2895&gt;=I2895,"Action",IF(F2895&gt;=H2895,"Alert","Pass"))</f>
        <v/>
      </c>
      <c r="K2895" s="4">
        <f>DATE(YEAR(B2895),MONTH(B2895),1)</f>
        <v/>
      </c>
    </row>
    <row r="2896">
      <c r="A2896" t="inlineStr">
        <is>
          <t>EM002895</t>
        </is>
      </c>
      <c r="B2896" s="7" t="n">
        <v>46239</v>
      </c>
      <c r="C2896" t="inlineStr">
        <is>
          <t>CR-102</t>
        </is>
      </c>
      <c r="D2896" t="inlineStr">
        <is>
          <t>ISO 7</t>
        </is>
      </c>
      <c r="E2896" t="inlineStr">
        <is>
          <t>Compressed air</t>
        </is>
      </c>
      <c r="F2896" t="n">
        <v>0</v>
      </c>
      <c r="G2896" t="inlineStr">
        <is>
          <t>Tech D</t>
        </is>
      </c>
      <c r="H2896">
        <f>INDEX(Limits!$B$2:$B$5,MATCH(E2896,Limits!$A$2:$A$5,0))</f>
        <v/>
      </c>
      <c r="I2896">
        <f>INDEX(Limits!$C$2:$C$5,MATCH(E2896,Limits!$A$2:$A$5,0))</f>
        <v/>
      </c>
      <c r="J2896">
        <f>IF(F2896&gt;=I2896,"Action",IF(F2896&gt;=H2896,"Alert","Pass"))</f>
        <v/>
      </c>
      <c r="K2896" s="4">
        <f>DATE(YEAR(B2896),MONTH(B2896),1)</f>
        <v/>
      </c>
    </row>
    <row r="2897">
      <c r="A2897" t="inlineStr">
        <is>
          <t>EM002896</t>
        </is>
      </c>
      <c r="B2897" s="7" t="n">
        <v>46239</v>
      </c>
      <c r="C2897" t="inlineStr">
        <is>
          <t>CR-102</t>
        </is>
      </c>
      <c r="D2897" t="inlineStr">
        <is>
          <t>ISO 7</t>
        </is>
      </c>
      <c r="E2897" t="inlineStr">
        <is>
          <t>Personnel glove</t>
        </is>
      </c>
      <c r="F2897" t="n">
        <v>0</v>
      </c>
      <c r="G2897" t="inlineStr">
        <is>
          <t>Tech B</t>
        </is>
      </c>
      <c r="H2897">
        <f>INDEX(Limits!$B$2:$B$5,MATCH(E2897,Limits!$A$2:$A$5,0))</f>
        <v/>
      </c>
      <c r="I2897">
        <f>INDEX(Limits!$C$2:$C$5,MATCH(E2897,Limits!$A$2:$A$5,0))</f>
        <v/>
      </c>
      <c r="J2897">
        <f>IF(F2897&gt;=I2897,"Action",IF(F2897&gt;=H2897,"Alert","Pass"))</f>
        <v/>
      </c>
      <c r="K2897" s="4">
        <f>DATE(YEAR(B2897),MONTH(B2897),1)</f>
        <v/>
      </c>
    </row>
    <row r="2898">
      <c r="A2898" t="inlineStr">
        <is>
          <t>EM002897</t>
        </is>
      </c>
      <c r="B2898" s="7" t="n">
        <v>46239</v>
      </c>
      <c r="C2898" t="inlineStr">
        <is>
          <t>CR-201</t>
        </is>
      </c>
      <c r="D2898" t="inlineStr">
        <is>
          <t>ISO 8</t>
        </is>
      </c>
      <c r="E2898" t="inlineStr">
        <is>
          <t>Active air</t>
        </is>
      </c>
      <c r="F2898" t="n">
        <v>1</v>
      </c>
      <c r="G2898" t="inlineStr">
        <is>
          <t>Tech A</t>
        </is>
      </c>
      <c r="H2898">
        <f>INDEX(Limits!$B$2:$B$5,MATCH(E2898,Limits!$A$2:$A$5,0))</f>
        <v/>
      </c>
      <c r="I2898">
        <f>INDEX(Limits!$C$2:$C$5,MATCH(E2898,Limits!$A$2:$A$5,0))</f>
        <v/>
      </c>
      <c r="J2898">
        <f>IF(F2898&gt;=I2898,"Action",IF(F2898&gt;=H2898,"Alert","Pass"))</f>
        <v/>
      </c>
      <c r="K2898" s="4">
        <f>DATE(YEAR(B2898),MONTH(B2898),1)</f>
        <v/>
      </c>
    </row>
    <row r="2899">
      <c r="A2899" t="inlineStr">
        <is>
          <t>EM002898</t>
        </is>
      </c>
      <c r="B2899" s="7" t="n">
        <v>46239</v>
      </c>
      <c r="C2899" t="inlineStr">
        <is>
          <t>CR-201</t>
        </is>
      </c>
      <c r="D2899" t="inlineStr">
        <is>
          <t>ISO 8</t>
        </is>
      </c>
      <c r="E2899" t="inlineStr">
        <is>
          <t>Surface contact</t>
        </is>
      </c>
      <c r="F2899" t="n">
        <v>0</v>
      </c>
      <c r="G2899" t="inlineStr">
        <is>
          <t>Tech C</t>
        </is>
      </c>
      <c r="H2899">
        <f>INDEX(Limits!$B$2:$B$5,MATCH(E2899,Limits!$A$2:$A$5,0))</f>
        <v/>
      </c>
      <c r="I2899">
        <f>INDEX(Limits!$C$2:$C$5,MATCH(E2899,Limits!$A$2:$A$5,0))</f>
        <v/>
      </c>
      <c r="J2899">
        <f>IF(F2899&gt;=I2899,"Action",IF(F2899&gt;=H2899,"Alert","Pass"))</f>
        <v/>
      </c>
      <c r="K2899" s="4">
        <f>DATE(YEAR(B2899),MONTH(B2899),1)</f>
        <v/>
      </c>
    </row>
    <row r="2900">
      <c r="A2900" t="inlineStr">
        <is>
          <t>EM002899</t>
        </is>
      </c>
      <c r="B2900" s="7" t="n">
        <v>46239</v>
      </c>
      <c r="C2900" t="inlineStr">
        <is>
          <t>CR-201</t>
        </is>
      </c>
      <c r="D2900" t="inlineStr">
        <is>
          <t>ISO 8</t>
        </is>
      </c>
      <c r="E2900" t="inlineStr">
        <is>
          <t>Compressed air</t>
        </is>
      </c>
      <c r="F2900" t="n">
        <v>0</v>
      </c>
      <c r="G2900" t="inlineStr">
        <is>
          <t>Tech D</t>
        </is>
      </c>
      <c r="H2900">
        <f>INDEX(Limits!$B$2:$B$5,MATCH(E2900,Limits!$A$2:$A$5,0))</f>
        <v/>
      </c>
      <c r="I2900">
        <f>INDEX(Limits!$C$2:$C$5,MATCH(E2900,Limits!$A$2:$A$5,0))</f>
        <v/>
      </c>
      <c r="J2900">
        <f>IF(F2900&gt;=I2900,"Action",IF(F2900&gt;=H2900,"Alert","Pass"))</f>
        <v/>
      </c>
      <c r="K2900" s="4">
        <f>DATE(YEAR(B2900),MONTH(B2900),1)</f>
        <v/>
      </c>
    </row>
    <row r="2901">
      <c r="A2901" t="inlineStr">
        <is>
          <t>EM002900</t>
        </is>
      </c>
      <c r="B2901" s="7" t="n">
        <v>46239</v>
      </c>
      <c r="C2901" t="inlineStr">
        <is>
          <t>CR-201</t>
        </is>
      </c>
      <c r="D2901" t="inlineStr">
        <is>
          <t>ISO 8</t>
        </is>
      </c>
      <c r="E2901" t="inlineStr">
        <is>
          <t>Personnel glove</t>
        </is>
      </c>
      <c r="F2901" t="n">
        <v>0</v>
      </c>
      <c r="G2901" t="inlineStr">
        <is>
          <t>Tech A</t>
        </is>
      </c>
      <c r="H2901">
        <f>INDEX(Limits!$B$2:$B$5,MATCH(E2901,Limits!$A$2:$A$5,0))</f>
        <v/>
      </c>
      <c r="I2901">
        <f>INDEX(Limits!$C$2:$C$5,MATCH(E2901,Limits!$A$2:$A$5,0))</f>
        <v/>
      </c>
      <c r="J2901">
        <f>IF(F2901&gt;=I2901,"Action",IF(F2901&gt;=H2901,"Alert","Pass"))</f>
        <v/>
      </c>
      <c r="K2901" s="4">
        <f>DATE(YEAR(B2901),MONTH(B2901),1)</f>
        <v/>
      </c>
    </row>
    <row r="2902">
      <c r="A2902" t="inlineStr">
        <is>
          <t>EM002901</t>
        </is>
      </c>
      <c r="B2902" s="7" t="n">
        <v>46239</v>
      </c>
      <c r="C2902" t="inlineStr">
        <is>
          <t>CR-202</t>
        </is>
      </c>
      <c r="D2902" t="inlineStr">
        <is>
          <t>ISO 8</t>
        </is>
      </c>
      <c r="E2902" t="inlineStr">
        <is>
          <t>Active air</t>
        </is>
      </c>
      <c r="F2902" t="n">
        <v>2</v>
      </c>
      <c r="G2902" t="inlineStr">
        <is>
          <t>Tech D</t>
        </is>
      </c>
      <c r="H2902">
        <f>INDEX(Limits!$B$2:$B$5,MATCH(E2902,Limits!$A$2:$A$5,0))</f>
        <v/>
      </c>
      <c r="I2902">
        <f>INDEX(Limits!$C$2:$C$5,MATCH(E2902,Limits!$A$2:$A$5,0))</f>
        <v/>
      </c>
      <c r="J2902">
        <f>IF(F2902&gt;=I2902,"Action",IF(F2902&gt;=H2902,"Alert","Pass"))</f>
        <v/>
      </c>
      <c r="K2902" s="4">
        <f>DATE(YEAR(B2902),MONTH(B2902),1)</f>
        <v/>
      </c>
    </row>
    <row r="2903">
      <c r="A2903" t="inlineStr">
        <is>
          <t>EM002902</t>
        </is>
      </c>
      <c r="B2903" s="7" t="n">
        <v>46239</v>
      </c>
      <c r="C2903" t="inlineStr">
        <is>
          <t>CR-202</t>
        </is>
      </c>
      <c r="D2903" t="inlineStr">
        <is>
          <t>ISO 8</t>
        </is>
      </c>
      <c r="E2903" t="inlineStr">
        <is>
          <t>Surface contact</t>
        </is>
      </c>
      <c r="F2903" t="n">
        <v>3</v>
      </c>
      <c r="G2903" t="inlineStr">
        <is>
          <t>Tech C</t>
        </is>
      </c>
      <c r="H2903">
        <f>INDEX(Limits!$B$2:$B$5,MATCH(E2903,Limits!$A$2:$A$5,0))</f>
        <v/>
      </c>
      <c r="I2903">
        <f>INDEX(Limits!$C$2:$C$5,MATCH(E2903,Limits!$A$2:$A$5,0))</f>
        <v/>
      </c>
      <c r="J2903">
        <f>IF(F2903&gt;=I2903,"Action",IF(F2903&gt;=H2903,"Alert","Pass"))</f>
        <v/>
      </c>
      <c r="K2903" s="4">
        <f>DATE(YEAR(B2903),MONTH(B2903),1)</f>
        <v/>
      </c>
    </row>
    <row r="2904">
      <c r="A2904" t="inlineStr">
        <is>
          <t>EM002903</t>
        </is>
      </c>
      <c r="B2904" s="7" t="n">
        <v>46239</v>
      </c>
      <c r="C2904" t="inlineStr">
        <is>
          <t>CR-202</t>
        </is>
      </c>
      <c r="D2904" t="inlineStr">
        <is>
          <t>ISO 8</t>
        </is>
      </c>
      <c r="E2904" t="inlineStr">
        <is>
          <t>Compressed air</t>
        </is>
      </c>
      <c r="F2904" t="n">
        <v>0</v>
      </c>
      <c r="G2904" t="inlineStr">
        <is>
          <t>Tech C</t>
        </is>
      </c>
      <c r="H2904">
        <f>INDEX(Limits!$B$2:$B$5,MATCH(E2904,Limits!$A$2:$A$5,0))</f>
        <v/>
      </c>
      <c r="I2904">
        <f>INDEX(Limits!$C$2:$C$5,MATCH(E2904,Limits!$A$2:$A$5,0))</f>
        <v/>
      </c>
      <c r="J2904">
        <f>IF(F2904&gt;=I2904,"Action",IF(F2904&gt;=H2904,"Alert","Pass"))</f>
        <v/>
      </c>
      <c r="K2904" s="4">
        <f>DATE(YEAR(B2904),MONTH(B2904),1)</f>
        <v/>
      </c>
    </row>
    <row r="2905">
      <c r="A2905" t="inlineStr">
        <is>
          <t>EM002904</t>
        </is>
      </c>
      <c r="B2905" s="7" t="n">
        <v>46239</v>
      </c>
      <c r="C2905" t="inlineStr">
        <is>
          <t>CR-202</t>
        </is>
      </c>
      <c r="D2905" t="inlineStr">
        <is>
          <t>ISO 8</t>
        </is>
      </c>
      <c r="E2905" t="inlineStr">
        <is>
          <t>Personnel glove</t>
        </is>
      </c>
      <c r="F2905" t="n">
        <v>1</v>
      </c>
      <c r="G2905" t="inlineStr">
        <is>
          <t>Tech C</t>
        </is>
      </c>
      <c r="H2905">
        <f>INDEX(Limits!$B$2:$B$5,MATCH(E2905,Limits!$A$2:$A$5,0))</f>
        <v/>
      </c>
      <c r="I2905">
        <f>INDEX(Limits!$C$2:$C$5,MATCH(E2905,Limits!$A$2:$A$5,0))</f>
        <v/>
      </c>
      <c r="J2905">
        <f>IF(F2905&gt;=I2905,"Action",IF(F2905&gt;=H2905,"Alert","Pass"))</f>
        <v/>
      </c>
      <c r="K2905" s="4">
        <f>DATE(YEAR(B2905),MONTH(B2905),1)</f>
        <v/>
      </c>
    </row>
    <row r="2906">
      <c r="A2906" t="inlineStr">
        <is>
          <t>EM002905</t>
        </is>
      </c>
      <c r="B2906" s="7" t="n">
        <v>46239</v>
      </c>
      <c r="C2906" t="inlineStr">
        <is>
          <t>Gowning</t>
        </is>
      </c>
      <c r="D2906" t="inlineStr">
        <is>
          <t>ISO 8</t>
        </is>
      </c>
      <c r="E2906" t="inlineStr">
        <is>
          <t>Active air</t>
        </is>
      </c>
      <c r="F2906" t="n">
        <v>2</v>
      </c>
      <c r="G2906" t="inlineStr">
        <is>
          <t>Tech A</t>
        </is>
      </c>
      <c r="H2906">
        <f>INDEX(Limits!$B$2:$B$5,MATCH(E2906,Limits!$A$2:$A$5,0))</f>
        <v/>
      </c>
      <c r="I2906">
        <f>INDEX(Limits!$C$2:$C$5,MATCH(E2906,Limits!$A$2:$A$5,0))</f>
        <v/>
      </c>
      <c r="J2906">
        <f>IF(F2906&gt;=I2906,"Action",IF(F2906&gt;=H2906,"Alert","Pass"))</f>
        <v/>
      </c>
      <c r="K2906" s="4">
        <f>DATE(YEAR(B2906),MONTH(B2906),1)</f>
        <v/>
      </c>
    </row>
    <row r="2907">
      <c r="A2907" t="inlineStr">
        <is>
          <t>EM002906</t>
        </is>
      </c>
      <c r="B2907" s="7" t="n">
        <v>46239</v>
      </c>
      <c r="C2907" t="inlineStr">
        <is>
          <t>Gowning</t>
        </is>
      </c>
      <c r="D2907" t="inlineStr">
        <is>
          <t>ISO 8</t>
        </is>
      </c>
      <c r="E2907" t="inlineStr">
        <is>
          <t>Surface contact</t>
        </is>
      </c>
      <c r="F2907" t="n">
        <v>3</v>
      </c>
      <c r="G2907" t="inlineStr">
        <is>
          <t>Tech D</t>
        </is>
      </c>
      <c r="H2907">
        <f>INDEX(Limits!$B$2:$B$5,MATCH(E2907,Limits!$A$2:$A$5,0))</f>
        <v/>
      </c>
      <c r="I2907">
        <f>INDEX(Limits!$C$2:$C$5,MATCH(E2907,Limits!$A$2:$A$5,0))</f>
        <v/>
      </c>
      <c r="J2907">
        <f>IF(F2907&gt;=I2907,"Action",IF(F2907&gt;=H2907,"Alert","Pass"))</f>
        <v/>
      </c>
      <c r="K2907" s="4">
        <f>DATE(YEAR(B2907),MONTH(B2907),1)</f>
        <v/>
      </c>
    </row>
    <row r="2908">
      <c r="A2908" t="inlineStr">
        <is>
          <t>EM002907</t>
        </is>
      </c>
      <c r="B2908" s="7" t="n">
        <v>46239</v>
      </c>
      <c r="C2908" t="inlineStr">
        <is>
          <t>Gowning</t>
        </is>
      </c>
      <c r="D2908" t="inlineStr">
        <is>
          <t>ISO 8</t>
        </is>
      </c>
      <c r="E2908" t="inlineStr">
        <is>
          <t>Personnel glove</t>
        </is>
      </c>
      <c r="F2908" t="n">
        <v>0</v>
      </c>
      <c r="G2908" t="inlineStr">
        <is>
          <t>Tech D</t>
        </is>
      </c>
      <c r="H2908">
        <f>INDEX(Limits!$B$2:$B$5,MATCH(E2908,Limits!$A$2:$A$5,0))</f>
        <v/>
      </c>
      <c r="I2908">
        <f>INDEX(Limits!$C$2:$C$5,MATCH(E2908,Limits!$A$2:$A$5,0))</f>
        <v/>
      </c>
      <c r="J2908">
        <f>IF(F2908&gt;=I2908,"Action",IF(F2908&gt;=H2908,"Alert","Pass"))</f>
        <v/>
      </c>
      <c r="K2908" s="4">
        <f>DATE(YEAR(B2908),MONTH(B2908),1)</f>
        <v/>
      </c>
    </row>
    <row r="2909">
      <c r="A2909" t="inlineStr">
        <is>
          <t>EM002908</t>
        </is>
      </c>
      <c r="B2909" s="7" t="n">
        <v>46240</v>
      </c>
      <c r="C2909" t="inlineStr">
        <is>
          <t>CR-101</t>
        </is>
      </c>
      <c r="D2909" t="inlineStr">
        <is>
          <t>ISO 7</t>
        </is>
      </c>
      <c r="E2909" t="inlineStr">
        <is>
          <t>Active air</t>
        </is>
      </c>
      <c r="F2909" t="n">
        <v>0</v>
      </c>
      <c r="G2909" t="inlineStr">
        <is>
          <t>Tech C</t>
        </is>
      </c>
      <c r="H2909">
        <f>INDEX(Limits!$B$2:$B$5,MATCH(E2909,Limits!$A$2:$A$5,0))</f>
        <v/>
      </c>
      <c r="I2909">
        <f>INDEX(Limits!$C$2:$C$5,MATCH(E2909,Limits!$A$2:$A$5,0))</f>
        <v/>
      </c>
      <c r="J2909">
        <f>IF(F2909&gt;=I2909,"Action",IF(F2909&gt;=H2909,"Alert","Pass"))</f>
        <v/>
      </c>
      <c r="K2909" s="4">
        <f>DATE(YEAR(B2909),MONTH(B2909),1)</f>
        <v/>
      </c>
    </row>
    <row r="2910">
      <c r="A2910" t="inlineStr">
        <is>
          <t>EM002909</t>
        </is>
      </c>
      <c r="B2910" s="7" t="n">
        <v>46240</v>
      </c>
      <c r="C2910" t="inlineStr">
        <is>
          <t>CR-101</t>
        </is>
      </c>
      <c r="D2910" t="inlineStr">
        <is>
          <t>ISO 7</t>
        </is>
      </c>
      <c r="E2910" t="inlineStr">
        <is>
          <t>Surface contact</t>
        </is>
      </c>
      <c r="F2910" t="n">
        <v>2</v>
      </c>
      <c r="G2910" t="inlineStr">
        <is>
          <t>Tech D</t>
        </is>
      </c>
      <c r="H2910">
        <f>INDEX(Limits!$B$2:$B$5,MATCH(E2910,Limits!$A$2:$A$5,0))</f>
        <v/>
      </c>
      <c r="I2910">
        <f>INDEX(Limits!$C$2:$C$5,MATCH(E2910,Limits!$A$2:$A$5,0))</f>
        <v/>
      </c>
      <c r="J2910">
        <f>IF(F2910&gt;=I2910,"Action",IF(F2910&gt;=H2910,"Alert","Pass"))</f>
        <v/>
      </c>
      <c r="K2910" s="4">
        <f>DATE(YEAR(B2910),MONTH(B2910),1)</f>
        <v/>
      </c>
    </row>
    <row r="2911">
      <c r="A2911" t="inlineStr">
        <is>
          <t>EM002910</t>
        </is>
      </c>
      <c r="B2911" s="7" t="n">
        <v>46240</v>
      </c>
      <c r="C2911" t="inlineStr">
        <is>
          <t>CR-101</t>
        </is>
      </c>
      <c r="D2911" t="inlineStr">
        <is>
          <t>ISO 7</t>
        </is>
      </c>
      <c r="E2911" t="inlineStr">
        <is>
          <t>Compressed air</t>
        </is>
      </c>
      <c r="F2911" t="n">
        <v>0</v>
      </c>
      <c r="G2911" t="inlineStr">
        <is>
          <t>Tech C</t>
        </is>
      </c>
      <c r="H2911">
        <f>INDEX(Limits!$B$2:$B$5,MATCH(E2911,Limits!$A$2:$A$5,0))</f>
        <v/>
      </c>
      <c r="I2911">
        <f>INDEX(Limits!$C$2:$C$5,MATCH(E2911,Limits!$A$2:$A$5,0))</f>
        <v/>
      </c>
      <c r="J2911">
        <f>IF(F2911&gt;=I2911,"Action",IF(F2911&gt;=H2911,"Alert","Pass"))</f>
        <v/>
      </c>
      <c r="K2911" s="4">
        <f>DATE(YEAR(B2911),MONTH(B2911),1)</f>
        <v/>
      </c>
    </row>
    <row r="2912">
      <c r="A2912" t="inlineStr">
        <is>
          <t>EM002911</t>
        </is>
      </c>
      <c r="B2912" s="7" t="n">
        <v>46240</v>
      </c>
      <c r="C2912" t="inlineStr">
        <is>
          <t>CR-101</t>
        </is>
      </c>
      <c r="D2912" t="inlineStr">
        <is>
          <t>ISO 7</t>
        </is>
      </c>
      <c r="E2912" t="inlineStr">
        <is>
          <t>Personnel glove</t>
        </is>
      </c>
      <c r="F2912" t="n">
        <v>0</v>
      </c>
      <c r="G2912" t="inlineStr">
        <is>
          <t>Tech A</t>
        </is>
      </c>
      <c r="H2912">
        <f>INDEX(Limits!$B$2:$B$5,MATCH(E2912,Limits!$A$2:$A$5,0))</f>
        <v/>
      </c>
      <c r="I2912">
        <f>INDEX(Limits!$C$2:$C$5,MATCH(E2912,Limits!$A$2:$A$5,0))</f>
        <v/>
      </c>
      <c r="J2912">
        <f>IF(F2912&gt;=I2912,"Action",IF(F2912&gt;=H2912,"Alert","Pass"))</f>
        <v/>
      </c>
      <c r="K2912" s="4">
        <f>DATE(YEAR(B2912),MONTH(B2912),1)</f>
        <v/>
      </c>
    </row>
    <row r="2913">
      <c r="A2913" t="inlineStr">
        <is>
          <t>EM002912</t>
        </is>
      </c>
      <c r="B2913" s="7" t="n">
        <v>46240</v>
      </c>
      <c r="C2913" t="inlineStr">
        <is>
          <t>CR-102</t>
        </is>
      </c>
      <c r="D2913" t="inlineStr">
        <is>
          <t>ISO 7</t>
        </is>
      </c>
      <c r="E2913" t="inlineStr">
        <is>
          <t>Active air</t>
        </is>
      </c>
      <c r="F2913" t="n">
        <v>1</v>
      </c>
      <c r="G2913" t="inlineStr">
        <is>
          <t>Tech A</t>
        </is>
      </c>
      <c r="H2913">
        <f>INDEX(Limits!$B$2:$B$5,MATCH(E2913,Limits!$A$2:$A$5,0))</f>
        <v/>
      </c>
      <c r="I2913">
        <f>INDEX(Limits!$C$2:$C$5,MATCH(E2913,Limits!$A$2:$A$5,0))</f>
        <v/>
      </c>
      <c r="J2913">
        <f>IF(F2913&gt;=I2913,"Action",IF(F2913&gt;=H2913,"Alert","Pass"))</f>
        <v/>
      </c>
      <c r="K2913" s="4">
        <f>DATE(YEAR(B2913),MONTH(B2913),1)</f>
        <v/>
      </c>
    </row>
    <row r="2914">
      <c r="A2914" t="inlineStr">
        <is>
          <t>EM002913</t>
        </is>
      </c>
      <c r="B2914" s="7" t="n">
        <v>46240</v>
      </c>
      <c r="C2914" t="inlineStr">
        <is>
          <t>CR-102</t>
        </is>
      </c>
      <c r="D2914" t="inlineStr">
        <is>
          <t>ISO 7</t>
        </is>
      </c>
      <c r="E2914" t="inlineStr">
        <is>
          <t>Surface contact</t>
        </is>
      </c>
      <c r="F2914" t="n">
        <v>1</v>
      </c>
      <c r="G2914" t="inlineStr">
        <is>
          <t>Tech D</t>
        </is>
      </c>
      <c r="H2914">
        <f>INDEX(Limits!$B$2:$B$5,MATCH(E2914,Limits!$A$2:$A$5,0))</f>
        <v/>
      </c>
      <c r="I2914">
        <f>INDEX(Limits!$C$2:$C$5,MATCH(E2914,Limits!$A$2:$A$5,0))</f>
        <v/>
      </c>
      <c r="J2914">
        <f>IF(F2914&gt;=I2914,"Action",IF(F2914&gt;=H2914,"Alert","Pass"))</f>
        <v/>
      </c>
      <c r="K2914" s="4">
        <f>DATE(YEAR(B2914),MONTH(B2914),1)</f>
        <v/>
      </c>
    </row>
    <row r="2915">
      <c r="A2915" t="inlineStr">
        <is>
          <t>EM002914</t>
        </is>
      </c>
      <c r="B2915" s="7" t="n">
        <v>46240</v>
      </c>
      <c r="C2915" t="inlineStr">
        <is>
          <t>CR-102</t>
        </is>
      </c>
      <c r="D2915" t="inlineStr">
        <is>
          <t>ISO 7</t>
        </is>
      </c>
      <c r="E2915" t="inlineStr">
        <is>
          <t>Compressed air</t>
        </is>
      </c>
      <c r="F2915" t="n">
        <v>0</v>
      </c>
      <c r="G2915" t="inlineStr">
        <is>
          <t>Tech A</t>
        </is>
      </c>
      <c r="H2915">
        <f>INDEX(Limits!$B$2:$B$5,MATCH(E2915,Limits!$A$2:$A$5,0))</f>
        <v/>
      </c>
      <c r="I2915">
        <f>INDEX(Limits!$C$2:$C$5,MATCH(E2915,Limits!$A$2:$A$5,0))</f>
        <v/>
      </c>
      <c r="J2915">
        <f>IF(F2915&gt;=I2915,"Action",IF(F2915&gt;=H2915,"Alert","Pass"))</f>
        <v/>
      </c>
      <c r="K2915" s="4">
        <f>DATE(YEAR(B2915),MONTH(B2915),1)</f>
        <v/>
      </c>
    </row>
    <row r="2916">
      <c r="A2916" t="inlineStr">
        <is>
          <t>EM002915</t>
        </is>
      </c>
      <c r="B2916" s="7" t="n">
        <v>46240</v>
      </c>
      <c r="C2916" t="inlineStr">
        <is>
          <t>CR-102</t>
        </is>
      </c>
      <c r="D2916" t="inlineStr">
        <is>
          <t>ISO 7</t>
        </is>
      </c>
      <c r="E2916" t="inlineStr">
        <is>
          <t>Personnel glove</t>
        </is>
      </c>
      <c r="F2916" t="n">
        <v>0</v>
      </c>
      <c r="G2916" t="inlineStr">
        <is>
          <t>Tech A</t>
        </is>
      </c>
      <c r="H2916">
        <f>INDEX(Limits!$B$2:$B$5,MATCH(E2916,Limits!$A$2:$A$5,0))</f>
        <v/>
      </c>
      <c r="I2916">
        <f>INDEX(Limits!$C$2:$C$5,MATCH(E2916,Limits!$A$2:$A$5,0))</f>
        <v/>
      </c>
      <c r="J2916">
        <f>IF(F2916&gt;=I2916,"Action",IF(F2916&gt;=H2916,"Alert","Pass"))</f>
        <v/>
      </c>
      <c r="K2916" s="4">
        <f>DATE(YEAR(B2916),MONTH(B2916),1)</f>
        <v/>
      </c>
    </row>
    <row r="2917">
      <c r="A2917" t="inlineStr">
        <is>
          <t>EM002916</t>
        </is>
      </c>
      <c r="B2917" s="7" t="n">
        <v>46240</v>
      </c>
      <c r="C2917" t="inlineStr">
        <is>
          <t>CR-201</t>
        </is>
      </c>
      <c r="D2917" t="inlineStr">
        <is>
          <t>ISO 8</t>
        </is>
      </c>
      <c r="E2917" t="inlineStr">
        <is>
          <t>Active air</t>
        </is>
      </c>
      <c r="F2917" t="n">
        <v>2</v>
      </c>
      <c r="G2917" t="inlineStr">
        <is>
          <t>Tech C</t>
        </is>
      </c>
      <c r="H2917">
        <f>INDEX(Limits!$B$2:$B$5,MATCH(E2917,Limits!$A$2:$A$5,0))</f>
        <v/>
      </c>
      <c r="I2917">
        <f>INDEX(Limits!$C$2:$C$5,MATCH(E2917,Limits!$A$2:$A$5,0))</f>
        <v/>
      </c>
      <c r="J2917">
        <f>IF(F2917&gt;=I2917,"Action",IF(F2917&gt;=H2917,"Alert","Pass"))</f>
        <v/>
      </c>
      <c r="K2917" s="4">
        <f>DATE(YEAR(B2917),MONTH(B2917),1)</f>
        <v/>
      </c>
    </row>
    <row r="2918">
      <c r="A2918" t="inlineStr">
        <is>
          <t>EM002917</t>
        </is>
      </c>
      <c r="B2918" s="7" t="n">
        <v>46240</v>
      </c>
      <c r="C2918" t="inlineStr">
        <is>
          <t>CR-201</t>
        </is>
      </c>
      <c r="D2918" t="inlineStr">
        <is>
          <t>ISO 8</t>
        </is>
      </c>
      <c r="E2918" t="inlineStr">
        <is>
          <t>Surface contact</t>
        </is>
      </c>
      <c r="F2918" t="n">
        <v>1</v>
      </c>
      <c r="G2918" t="inlineStr">
        <is>
          <t>Tech A</t>
        </is>
      </c>
      <c r="H2918">
        <f>INDEX(Limits!$B$2:$B$5,MATCH(E2918,Limits!$A$2:$A$5,0))</f>
        <v/>
      </c>
      <c r="I2918">
        <f>INDEX(Limits!$C$2:$C$5,MATCH(E2918,Limits!$A$2:$A$5,0))</f>
        <v/>
      </c>
      <c r="J2918">
        <f>IF(F2918&gt;=I2918,"Action",IF(F2918&gt;=H2918,"Alert","Pass"))</f>
        <v/>
      </c>
      <c r="K2918" s="4">
        <f>DATE(YEAR(B2918),MONTH(B2918),1)</f>
        <v/>
      </c>
    </row>
    <row r="2919">
      <c r="A2919" t="inlineStr">
        <is>
          <t>EM002918</t>
        </is>
      </c>
      <c r="B2919" s="7" t="n">
        <v>46240</v>
      </c>
      <c r="C2919" t="inlineStr">
        <is>
          <t>CR-201</t>
        </is>
      </c>
      <c r="D2919" t="inlineStr">
        <is>
          <t>ISO 8</t>
        </is>
      </c>
      <c r="E2919" t="inlineStr">
        <is>
          <t>Compressed air</t>
        </is>
      </c>
      <c r="F2919" t="n">
        <v>0</v>
      </c>
      <c r="G2919" t="inlineStr">
        <is>
          <t>Tech D</t>
        </is>
      </c>
      <c r="H2919">
        <f>INDEX(Limits!$B$2:$B$5,MATCH(E2919,Limits!$A$2:$A$5,0))</f>
        <v/>
      </c>
      <c r="I2919">
        <f>INDEX(Limits!$C$2:$C$5,MATCH(E2919,Limits!$A$2:$A$5,0))</f>
        <v/>
      </c>
      <c r="J2919">
        <f>IF(F2919&gt;=I2919,"Action",IF(F2919&gt;=H2919,"Alert","Pass"))</f>
        <v/>
      </c>
      <c r="K2919" s="4">
        <f>DATE(YEAR(B2919),MONTH(B2919),1)</f>
        <v/>
      </c>
    </row>
    <row r="2920">
      <c r="A2920" t="inlineStr">
        <is>
          <t>EM002919</t>
        </is>
      </c>
      <c r="B2920" s="7" t="n">
        <v>46240</v>
      </c>
      <c r="C2920" t="inlineStr">
        <is>
          <t>CR-201</t>
        </is>
      </c>
      <c r="D2920" t="inlineStr">
        <is>
          <t>ISO 8</t>
        </is>
      </c>
      <c r="E2920" t="inlineStr">
        <is>
          <t>Personnel glove</t>
        </is>
      </c>
      <c r="F2920" t="n">
        <v>0</v>
      </c>
      <c r="G2920" t="inlineStr">
        <is>
          <t>Tech C</t>
        </is>
      </c>
      <c r="H2920">
        <f>INDEX(Limits!$B$2:$B$5,MATCH(E2920,Limits!$A$2:$A$5,0))</f>
        <v/>
      </c>
      <c r="I2920">
        <f>INDEX(Limits!$C$2:$C$5,MATCH(E2920,Limits!$A$2:$A$5,0))</f>
        <v/>
      </c>
      <c r="J2920">
        <f>IF(F2920&gt;=I2920,"Action",IF(F2920&gt;=H2920,"Alert","Pass"))</f>
        <v/>
      </c>
      <c r="K2920" s="4">
        <f>DATE(YEAR(B2920),MONTH(B2920),1)</f>
        <v/>
      </c>
    </row>
    <row r="2921">
      <c r="A2921" t="inlineStr">
        <is>
          <t>EM002920</t>
        </is>
      </c>
      <c r="B2921" s="7" t="n">
        <v>46240</v>
      </c>
      <c r="C2921" t="inlineStr">
        <is>
          <t>CR-202</t>
        </is>
      </c>
      <c r="D2921" t="inlineStr">
        <is>
          <t>ISO 8</t>
        </is>
      </c>
      <c r="E2921" t="inlineStr">
        <is>
          <t>Active air</t>
        </is>
      </c>
      <c r="F2921" t="n">
        <v>5</v>
      </c>
      <c r="G2921" t="inlineStr">
        <is>
          <t>Tech D</t>
        </is>
      </c>
      <c r="H2921">
        <f>INDEX(Limits!$B$2:$B$5,MATCH(E2921,Limits!$A$2:$A$5,0))</f>
        <v/>
      </c>
      <c r="I2921">
        <f>INDEX(Limits!$C$2:$C$5,MATCH(E2921,Limits!$A$2:$A$5,0))</f>
        <v/>
      </c>
      <c r="J2921">
        <f>IF(F2921&gt;=I2921,"Action",IF(F2921&gt;=H2921,"Alert","Pass"))</f>
        <v/>
      </c>
      <c r="K2921" s="4">
        <f>DATE(YEAR(B2921),MONTH(B2921),1)</f>
        <v/>
      </c>
    </row>
    <row r="2922">
      <c r="A2922" t="inlineStr">
        <is>
          <t>EM002921</t>
        </is>
      </c>
      <c r="B2922" s="7" t="n">
        <v>46240</v>
      </c>
      <c r="C2922" t="inlineStr">
        <is>
          <t>CR-202</t>
        </is>
      </c>
      <c r="D2922" t="inlineStr">
        <is>
          <t>ISO 8</t>
        </is>
      </c>
      <c r="E2922" t="inlineStr">
        <is>
          <t>Surface contact</t>
        </is>
      </c>
      <c r="F2922" t="n">
        <v>0</v>
      </c>
      <c r="G2922" t="inlineStr">
        <is>
          <t>Tech D</t>
        </is>
      </c>
      <c r="H2922">
        <f>INDEX(Limits!$B$2:$B$5,MATCH(E2922,Limits!$A$2:$A$5,0))</f>
        <v/>
      </c>
      <c r="I2922">
        <f>INDEX(Limits!$C$2:$C$5,MATCH(E2922,Limits!$A$2:$A$5,0))</f>
        <v/>
      </c>
      <c r="J2922">
        <f>IF(F2922&gt;=I2922,"Action",IF(F2922&gt;=H2922,"Alert","Pass"))</f>
        <v/>
      </c>
      <c r="K2922" s="4">
        <f>DATE(YEAR(B2922),MONTH(B2922),1)</f>
        <v/>
      </c>
    </row>
    <row r="2923">
      <c r="A2923" t="inlineStr">
        <is>
          <t>EM002922</t>
        </is>
      </c>
      <c r="B2923" s="7" t="n">
        <v>46240</v>
      </c>
      <c r="C2923" t="inlineStr">
        <is>
          <t>CR-202</t>
        </is>
      </c>
      <c r="D2923" t="inlineStr">
        <is>
          <t>ISO 8</t>
        </is>
      </c>
      <c r="E2923" t="inlineStr">
        <is>
          <t>Compressed air</t>
        </is>
      </c>
      <c r="F2923" t="n">
        <v>0</v>
      </c>
      <c r="G2923" t="inlineStr">
        <is>
          <t>Tech B</t>
        </is>
      </c>
      <c r="H2923">
        <f>INDEX(Limits!$B$2:$B$5,MATCH(E2923,Limits!$A$2:$A$5,0))</f>
        <v/>
      </c>
      <c r="I2923">
        <f>INDEX(Limits!$C$2:$C$5,MATCH(E2923,Limits!$A$2:$A$5,0))</f>
        <v/>
      </c>
      <c r="J2923">
        <f>IF(F2923&gt;=I2923,"Action",IF(F2923&gt;=H2923,"Alert","Pass"))</f>
        <v/>
      </c>
      <c r="K2923" s="4">
        <f>DATE(YEAR(B2923),MONTH(B2923),1)</f>
        <v/>
      </c>
    </row>
    <row r="2924">
      <c r="A2924" t="inlineStr">
        <is>
          <t>EM002923</t>
        </is>
      </c>
      <c r="B2924" s="7" t="n">
        <v>46240</v>
      </c>
      <c r="C2924" t="inlineStr">
        <is>
          <t>CR-202</t>
        </is>
      </c>
      <c r="D2924" t="inlineStr">
        <is>
          <t>ISO 8</t>
        </is>
      </c>
      <c r="E2924" t="inlineStr">
        <is>
          <t>Personnel glove</t>
        </is>
      </c>
      <c r="F2924" t="n">
        <v>1</v>
      </c>
      <c r="G2924" t="inlineStr">
        <is>
          <t>Tech C</t>
        </is>
      </c>
      <c r="H2924">
        <f>INDEX(Limits!$B$2:$B$5,MATCH(E2924,Limits!$A$2:$A$5,0))</f>
        <v/>
      </c>
      <c r="I2924">
        <f>INDEX(Limits!$C$2:$C$5,MATCH(E2924,Limits!$A$2:$A$5,0))</f>
        <v/>
      </c>
      <c r="J2924">
        <f>IF(F2924&gt;=I2924,"Action",IF(F2924&gt;=H2924,"Alert","Pass"))</f>
        <v/>
      </c>
      <c r="K2924" s="4">
        <f>DATE(YEAR(B2924),MONTH(B2924),1)</f>
        <v/>
      </c>
    </row>
    <row r="2925">
      <c r="A2925" t="inlineStr">
        <is>
          <t>EM002924</t>
        </is>
      </c>
      <c r="B2925" s="7" t="n">
        <v>46240</v>
      </c>
      <c r="C2925" t="inlineStr">
        <is>
          <t>Gowning</t>
        </is>
      </c>
      <c r="D2925" t="inlineStr">
        <is>
          <t>ISO 8</t>
        </is>
      </c>
      <c r="E2925" t="inlineStr">
        <is>
          <t>Active air</t>
        </is>
      </c>
      <c r="F2925" t="n">
        <v>3</v>
      </c>
      <c r="G2925" t="inlineStr">
        <is>
          <t>Tech C</t>
        </is>
      </c>
      <c r="H2925">
        <f>INDEX(Limits!$B$2:$B$5,MATCH(E2925,Limits!$A$2:$A$5,0))</f>
        <v/>
      </c>
      <c r="I2925">
        <f>INDEX(Limits!$C$2:$C$5,MATCH(E2925,Limits!$A$2:$A$5,0))</f>
        <v/>
      </c>
      <c r="J2925">
        <f>IF(F2925&gt;=I2925,"Action",IF(F2925&gt;=H2925,"Alert","Pass"))</f>
        <v/>
      </c>
      <c r="K2925" s="4">
        <f>DATE(YEAR(B2925),MONTH(B2925),1)</f>
        <v/>
      </c>
    </row>
    <row r="2926">
      <c r="A2926" t="inlineStr">
        <is>
          <t>EM002925</t>
        </is>
      </c>
      <c r="B2926" s="7" t="n">
        <v>46240</v>
      </c>
      <c r="C2926" t="inlineStr">
        <is>
          <t>Gowning</t>
        </is>
      </c>
      <c r="D2926" t="inlineStr">
        <is>
          <t>ISO 8</t>
        </is>
      </c>
      <c r="E2926" t="inlineStr">
        <is>
          <t>Surface contact</t>
        </is>
      </c>
      <c r="F2926" t="n">
        <v>0</v>
      </c>
      <c r="G2926" t="inlineStr">
        <is>
          <t>Tech B</t>
        </is>
      </c>
      <c r="H2926">
        <f>INDEX(Limits!$B$2:$B$5,MATCH(E2926,Limits!$A$2:$A$5,0))</f>
        <v/>
      </c>
      <c r="I2926">
        <f>INDEX(Limits!$C$2:$C$5,MATCH(E2926,Limits!$A$2:$A$5,0))</f>
        <v/>
      </c>
      <c r="J2926">
        <f>IF(F2926&gt;=I2926,"Action",IF(F2926&gt;=H2926,"Alert","Pass"))</f>
        <v/>
      </c>
      <c r="K2926" s="4">
        <f>DATE(YEAR(B2926),MONTH(B2926),1)</f>
        <v/>
      </c>
    </row>
    <row r="2927">
      <c r="A2927" t="inlineStr">
        <is>
          <t>EM002926</t>
        </is>
      </c>
      <c r="B2927" s="7" t="n">
        <v>46240</v>
      </c>
      <c r="C2927" t="inlineStr">
        <is>
          <t>Gowning</t>
        </is>
      </c>
      <c r="D2927" t="inlineStr">
        <is>
          <t>ISO 8</t>
        </is>
      </c>
      <c r="E2927" t="inlineStr">
        <is>
          <t>Personnel glove</t>
        </is>
      </c>
      <c r="F2927" t="n">
        <v>0</v>
      </c>
      <c r="G2927" t="inlineStr">
        <is>
          <t>Tech D</t>
        </is>
      </c>
      <c r="H2927">
        <f>INDEX(Limits!$B$2:$B$5,MATCH(E2927,Limits!$A$2:$A$5,0))</f>
        <v/>
      </c>
      <c r="I2927">
        <f>INDEX(Limits!$C$2:$C$5,MATCH(E2927,Limits!$A$2:$A$5,0))</f>
        <v/>
      </c>
      <c r="J2927">
        <f>IF(F2927&gt;=I2927,"Action",IF(F2927&gt;=H2927,"Alert","Pass"))</f>
        <v/>
      </c>
      <c r="K2927" s="4">
        <f>DATE(YEAR(B2927),MONTH(B2927),1)</f>
        <v/>
      </c>
    </row>
    <row r="2928">
      <c r="A2928" t="inlineStr">
        <is>
          <t>EM002927</t>
        </is>
      </c>
      <c r="B2928" s="7" t="n">
        <v>46241</v>
      </c>
      <c r="C2928" t="inlineStr">
        <is>
          <t>CR-101</t>
        </is>
      </c>
      <c r="D2928" t="inlineStr">
        <is>
          <t>ISO 7</t>
        </is>
      </c>
      <c r="E2928" t="inlineStr">
        <is>
          <t>Active air</t>
        </is>
      </c>
      <c r="F2928" t="n">
        <v>3</v>
      </c>
      <c r="G2928" t="inlineStr">
        <is>
          <t>Tech C</t>
        </is>
      </c>
      <c r="H2928">
        <f>INDEX(Limits!$B$2:$B$5,MATCH(E2928,Limits!$A$2:$A$5,0))</f>
        <v/>
      </c>
      <c r="I2928">
        <f>INDEX(Limits!$C$2:$C$5,MATCH(E2928,Limits!$A$2:$A$5,0))</f>
        <v/>
      </c>
      <c r="J2928">
        <f>IF(F2928&gt;=I2928,"Action",IF(F2928&gt;=H2928,"Alert","Pass"))</f>
        <v/>
      </c>
      <c r="K2928" s="4">
        <f>DATE(YEAR(B2928),MONTH(B2928),1)</f>
        <v/>
      </c>
    </row>
    <row r="2929">
      <c r="A2929" t="inlineStr">
        <is>
          <t>EM002928</t>
        </is>
      </c>
      <c r="B2929" s="7" t="n">
        <v>46241</v>
      </c>
      <c r="C2929" t="inlineStr">
        <is>
          <t>CR-101</t>
        </is>
      </c>
      <c r="D2929" t="inlineStr">
        <is>
          <t>ISO 7</t>
        </is>
      </c>
      <c r="E2929" t="inlineStr">
        <is>
          <t>Surface contact</t>
        </is>
      </c>
      <c r="F2929" t="n">
        <v>1</v>
      </c>
      <c r="G2929" t="inlineStr">
        <is>
          <t>Tech A</t>
        </is>
      </c>
      <c r="H2929">
        <f>INDEX(Limits!$B$2:$B$5,MATCH(E2929,Limits!$A$2:$A$5,0))</f>
        <v/>
      </c>
      <c r="I2929">
        <f>INDEX(Limits!$C$2:$C$5,MATCH(E2929,Limits!$A$2:$A$5,0))</f>
        <v/>
      </c>
      <c r="J2929">
        <f>IF(F2929&gt;=I2929,"Action",IF(F2929&gt;=H2929,"Alert","Pass"))</f>
        <v/>
      </c>
      <c r="K2929" s="4">
        <f>DATE(YEAR(B2929),MONTH(B2929),1)</f>
        <v/>
      </c>
    </row>
    <row r="2930">
      <c r="A2930" t="inlineStr">
        <is>
          <t>EM002929</t>
        </is>
      </c>
      <c r="B2930" s="7" t="n">
        <v>46241</v>
      </c>
      <c r="C2930" t="inlineStr">
        <is>
          <t>CR-101</t>
        </is>
      </c>
      <c r="D2930" t="inlineStr">
        <is>
          <t>ISO 7</t>
        </is>
      </c>
      <c r="E2930" t="inlineStr">
        <is>
          <t>Compressed air</t>
        </is>
      </c>
      <c r="F2930" t="n">
        <v>0</v>
      </c>
      <c r="G2930" t="inlineStr">
        <is>
          <t>Tech C</t>
        </is>
      </c>
      <c r="H2930">
        <f>INDEX(Limits!$B$2:$B$5,MATCH(E2930,Limits!$A$2:$A$5,0))</f>
        <v/>
      </c>
      <c r="I2930">
        <f>INDEX(Limits!$C$2:$C$5,MATCH(E2930,Limits!$A$2:$A$5,0))</f>
        <v/>
      </c>
      <c r="J2930">
        <f>IF(F2930&gt;=I2930,"Action",IF(F2930&gt;=H2930,"Alert","Pass"))</f>
        <v/>
      </c>
      <c r="K2930" s="4">
        <f>DATE(YEAR(B2930),MONTH(B2930),1)</f>
        <v/>
      </c>
    </row>
    <row r="2931">
      <c r="A2931" t="inlineStr">
        <is>
          <t>EM002930</t>
        </is>
      </c>
      <c r="B2931" s="7" t="n">
        <v>46241</v>
      </c>
      <c r="C2931" t="inlineStr">
        <is>
          <t>CR-101</t>
        </is>
      </c>
      <c r="D2931" t="inlineStr">
        <is>
          <t>ISO 7</t>
        </is>
      </c>
      <c r="E2931" t="inlineStr">
        <is>
          <t>Personnel glove</t>
        </is>
      </c>
      <c r="F2931" t="n">
        <v>0</v>
      </c>
      <c r="G2931" t="inlineStr">
        <is>
          <t>Tech C</t>
        </is>
      </c>
      <c r="H2931">
        <f>INDEX(Limits!$B$2:$B$5,MATCH(E2931,Limits!$A$2:$A$5,0))</f>
        <v/>
      </c>
      <c r="I2931">
        <f>INDEX(Limits!$C$2:$C$5,MATCH(E2931,Limits!$A$2:$A$5,0))</f>
        <v/>
      </c>
      <c r="J2931">
        <f>IF(F2931&gt;=I2931,"Action",IF(F2931&gt;=H2931,"Alert","Pass"))</f>
        <v/>
      </c>
      <c r="K2931" s="4">
        <f>DATE(YEAR(B2931),MONTH(B2931),1)</f>
        <v/>
      </c>
    </row>
    <row r="2932">
      <c r="A2932" t="inlineStr">
        <is>
          <t>EM002931</t>
        </is>
      </c>
      <c r="B2932" s="7" t="n">
        <v>46241</v>
      </c>
      <c r="C2932" t="inlineStr">
        <is>
          <t>CR-102</t>
        </is>
      </c>
      <c r="D2932" t="inlineStr">
        <is>
          <t>ISO 7</t>
        </is>
      </c>
      <c r="E2932" t="inlineStr">
        <is>
          <t>Active air</t>
        </is>
      </c>
      <c r="F2932" t="n">
        <v>1</v>
      </c>
      <c r="G2932" t="inlineStr">
        <is>
          <t>Tech D</t>
        </is>
      </c>
      <c r="H2932">
        <f>INDEX(Limits!$B$2:$B$5,MATCH(E2932,Limits!$A$2:$A$5,0))</f>
        <v/>
      </c>
      <c r="I2932">
        <f>INDEX(Limits!$C$2:$C$5,MATCH(E2932,Limits!$A$2:$A$5,0))</f>
        <v/>
      </c>
      <c r="J2932">
        <f>IF(F2932&gt;=I2932,"Action",IF(F2932&gt;=H2932,"Alert","Pass"))</f>
        <v/>
      </c>
      <c r="K2932" s="4">
        <f>DATE(YEAR(B2932),MONTH(B2932),1)</f>
        <v/>
      </c>
    </row>
    <row r="2933">
      <c r="A2933" t="inlineStr">
        <is>
          <t>EM002932</t>
        </is>
      </c>
      <c r="B2933" s="7" t="n">
        <v>46241</v>
      </c>
      <c r="C2933" t="inlineStr">
        <is>
          <t>CR-102</t>
        </is>
      </c>
      <c r="D2933" t="inlineStr">
        <is>
          <t>ISO 7</t>
        </is>
      </c>
      <c r="E2933" t="inlineStr">
        <is>
          <t>Surface contact</t>
        </is>
      </c>
      <c r="F2933" t="n">
        <v>0</v>
      </c>
      <c r="G2933" t="inlineStr">
        <is>
          <t>Tech C</t>
        </is>
      </c>
      <c r="H2933">
        <f>INDEX(Limits!$B$2:$B$5,MATCH(E2933,Limits!$A$2:$A$5,0))</f>
        <v/>
      </c>
      <c r="I2933">
        <f>INDEX(Limits!$C$2:$C$5,MATCH(E2933,Limits!$A$2:$A$5,0))</f>
        <v/>
      </c>
      <c r="J2933">
        <f>IF(F2933&gt;=I2933,"Action",IF(F2933&gt;=H2933,"Alert","Pass"))</f>
        <v/>
      </c>
      <c r="K2933" s="4">
        <f>DATE(YEAR(B2933),MONTH(B2933),1)</f>
        <v/>
      </c>
    </row>
    <row r="2934">
      <c r="A2934" t="inlineStr">
        <is>
          <t>EM002933</t>
        </is>
      </c>
      <c r="B2934" s="7" t="n">
        <v>46241</v>
      </c>
      <c r="C2934" t="inlineStr">
        <is>
          <t>CR-102</t>
        </is>
      </c>
      <c r="D2934" t="inlineStr">
        <is>
          <t>ISO 7</t>
        </is>
      </c>
      <c r="E2934" t="inlineStr">
        <is>
          <t>Compressed air</t>
        </is>
      </c>
      <c r="F2934" t="n">
        <v>0</v>
      </c>
      <c r="G2934" t="inlineStr">
        <is>
          <t>Tech B</t>
        </is>
      </c>
      <c r="H2934">
        <f>INDEX(Limits!$B$2:$B$5,MATCH(E2934,Limits!$A$2:$A$5,0))</f>
        <v/>
      </c>
      <c r="I2934">
        <f>INDEX(Limits!$C$2:$C$5,MATCH(E2934,Limits!$A$2:$A$5,0))</f>
        <v/>
      </c>
      <c r="J2934">
        <f>IF(F2934&gt;=I2934,"Action",IF(F2934&gt;=H2934,"Alert","Pass"))</f>
        <v/>
      </c>
      <c r="K2934" s="4">
        <f>DATE(YEAR(B2934),MONTH(B2934),1)</f>
        <v/>
      </c>
    </row>
    <row r="2935">
      <c r="A2935" t="inlineStr">
        <is>
          <t>EM002934</t>
        </is>
      </c>
      <c r="B2935" s="7" t="n">
        <v>46241</v>
      </c>
      <c r="C2935" t="inlineStr">
        <is>
          <t>CR-102</t>
        </is>
      </c>
      <c r="D2935" t="inlineStr">
        <is>
          <t>ISO 7</t>
        </is>
      </c>
      <c r="E2935" t="inlineStr">
        <is>
          <t>Personnel glove</t>
        </is>
      </c>
      <c r="F2935" t="n">
        <v>0</v>
      </c>
      <c r="G2935" t="inlineStr">
        <is>
          <t>Tech A</t>
        </is>
      </c>
      <c r="H2935">
        <f>INDEX(Limits!$B$2:$B$5,MATCH(E2935,Limits!$A$2:$A$5,0))</f>
        <v/>
      </c>
      <c r="I2935">
        <f>INDEX(Limits!$C$2:$C$5,MATCH(E2935,Limits!$A$2:$A$5,0))</f>
        <v/>
      </c>
      <c r="J2935">
        <f>IF(F2935&gt;=I2935,"Action",IF(F2935&gt;=H2935,"Alert","Pass"))</f>
        <v/>
      </c>
      <c r="K2935" s="4">
        <f>DATE(YEAR(B2935),MONTH(B2935),1)</f>
        <v/>
      </c>
    </row>
    <row r="2936">
      <c r="A2936" t="inlineStr">
        <is>
          <t>EM002935</t>
        </is>
      </c>
      <c r="B2936" s="7" t="n">
        <v>46241</v>
      </c>
      <c r="C2936" t="inlineStr">
        <is>
          <t>CR-201</t>
        </is>
      </c>
      <c r="D2936" t="inlineStr">
        <is>
          <t>ISO 8</t>
        </is>
      </c>
      <c r="E2936" t="inlineStr">
        <is>
          <t>Active air</t>
        </is>
      </c>
      <c r="F2936" t="n">
        <v>4</v>
      </c>
      <c r="G2936" t="inlineStr">
        <is>
          <t>Tech C</t>
        </is>
      </c>
      <c r="H2936">
        <f>INDEX(Limits!$B$2:$B$5,MATCH(E2936,Limits!$A$2:$A$5,0))</f>
        <v/>
      </c>
      <c r="I2936">
        <f>INDEX(Limits!$C$2:$C$5,MATCH(E2936,Limits!$A$2:$A$5,0))</f>
        <v/>
      </c>
      <c r="J2936">
        <f>IF(F2936&gt;=I2936,"Action",IF(F2936&gt;=H2936,"Alert","Pass"))</f>
        <v/>
      </c>
      <c r="K2936" s="4">
        <f>DATE(YEAR(B2936),MONTH(B2936),1)</f>
        <v/>
      </c>
    </row>
    <row r="2937">
      <c r="A2937" t="inlineStr">
        <is>
          <t>EM002936</t>
        </is>
      </c>
      <c r="B2937" s="7" t="n">
        <v>46241</v>
      </c>
      <c r="C2937" t="inlineStr">
        <is>
          <t>CR-201</t>
        </is>
      </c>
      <c r="D2937" t="inlineStr">
        <is>
          <t>ISO 8</t>
        </is>
      </c>
      <c r="E2937" t="inlineStr">
        <is>
          <t>Surface contact</t>
        </is>
      </c>
      <c r="F2937" t="n">
        <v>1</v>
      </c>
      <c r="G2937" t="inlineStr">
        <is>
          <t>Tech D</t>
        </is>
      </c>
      <c r="H2937">
        <f>INDEX(Limits!$B$2:$B$5,MATCH(E2937,Limits!$A$2:$A$5,0))</f>
        <v/>
      </c>
      <c r="I2937">
        <f>INDEX(Limits!$C$2:$C$5,MATCH(E2937,Limits!$A$2:$A$5,0))</f>
        <v/>
      </c>
      <c r="J2937">
        <f>IF(F2937&gt;=I2937,"Action",IF(F2937&gt;=H2937,"Alert","Pass"))</f>
        <v/>
      </c>
      <c r="K2937" s="4">
        <f>DATE(YEAR(B2937),MONTH(B2937),1)</f>
        <v/>
      </c>
    </row>
    <row r="2938">
      <c r="A2938" t="inlineStr">
        <is>
          <t>EM002937</t>
        </is>
      </c>
      <c r="B2938" s="7" t="n">
        <v>46241</v>
      </c>
      <c r="C2938" t="inlineStr">
        <is>
          <t>CR-201</t>
        </is>
      </c>
      <c r="D2938" t="inlineStr">
        <is>
          <t>ISO 8</t>
        </is>
      </c>
      <c r="E2938" t="inlineStr">
        <is>
          <t>Compressed air</t>
        </is>
      </c>
      <c r="F2938" t="n">
        <v>0</v>
      </c>
      <c r="G2938" t="inlineStr">
        <is>
          <t>Tech C</t>
        </is>
      </c>
      <c r="H2938">
        <f>INDEX(Limits!$B$2:$B$5,MATCH(E2938,Limits!$A$2:$A$5,0))</f>
        <v/>
      </c>
      <c r="I2938">
        <f>INDEX(Limits!$C$2:$C$5,MATCH(E2938,Limits!$A$2:$A$5,0))</f>
        <v/>
      </c>
      <c r="J2938">
        <f>IF(F2938&gt;=I2938,"Action",IF(F2938&gt;=H2938,"Alert","Pass"))</f>
        <v/>
      </c>
      <c r="K2938" s="4">
        <f>DATE(YEAR(B2938),MONTH(B2938),1)</f>
        <v/>
      </c>
    </row>
    <row r="2939">
      <c r="A2939" t="inlineStr">
        <is>
          <t>EM002938</t>
        </is>
      </c>
      <c r="B2939" s="7" t="n">
        <v>46241</v>
      </c>
      <c r="C2939" t="inlineStr">
        <is>
          <t>CR-201</t>
        </is>
      </c>
      <c r="D2939" t="inlineStr">
        <is>
          <t>ISO 8</t>
        </is>
      </c>
      <c r="E2939" t="inlineStr">
        <is>
          <t>Personnel glove</t>
        </is>
      </c>
      <c r="F2939" t="n">
        <v>0</v>
      </c>
      <c r="G2939" t="inlineStr">
        <is>
          <t>Tech C</t>
        </is>
      </c>
      <c r="H2939">
        <f>INDEX(Limits!$B$2:$B$5,MATCH(E2939,Limits!$A$2:$A$5,0))</f>
        <v/>
      </c>
      <c r="I2939">
        <f>INDEX(Limits!$C$2:$C$5,MATCH(E2939,Limits!$A$2:$A$5,0))</f>
        <v/>
      </c>
      <c r="J2939">
        <f>IF(F2939&gt;=I2939,"Action",IF(F2939&gt;=H2939,"Alert","Pass"))</f>
        <v/>
      </c>
      <c r="K2939" s="4">
        <f>DATE(YEAR(B2939),MONTH(B2939),1)</f>
        <v/>
      </c>
    </row>
    <row r="2940">
      <c r="A2940" t="inlineStr">
        <is>
          <t>EM002939</t>
        </is>
      </c>
      <c r="B2940" s="7" t="n">
        <v>46241</v>
      </c>
      <c r="C2940" t="inlineStr">
        <is>
          <t>CR-202</t>
        </is>
      </c>
      <c r="D2940" t="inlineStr">
        <is>
          <t>ISO 8</t>
        </is>
      </c>
      <c r="E2940" t="inlineStr">
        <is>
          <t>Active air</t>
        </is>
      </c>
      <c r="F2940" t="n">
        <v>0</v>
      </c>
      <c r="G2940" t="inlineStr">
        <is>
          <t>Tech C</t>
        </is>
      </c>
      <c r="H2940">
        <f>INDEX(Limits!$B$2:$B$5,MATCH(E2940,Limits!$A$2:$A$5,0))</f>
        <v/>
      </c>
      <c r="I2940">
        <f>INDEX(Limits!$C$2:$C$5,MATCH(E2940,Limits!$A$2:$A$5,0))</f>
        <v/>
      </c>
      <c r="J2940">
        <f>IF(F2940&gt;=I2940,"Action",IF(F2940&gt;=H2940,"Alert","Pass"))</f>
        <v/>
      </c>
      <c r="K2940" s="4">
        <f>DATE(YEAR(B2940),MONTH(B2940),1)</f>
        <v/>
      </c>
    </row>
    <row r="2941">
      <c r="A2941" t="inlineStr">
        <is>
          <t>EM002940</t>
        </is>
      </c>
      <c r="B2941" s="7" t="n">
        <v>46241</v>
      </c>
      <c r="C2941" t="inlineStr">
        <is>
          <t>CR-202</t>
        </is>
      </c>
      <c r="D2941" t="inlineStr">
        <is>
          <t>ISO 8</t>
        </is>
      </c>
      <c r="E2941" t="inlineStr">
        <is>
          <t>Surface contact</t>
        </is>
      </c>
      <c r="F2941" t="n">
        <v>0</v>
      </c>
      <c r="G2941" t="inlineStr">
        <is>
          <t>Tech C</t>
        </is>
      </c>
      <c r="H2941">
        <f>INDEX(Limits!$B$2:$B$5,MATCH(E2941,Limits!$A$2:$A$5,0))</f>
        <v/>
      </c>
      <c r="I2941">
        <f>INDEX(Limits!$C$2:$C$5,MATCH(E2941,Limits!$A$2:$A$5,0))</f>
        <v/>
      </c>
      <c r="J2941">
        <f>IF(F2941&gt;=I2941,"Action",IF(F2941&gt;=H2941,"Alert","Pass"))</f>
        <v/>
      </c>
      <c r="K2941" s="4">
        <f>DATE(YEAR(B2941),MONTH(B2941),1)</f>
        <v/>
      </c>
    </row>
    <row r="2942">
      <c r="A2942" t="inlineStr">
        <is>
          <t>EM002941</t>
        </is>
      </c>
      <c r="B2942" s="7" t="n">
        <v>46241</v>
      </c>
      <c r="C2942" t="inlineStr">
        <is>
          <t>CR-202</t>
        </is>
      </c>
      <c r="D2942" t="inlineStr">
        <is>
          <t>ISO 8</t>
        </is>
      </c>
      <c r="E2942" t="inlineStr">
        <is>
          <t>Compressed air</t>
        </is>
      </c>
      <c r="F2942" t="n">
        <v>0</v>
      </c>
      <c r="G2942" t="inlineStr">
        <is>
          <t>Tech B</t>
        </is>
      </c>
      <c r="H2942">
        <f>INDEX(Limits!$B$2:$B$5,MATCH(E2942,Limits!$A$2:$A$5,0))</f>
        <v/>
      </c>
      <c r="I2942">
        <f>INDEX(Limits!$C$2:$C$5,MATCH(E2942,Limits!$A$2:$A$5,0))</f>
        <v/>
      </c>
      <c r="J2942">
        <f>IF(F2942&gt;=I2942,"Action",IF(F2942&gt;=H2942,"Alert","Pass"))</f>
        <v/>
      </c>
      <c r="K2942" s="4">
        <f>DATE(YEAR(B2942),MONTH(B2942),1)</f>
        <v/>
      </c>
    </row>
    <row r="2943">
      <c r="A2943" t="inlineStr">
        <is>
          <t>EM002942</t>
        </is>
      </c>
      <c r="B2943" s="7" t="n">
        <v>46241</v>
      </c>
      <c r="C2943" t="inlineStr">
        <is>
          <t>CR-202</t>
        </is>
      </c>
      <c r="D2943" t="inlineStr">
        <is>
          <t>ISO 8</t>
        </is>
      </c>
      <c r="E2943" t="inlineStr">
        <is>
          <t>Personnel glove</t>
        </is>
      </c>
      <c r="F2943" t="n">
        <v>2</v>
      </c>
      <c r="G2943" t="inlineStr">
        <is>
          <t>Tech A</t>
        </is>
      </c>
      <c r="H2943">
        <f>INDEX(Limits!$B$2:$B$5,MATCH(E2943,Limits!$A$2:$A$5,0))</f>
        <v/>
      </c>
      <c r="I2943">
        <f>INDEX(Limits!$C$2:$C$5,MATCH(E2943,Limits!$A$2:$A$5,0))</f>
        <v/>
      </c>
      <c r="J2943">
        <f>IF(F2943&gt;=I2943,"Action",IF(F2943&gt;=H2943,"Alert","Pass"))</f>
        <v/>
      </c>
      <c r="K2943" s="4">
        <f>DATE(YEAR(B2943),MONTH(B2943),1)</f>
        <v/>
      </c>
    </row>
    <row r="2944">
      <c r="A2944" t="inlineStr">
        <is>
          <t>EM002943</t>
        </is>
      </c>
      <c r="B2944" s="7" t="n">
        <v>46241</v>
      </c>
      <c r="C2944" t="inlineStr">
        <is>
          <t>Gowning</t>
        </is>
      </c>
      <c r="D2944" t="inlineStr">
        <is>
          <t>ISO 8</t>
        </is>
      </c>
      <c r="E2944" t="inlineStr">
        <is>
          <t>Active air</t>
        </is>
      </c>
      <c r="F2944" t="n">
        <v>4</v>
      </c>
      <c r="G2944" t="inlineStr">
        <is>
          <t>Tech B</t>
        </is>
      </c>
      <c r="H2944">
        <f>INDEX(Limits!$B$2:$B$5,MATCH(E2944,Limits!$A$2:$A$5,0))</f>
        <v/>
      </c>
      <c r="I2944">
        <f>INDEX(Limits!$C$2:$C$5,MATCH(E2944,Limits!$A$2:$A$5,0))</f>
        <v/>
      </c>
      <c r="J2944">
        <f>IF(F2944&gt;=I2944,"Action",IF(F2944&gt;=H2944,"Alert","Pass"))</f>
        <v/>
      </c>
      <c r="K2944" s="4">
        <f>DATE(YEAR(B2944),MONTH(B2944),1)</f>
        <v/>
      </c>
    </row>
    <row r="2945">
      <c r="A2945" t="inlineStr">
        <is>
          <t>EM002944</t>
        </is>
      </c>
      <c r="B2945" s="7" t="n">
        <v>46241</v>
      </c>
      <c r="C2945" t="inlineStr">
        <is>
          <t>Gowning</t>
        </is>
      </c>
      <c r="D2945" t="inlineStr">
        <is>
          <t>ISO 8</t>
        </is>
      </c>
      <c r="E2945" t="inlineStr">
        <is>
          <t>Surface contact</t>
        </is>
      </c>
      <c r="F2945" t="n">
        <v>0</v>
      </c>
      <c r="G2945" t="inlineStr">
        <is>
          <t>Tech D</t>
        </is>
      </c>
      <c r="H2945">
        <f>INDEX(Limits!$B$2:$B$5,MATCH(E2945,Limits!$A$2:$A$5,0))</f>
        <v/>
      </c>
      <c r="I2945">
        <f>INDEX(Limits!$C$2:$C$5,MATCH(E2945,Limits!$A$2:$A$5,0))</f>
        <v/>
      </c>
      <c r="J2945">
        <f>IF(F2945&gt;=I2945,"Action",IF(F2945&gt;=H2945,"Alert","Pass"))</f>
        <v/>
      </c>
      <c r="K2945" s="4">
        <f>DATE(YEAR(B2945),MONTH(B2945),1)</f>
        <v/>
      </c>
    </row>
    <row r="2946">
      <c r="A2946" t="inlineStr">
        <is>
          <t>EM002945</t>
        </is>
      </c>
      <c r="B2946" s="7" t="n">
        <v>46241</v>
      </c>
      <c r="C2946" t="inlineStr">
        <is>
          <t>Gowning</t>
        </is>
      </c>
      <c r="D2946" t="inlineStr">
        <is>
          <t>ISO 8</t>
        </is>
      </c>
      <c r="E2946" t="inlineStr">
        <is>
          <t>Personnel glove</t>
        </is>
      </c>
      <c r="F2946" t="n">
        <v>0</v>
      </c>
      <c r="G2946" t="inlineStr">
        <is>
          <t>Tech B</t>
        </is>
      </c>
      <c r="H2946">
        <f>INDEX(Limits!$B$2:$B$5,MATCH(E2946,Limits!$A$2:$A$5,0))</f>
        <v/>
      </c>
      <c r="I2946">
        <f>INDEX(Limits!$C$2:$C$5,MATCH(E2946,Limits!$A$2:$A$5,0))</f>
        <v/>
      </c>
      <c r="J2946">
        <f>IF(F2946&gt;=I2946,"Action",IF(F2946&gt;=H2946,"Alert","Pass"))</f>
        <v/>
      </c>
      <c r="K2946" s="4">
        <f>DATE(YEAR(B2946),MONTH(B2946),1)</f>
        <v/>
      </c>
    </row>
    <row r="2947">
      <c r="A2947" t="inlineStr">
        <is>
          <t>EM002946</t>
        </is>
      </c>
      <c r="B2947" s="7" t="n">
        <v>46244</v>
      </c>
      <c r="C2947" t="inlineStr">
        <is>
          <t>CR-101</t>
        </is>
      </c>
      <c r="D2947" t="inlineStr">
        <is>
          <t>ISO 7</t>
        </is>
      </c>
      <c r="E2947" t="inlineStr">
        <is>
          <t>Active air</t>
        </is>
      </c>
      <c r="F2947" t="n">
        <v>0</v>
      </c>
      <c r="G2947" t="inlineStr">
        <is>
          <t>Tech A</t>
        </is>
      </c>
      <c r="H2947">
        <f>INDEX(Limits!$B$2:$B$5,MATCH(E2947,Limits!$A$2:$A$5,0))</f>
        <v/>
      </c>
      <c r="I2947">
        <f>INDEX(Limits!$C$2:$C$5,MATCH(E2947,Limits!$A$2:$A$5,0))</f>
        <v/>
      </c>
      <c r="J2947">
        <f>IF(F2947&gt;=I2947,"Action",IF(F2947&gt;=H2947,"Alert","Pass"))</f>
        <v/>
      </c>
      <c r="K2947" s="4">
        <f>DATE(YEAR(B2947),MONTH(B2947),1)</f>
        <v/>
      </c>
    </row>
    <row r="2948">
      <c r="A2948" t="inlineStr">
        <is>
          <t>EM002947</t>
        </is>
      </c>
      <c r="B2948" s="7" t="n">
        <v>46244</v>
      </c>
      <c r="C2948" t="inlineStr">
        <is>
          <t>CR-101</t>
        </is>
      </c>
      <c r="D2948" t="inlineStr">
        <is>
          <t>ISO 7</t>
        </is>
      </c>
      <c r="E2948" t="inlineStr">
        <is>
          <t>Surface contact</t>
        </is>
      </c>
      <c r="F2948" t="n">
        <v>0</v>
      </c>
      <c r="G2948" t="inlineStr">
        <is>
          <t>Tech A</t>
        </is>
      </c>
      <c r="H2948">
        <f>INDEX(Limits!$B$2:$B$5,MATCH(E2948,Limits!$A$2:$A$5,0))</f>
        <v/>
      </c>
      <c r="I2948">
        <f>INDEX(Limits!$C$2:$C$5,MATCH(E2948,Limits!$A$2:$A$5,0))</f>
        <v/>
      </c>
      <c r="J2948">
        <f>IF(F2948&gt;=I2948,"Action",IF(F2948&gt;=H2948,"Alert","Pass"))</f>
        <v/>
      </c>
      <c r="K2948" s="4">
        <f>DATE(YEAR(B2948),MONTH(B2948),1)</f>
        <v/>
      </c>
    </row>
    <row r="2949">
      <c r="A2949" t="inlineStr">
        <is>
          <t>EM002948</t>
        </is>
      </c>
      <c r="B2949" s="7" t="n">
        <v>46244</v>
      </c>
      <c r="C2949" t="inlineStr">
        <is>
          <t>CR-101</t>
        </is>
      </c>
      <c r="D2949" t="inlineStr">
        <is>
          <t>ISO 7</t>
        </is>
      </c>
      <c r="E2949" t="inlineStr">
        <is>
          <t>Compressed air</t>
        </is>
      </c>
      <c r="F2949" t="n">
        <v>0</v>
      </c>
      <c r="G2949" t="inlineStr">
        <is>
          <t>Tech C</t>
        </is>
      </c>
      <c r="H2949">
        <f>INDEX(Limits!$B$2:$B$5,MATCH(E2949,Limits!$A$2:$A$5,0))</f>
        <v/>
      </c>
      <c r="I2949">
        <f>INDEX(Limits!$C$2:$C$5,MATCH(E2949,Limits!$A$2:$A$5,0))</f>
        <v/>
      </c>
      <c r="J2949">
        <f>IF(F2949&gt;=I2949,"Action",IF(F2949&gt;=H2949,"Alert","Pass"))</f>
        <v/>
      </c>
      <c r="K2949" s="4">
        <f>DATE(YEAR(B2949),MONTH(B2949),1)</f>
        <v/>
      </c>
    </row>
    <row r="2950">
      <c r="A2950" t="inlineStr">
        <is>
          <t>EM002949</t>
        </is>
      </c>
      <c r="B2950" s="7" t="n">
        <v>46244</v>
      </c>
      <c r="C2950" t="inlineStr">
        <is>
          <t>CR-101</t>
        </is>
      </c>
      <c r="D2950" t="inlineStr">
        <is>
          <t>ISO 7</t>
        </is>
      </c>
      <c r="E2950" t="inlineStr">
        <is>
          <t>Personnel glove</t>
        </is>
      </c>
      <c r="F2950" t="n">
        <v>0</v>
      </c>
      <c r="G2950" t="inlineStr">
        <is>
          <t>Tech C</t>
        </is>
      </c>
      <c r="H2950">
        <f>INDEX(Limits!$B$2:$B$5,MATCH(E2950,Limits!$A$2:$A$5,0))</f>
        <v/>
      </c>
      <c r="I2950">
        <f>INDEX(Limits!$C$2:$C$5,MATCH(E2950,Limits!$A$2:$A$5,0))</f>
        <v/>
      </c>
      <c r="J2950">
        <f>IF(F2950&gt;=I2950,"Action",IF(F2950&gt;=H2950,"Alert","Pass"))</f>
        <v/>
      </c>
      <c r="K2950" s="4">
        <f>DATE(YEAR(B2950),MONTH(B2950),1)</f>
        <v/>
      </c>
    </row>
    <row r="2951">
      <c r="A2951" t="inlineStr">
        <is>
          <t>EM002950</t>
        </is>
      </c>
      <c r="B2951" s="7" t="n">
        <v>46244</v>
      </c>
      <c r="C2951" t="inlineStr">
        <is>
          <t>CR-102</t>
        </is>
      </c>
      <c r="D2951" t="inlineStr">
        <is>
          <t>ISO 7</t>
        </is>
      </c>
      <c r="E2951" t="inlineStr">
        <is>
          <t>Active air</t>
        </is>
      </c>
      <c r="F2951" t="n">
        <v>1</v>
      </c>
      <c r="G2951" t="inlineStr">
        <is>
          <t>Tech C</t>
        </is>
      </c>
      <c r="H2951">
        <f>INDEX(Limits!$B$2:$B$5,MATCH(E2951,Limits!$A$2:$A$5,0))</f>
        <v/>
      </c>
      <c r="I2951">
        <f>INDEX(Limits!$C$2:$C$5,MATCH(E2951,Limits!$A$2:$A$5,0))</f>
        <v/>
      </c>
      <c r="J2951">
        <f>IF(F2951&gt;=I2951,"Action",IF(F2951&gt;=H2951,"Alert","Pass"))</f>
        <v/>
      </c>
      <c r="K2951" s="4">
        <f>DATE(YEAR(B2951),MONTH(B2951),1)</f>
        <v/>
      </c>
    </row>
    <row r="2952">
      <c r="A2952" t="inlineStr">
        <is>
          <t>EM002951</t>
        </is>
      </c>
      <c r="B2952" s="7" t="n">
        <v>46244</v>
      </c>
      <c r="C2952" t="inlineStr">
        <is>
          <t>CR-102</t>
        </is>
      </c>
      <c r="D2952" t="inlineStr">
        <is>
          <t>ISO 7</t>
        </is>
      </c>
      <c r="E2952" t="inlineStr">
        <is>
          <t>Surface contact</t>
        </is>
      </c>
      <c r="F2952" t="n">
        <v>0</v>
      </c>
      <c r="G2952" t="inlineStr">
        <is>
          <t>Tech C</t>
        </is>
      </c>
      <c r="H2952">
        <f>INDEX(Limits!$B$2:$B$5,MATCH(E2952,Limits!$A$2:$A$5,0))</f>
        <v/>
      </c>
      <c r="I2952">
        <f>INDEX(Limits!$C$2:$C$5,MATCH(E2952,Limits!$A$2:$A$5,0))</f>
        <v/>
      </c>
      <c r="J2952">
        <f>IF(F2952&gt;=I2952,"Action",IF(F2952&gt;=H2952,"Alert","Pass"))</f>
        <v/>
      </c>
      <c r="K2952" s="4">
        <f>DATE(YEAR(B2952),MONTH(B2952),1)</f>
        <v/>
      </c>
    </row>
    <row r="2953">
      <c r="A2953" t="inlineStr">
        <is>
          <t>EM002952</t>
        </is>
      </c>
      <c r="B2953" s="7" t="n">
        <v>46244</v>
      </c>
      <c r="C2953" t="inlineStr">
        <is>
          <t>CR-102</t>
        </is>
      </c>
      <c r="D2953" t="inlineStr">
        <is>
          <t>ISO 7</t>
        </is>
      </c>
      <c r="E2953" t="inlineStr">
        <is>
          <t>Compressed air</t>
        </is>
      </c>
      <c r="F2953" t="n">
        <v>0</v>
      </c>
      <c r="G2953" t="inlineStr">
        <is>
          <t>Tech D</t>
        </is>
      </c>
      <c r="H2953">
        <f>INDEX(Limits!$B$2:$B$5,MATCH(E2953,Limits!$A$2:$A$5,0))</f>
        <v/>
      </c>
      <c r="I2953">
        <f>INDEX(Limits!$C$2:$C$5,MATCH(E2953,Limits!$A$2:$A$5,0))</f>
        <v/>
      </c>
      <c r="J2953">
        <f>IF(F2953&gt;=I2953,"Action",IF(F2953&gt;=H2953,"Alert","Pass"))</f>
        <v/>
      </c>
      <c r="K2953" s="4">
        <f>DATE(YEAR(B2953),MONTH(B2953),1)</f>
        <v/>
      </c>
    </row>
    <row r="2954">
      <c r="A2954" t="inlineStr">
        <is>
          <t>EM002953</t>
        </is>
      </c>
      <c r="B2954" s="7" t="n">
        <v>46244</v>
      </c>
      <c r="C2954" t="inlineStr">
        <is>
          <t>CR-102</t>
        </is>
      </c>
      <c r="D2954" t="inlineStr">
        <is>
          <t>ISO 7</t>
        </is>
      </c>
      <c r="E2954" t="inlineStr">
        <is>
          <t>Personnel glove</t>
        </is>
      </c>
      <c r="F2954" t="n">
        <v>0</v>
      </c>
      <c r="G2954" t="inlineStr">
        <is>
          <t>Tech D</t>
        </is>
      </c>
      <c r="H2954">
        <f>INDEX(Limits!$B$2:$B$5,MATCH(E2954,Limits!$A$2:$A$5,0))</f>
        <v/>
      </c>
      <c r="I2954">
        <f>INDEX(Limits!$C$2:$C$5,MATCH(E2954,Limits!$A$2:$A$5,0))</f>
        <v/>
      </c>
      <c r="J2954">
        <f>IF(F2954&gt;=I2954,"Action",IF(F2954&gt;=H2954,"Alert","Pass"))</f>
        <v/>
      </c>
      <c r="K2954" s="4">
        <f>DATE(YEAR(B2954),MONTH(B2954),1)</f>
        <v/>
      </c>
    </row>
    <row r="2955">
      <c r="A2955" t="inlineStr">
        <is>
          <t>EM002954</t>
        </is>
      </c>
      <c r="B2955" s="7" t="n">
        <v>46244</v>
      </c>
      <c r="C2955" t="inlineStr">
        <is>
          <t>CR-201</t>
        </is>
      </c>
      <c r="D2955" t="inlineStr">
        <is>
          <t>ISO 8</t>
        </is>
      </c>
      <c r="E2955" t="inlineStr">
        <is>
          <t>Active air</t>
        </is>
      </c>
      <c r="F2955" t="n">
        <v>4</v>
      </c>
      <c r="G2955" t="inlineStr">
        <is>
          <t>Tech C</t>
        </is>
      </c>
      <c r="H2955">
        <f>INDEX(Limits!$B$2:$B$5,MATCH(E2955,Limits!$A$2:$A$5,0))</f>
        <v/>
      </c>
      <c r="I2955">
        <f>INDEX(Limits!$C$2:$C$5,MATCH(E2955,Limits!$A$2:$A$5,0))</f>
        <v/>
      </c>
      <c r="J2955">
        <f>IF(F2955&gt;=I2955,"Action",IF(F2955&gt;=H2955,"Alert","Pass"))</f>
        <v/>
      </c>
      <c r="K2955" s="4">
        <f>DATE(YEAR(B2955),MONTH(B2955),1)</f>
        <v/>
      </c>
    </row>
    <row r="2956">
      <c r="A2956" t="inlineStr">
        <is>
          <t>EM002955</t>
        </is>
      </c>
      <c r="B2956" s="7" t="n">
        <v>46244</v>
      </c>
      <c r="C2956" t="inlineStr">
        <is>
          <t>CR-201</t>
        </is>
      </c>
      <c r="D2956" t="inlineStr">
        <is>
          <t>ISO 8</t>
        </is>
      </c>
      <c r="E2956" t="inlineStr">
        <is>
          <t>Surface contact</t>
        </is>
      </c>
      <c r="F2956" t="n">
        <v>3</v>
      </c>
      <c r="G2956" t="inlineStr">
        <is>
          <t>Tech C</t>
        </is>
      </c>
      <c r="H2956">
        <f>INDEX(Limits!$B$2:$B$5,MATCH(E2956,Limits!$A$2:$A$5,0))</f>
        <v/>
      </c>
      <c r="I2956">
        <f>INDEX(Limits!$C$2:$C$5,MATCH(E2956,Limits!$A$2:$A$5,0))</f>
        <v/>
      </c>
      <c r="J2956">
        <f>IF(F2956&gt;=I2956,"Action",IF(F2956&gt;=H2956,"Alert","Pass"))</f>
        <v/>
      </c>
      <c r="K2956" s="4">
        <f>DATE(YEAR(B2956),MONTH(B2956),1)</f>
        <v/>
      </c>
    </row>
    <row r="2957">
      <c r="A2957" t="inlineStr">
        <is>
          <t>EM002956</t>
        </is>
      </c>
      <c r="B2957" s="7" t="n">
        <v>46244</v>
      </c>
      <c r="C2957" t="inlineStr">
        <is>
          <t>CR-201</t>
        </is>
      </c>
      <c r="D2957" t="inlineStr">
        <is>
          <t>ISO 8</t>
        </is>
      </c>
      <c r="E2957" t="inlineStr">
        <is>
          <t>Compressed air</t>
        </is>
      </c>
      <c r="F2957" t="n">
        <v>0</v>
      </c>
      <c r="G2957" t="inlineStr">
        <is>
          <t>Tech B</t>
        </is>
      </c>
      <c r="H2957">
        <f>INDEX(Limits!$B$2:$B$5,MATCH(E2957,Limits!$A$2:$A$5,0))</f>
        <v/>
      </c>
      <c r="I2957">
        <f>INDEX(Limits!$C$2:$C$5,MATCH(E2957,Limits!$A$2:$A$5,0))</f>
        <v/>
      </c>
      <c r="J2957">
        <f>IF(F2957&gt;=I2957,"Action",IF(F2957&gt;=H2957,"Alert","Pass"))</f>
        <v/>
      </c>
      <c r="K2957" s="4">
        <f>DATE(YEAR(B2957),MONTH(B2957),1)</f>
        <v/>
      </c>
    </row>
    <row r="2958">
      <c r="A2958" t="inlineStr">
        <is>
          <t>EM002957</t>
        </is>
      </c>
      <c r="B2958" s="7" t="n">
        <v>46244</v>
      </c>
      <c r="C2958" t="inlineStr">
        <is>
          <t>CR-201</t>
        </is>
      </c>
      <c r="D2958" t="inlineStr">
        <is>
          <t>ISO 8</t>
        </is>
      </c>
      <c r="E2958" t="inlineStr">
        <is>
          <t>Personnel glove</t>
        </is>
      </c>
      <c r="F2958" t="n">
        <v>0</v>
      </c>
      <c r="G2958" t="inlineStr">
        <is>
          <t>Tech B</t>
        </is>
      </c>
      <c r="H2958">
        <f>INDEX(Limits!$B$2:$B$5,MATCH(E2958,Limits!$A$2:$A$5,0))</f>
        <v/>
      </c>
      <c r="I2958">
        <f>INDEX(Limits!$C$2:$C$5,MATCH(E2958,Limits!$A$2:$A$5,0))</f>
        <v/>
      </c>
      <c r="J2958">
        <f>IF(F2958&gt;=I2958,"Action",IF(F2958&gt;=H2958,"Alert","Pass"))</f>
        <v/>
      </c>
      <c r="K2958" s="4">
        <f>DATE(YEAR(B2958),MONTH(B2958),1)</f>
        <v/>
      </c>
    </row>
    <row r="2959">
      <c r="A2959" t="inlineStr">
        <is>
          <t>EM002958</t>
        </is>
      </c>
      <c r="B2959" s="7" t="n">
        <v>46244</v>
      </c>
      <c r="C2959" t="inlineStr">
        <is>
          <t>CR-202</t>
        </is>
      </c>
      <c r="D2959" t="inlineStr">
        <is>
          <t>ISO 8</t>
        </is>
      </c>
      <c r="E2959" t="inlineStr">
        <is>
          <t>Active air</t>
        </is>
      </c>
      <c r="F2959" t="n">
        <v>1</v>
      </c>
      <c r="G2959" t="inlineStr">
        <is>
          <t>Tech B</t>
        </is>
      </c>
      <c r="H2959">
        <f>INDEX(Limits!$B$2:$B$5,MATCH(E2959,Limits!$A$2:$A$5,0))</f>
        <v/>
      </c>
      <c r="I2959">
        <f>INDEX(Limits!$C$2:$C$5,MATCH(E2959,Limits!$A$2:$A$5,0))</f>
        <v/>
      </c>
      <c r="J2959">
        <f>IF(F2959&gt;=I2959,"Action",IF(F2959&gt;=H2959,"Alert","Pass"))</f>
        <v/>
      </c>
      <c r="K2959" s="4">
        <f>DATE(YEAR(B2959),MONTH(B2959),1)</f>
        <v/>
      </c>
    </row>
    <row r="2960">
      <c r="A2960" t="inlineStr">
        <is>
          <t>EM002959</t>
        </is>
      </c>
      <c r="B2960" s="7" t="n">
        <v>46244</v>
      </c>
      <c r="C2960" t="inlineStr">
        <is>
          <t>CR-202</t>
        </is>
      </c>
      <c r="D2960" t="inlineStr">
        <is>
          <t>ISO 8</t>
        </is>
      </c>
      <c r="E2960" t="inlineStr">
        <is>
          <t>Surface contact</t>
        </is>
      </c>
      <c r="F2960" t="n">
        <v>3</v>
      </c>
      <c r="G2960" t="inlineStr">
        <is>
          <t>Tech B</t>
        </is>
      </c>
      <c r="H2960">
        <f>INDEX(Limits!$B$2:$B$5,MATCH(E2960,Limits!$A$2:$A$5,0))</f>
        <v/>
      </c>
      <c r="I2960">
        <f>INDEX(Limits!$C$2:$C$5,MATCH(E2960,Limits!$A$2:$A$5,0))</f>
        <v/>
      </c>
      <c r="J2960">
        <f>IF(F2960&gt;=I2960,"Action",IF(F2960&gt;=H2960,"Alert","Pass"))</f>
        <v/>
      </c>
      <c r="K2960" s="4">
        <f>DATE(YEAR(B2960),MONTH(B2960),1)</f>
        <v/>
      </c>
    </row>
    <row r="2961">
      <c r="A2961" t="inlineStr">
        <is>
          <t>EM002960</t>
        </is>
      </c>
      <c r="B2961" s="7" t="n">
        <v>46244</v>
      </c>
      <c r="C2961" t="inlineStr">
        <is>
          <t>CR-202</t>
        </is>
      </c>
      <c r="D2961" t="inlineStr">
        <is>
          <t>ISO 8</t>
        </is>
      </c>
      <c r="E2961" t="inlineStr">
        <is>
          <t>Compressed air</t>
        </is>
      </c>
      <c r="F2961" t="n">
        <v>0</v>
      </c>
      <c r="G2961" t="inlineStr">
        <is>
          <t>Tech C</t>
        </is>
      </c>
      <c r="H2961">
        <f>INDEX(Limits!$B$2:$B$5,MATCH(E2961,Limits!$A$2:$A$5,0))</f>
        <v/>
      </c>
      <c r="I2961">
        <f>INDEX(Limits!$C$2:$C$5,MATCH(E2961,Limits!$A$2:$A$5,0))</f>
        <v/>
      </c>
      <c r="J2961">
        <f>IF(F2961&gt;=I2961,"Action",IF(F2961&gt;=H2961,"Alert","Pass"))</f>
        <v/>
      </c>
      <c r="K2961" s="4">
        <f>DATE(YEAR(B2961),MONTH(B2961),1)</f>
        <v/>
      </c>
    </row>
    <row r="2962">
      <c r="A2962" t="inlineStr">
        <is>
          <t>EM002961</t>
        </is>
      </c>
      <c r="B2962" s="7" t="n">
        <v>46244</v>
      </c>
      <c r="C2962" t="inlineStr">
        <is>
          <t>CR-202</t>
        </is>
      </c>
      <c r="D2962" t="inlineStr">
        <is>
          <t>ISO 8</t>
        </is>
      </c>
      <c r="E2962" t="inlineStr">
        <is>
          <t>Personnel glove</t>
        </is>
      </c>
      <c r="F2962" t="n">
        <v>0</v>
      </c>
      <c r="G2962" t="inlineStr">
        <is>
          <t>Tech B</t>
        </is>
      </c>
      <c r="H2962">
        <f>INDEX(Limits!$B$2:$B$5,MATCH(E2962,Limits!$A$2:$A$5,0))</f>
        <v/>
      </c>
      <c r="I2962">
        <f>INDEX(Limits!$C$2:$C$5,MATCH(E2962,Limits!$A$2:$A$5,0))</f>
        <v/>
      </c>
      <c r="J2962">
        <f>IF(F2962&gt;=I2962,"Action",IF(F2962&gt;=H2962,"Alert","Pass"))</f>
        <v/>
      </c>
      <c r="K2962" s="4">
        <f>DATE(YEAR(B2962),MONTH(B2962),1)</f>
        <v/>
      </c>
    </row>
    <row r="2963">
      <c r="A2963" t="inlineStr">
        <is>
          <t>EM002962</t>
        </is>
      </c>
      <c r="B2963" s="7" t="n">
        <v>46244</v>
      </c>
      <c r="C2963" t="inlineStr">
        <is>
          <t>Gowning</t>
        </is>
      </c>
      <c r="D2963" t="inlineStr">
        <is>
          <t>ISO 8</t>
        </is>
      </c>
      <c r="E2963" t="inlineStr">
        <is>
          <t>Active air</t>
        </is>
      </c>
      <c r="F2963" t="n">
        <v>2</v>
      </c>
      <c r="G2963" t="inlineStr">
        <is>
          <t>Tech A</t>
        </is>
      </c>
      <c r="H2963">
        <f>INDEX(Limits!$B$2:$B$5,MATCH(E2963,Limits!$A$2:$A$5,0))</f>
        <v/>
      </c>
      <c r="I2963">
        <f>INDEX(Limits!$C$2:$C$5,MATCH(E2963,Limits!$A$2:$A$5,0))</f>
        <v/>
      </c>
      <c r="J2963">
        <f>IF(F2963&gt;=I2963,"Action",IF(F2963&gt;=H2963,"Alert","Pass"))</f>
        <v/>
      </c>
      <c r="K2963" s="4">
        <f>DATE(YEAR(B2963),MONTH(B2963),1)</f>
        <v/>
      </c>
    </row>
    <row r="2964">
      <c r="A2964" t="inlineStr">
        <is>
          <t>EM002963</t>
        </is>
      </c>
      <c r="B2964" s="7" t="n">
        <v>46244</v>
      </c>
      <c r="C2964" t="inlineStr">
        <is>
          <t>Gowning</t>
        </is>
      </c>
      <c r="D2964" t="inlineStr">
        <is>
          <t>ISO 8</t>
        </is>
      </c>
      <c r="E2964" t="inlineStr">
        <is>
          <t>Surface contact</t>
        </is>
      </c>
      <c r="F2964" t="n">
        <v>2</v>
      </c>
      <c r="G2964" t="inlineStr">
        <is>
          <t>Tech A</t>
        </is>
      </c>
      <c r="H2964">
        <f>INDEX(Limits!$B$2:$B$5,MATCH(E2964,Limits!$A$2:$A$5,0))</f>
        <v/>
      </c>
      <c r="I2964">
        <f>INDEX(Limits!$C$2:$C$5,MATCH(E2964,Limits!$A$2:$A$5,0))</f>
        <v/>
      </c>
      <c r="J2964">
        <f>IF(F2964&gt;=I2964,"Action",IF(F2964&gt;=H2964,"Alert","Pass"))</f>
        <v/>
      </c>
      <c r="K2964" s="4">
        <f>DATE(YEAR(B2964),MONTH(B2964),1)</f>
        <v/>
      </c>
    </row>
    <row r="2965">
      <c r="A2965" t="inlineStr">
        <is>
          <t>EM002964</t>
        </is>
      </c>
      <c r="B2965" s="7" t="n">
        <v>46244</v>
      </c>
      <c r="C2965" t="inlineStr">
        <is>
          <t>Gowning</t>
        </is>
      </c>
      <c r="D2965" t="inlineStr">
        <is>
          <t>ISO 8</t>
        </is>
      </c>
      <c r="E2965" t="inlineStr">
        <is>
          <t>Personnel glove</t>
        </is>
      </c>
      <c r="F2965" t="n">
        <v>0</v>
      </c>
      <c r="G2965" t="inlineStr">
        <is>
          <t>Tech C</t>
        </is>
      </c>
      <c r="H2965">
        <f>INDEX(Limits!$B$2:$B$5,MATCH(E2965,Limits!$A$2:$A$5,0))</f>
        <v/>
      </c>
      <c r="I2965">
        <f>INDEX(Limits!$C$2:$C$5,MATCH(E2965,Limits!$A$2:$A$5,0))</f>
        <v/>
      </c>
      <c r="J2965">
        <f>IF(F2965&gt;=I2965,"Action",IF(F2965&gt;=H2965,"Alert","Pass"))</f>
        <v/>
      </c>
      <c r="K2965" s="4">
        <f>DATE(YEAR(B2965),MONTH(B2965),1)</f>
        <v/>
      </c>
    </row>
    <row r="2966">
      <c r="A2966" t="inlineStr">
        <is>
          <t>EM002965</t>
        </is>
      </c>
      <c r="B2966" s="7" t="n">
        <v>46245</v>
      </c>
      <c r="C2966" t="inlineStr">
        <is>
          <t>CR-101</t>
        </is>
      </c>
      <c r="D2966" t="inlineStr">
        <is>
          <t>ISO 7</t>
        </is>
      </c>
      <c r="E2966" t="inlineStr">
        <is>
          <t>Active air</t>
        </is>
      </c>
      <c r="F2966" t="n">
        <v>0</v>
      </c>
      <c r="G2966" t="inlineStr">
        <is>
          <t>Tech B</t>
        </is>
      </c>
      <c r="H2966">
        <f>INDEX(Limits!$B$2:$B$5,MATCH(E2966,Limits!$A$2:$A$5,0))</f>
        <v/>
      </c>
      <c r="I2966">
        <f>INDEX(Limits!$C$2:$C$5,MATCH(E2966,Limits!$A$2:$A$5,0))</f>
        <v/>
      </c>
      <c r="J2966">
        <f>IF(F2966&gt;=I2966,"Action",IF(F2966&gt;=H2966,"Alert","Pass"))</f>
        <v/>
      </c>
      <c r="K2966" s="4">
        <f>DATE(YEAR(B2966),MONTH(B2966),1)</f>
        <v/>
      </c>
    </row>
    <row r="2967">
      <c r="A2967" t="inlineStr">
        <is>
          <t>EM002966</t>
        </is>
      </c>
      <c r="B2967" s="7" t="n">
        <v>46245</v>
      </c>
      <c r="C2967" t="inlineStr">
        <is>
          <t>CR-101</t>
        </is>
      </c>
      <c r="D2967" t="inlineStr">
        <is>
          <t>ISO 7</t>
        </is>
      </c>
      <c r="E2967" t="inlineStr">
        <is>
          <t>Surface contact</t>
        </is>
      </c>
      <c r="F2967" t="n">
        <v>1</v>
      </c>
      <c r="G2967" t="inlineStr">
        <is>
          <t>Tech A</t>
        </is>
      </c>
      <c r="H2967">
        <f>INDEX(Limits!$B$2:$B$5,MATCH(E2967,Limits!$A$2:$A$5,0))</f>
        <v/>
      </c>
      <c r="I2967">
        <f>INDEX(Limits!$C$2:$C$5,MATCH(E2967,Limits!$A$2:$A$5,0))</f>
        <v/>
      </c>
      <c r="J2967">
        <f>IF(F2967&gt;=I2967,"Action",IF(F2967&gt;=H2967,"Alert","Pass"))</f>
        <v/>
      </c>
      <c r="K2967" s="4">
        <f>DATE(YEAR(B2967),MONTH(B2967),1)</f>
        <v/>
      </c>
    </row>
    <row r="2968">
      <c r="A2968" t="inlineStr">
        <is>
          <t>EM002967</t>
        </is>
      </c>
      <c r="B2968" s="7" t="n">
        <v>46245</v>
      </c>
      <c r="C2968" t="inlineStr">
        <is>
          <t>CR-101</t>
        </is>
      </c>
      <c r="D2968" t="inlineStr">
        <is>
          <t>ISO 7</t>
        </is>
      </c>
      <c r="E2968" t="inlineStr">
        <is>
          <t>Compressed air</t>
        </is>
      </c>
      <c r="F2968" t="n">
        <v>0</v>
      </c>
      <c r="G2968" t="inlineStr">
        <is>
          <t>Tech C</t>
        </is>
      </c>
      <c r="H2968">
        <f>INDEX(Limits!$B$2:$B$5,MATCH(E2968,Limits!$A$2:$A$5,0))</f>
        <v/>
      </c>
      <c r="I2968">
        <f>INDEX(Limits!$C$2:$C$5,MATCH(E2968,Limits!$A$2:$A$5,0))</f>
        <v/>
      </c>
      <c r="J2968">
        <f>IF(F2968&gt;=I2968,"Action",IF(F2968&gt;=H2968,"Alert","Pass"))</f>
        <v/>
      </c>
      <c r="K2968" s="4">
        <f>DATE(YEAR(B2968),MONTH(B2968),1)</f>
        <v/>
      </c>
    </row>
    <row r="2969">
      <c r="A2969" t="inlineStr">
        <is>
          <t>EM002968</t>
        </is>
      </c>
      <c r="B2969" s="7" t="n">
        <v>46245</v>
      </c>
      <c r="C2969" t="inlineStr">
        <is>
          <t>CR-101</t>
        </is>
      </c>
      <c r="D2969" t="inlineStr">
        <is>
          <t>ISO 7</t>
        </is>
      </c>
      <c r="E2969" t="inlineStr">
        <is>
          <t>Personnel glove</t>
        </is>
      </c>
      <c r="F2969" t="n">
        <v>0</v>
      </c>
      <c r="G2969" t="inlineStr">
        <is>
          <t>Tech C</t>
        </is>
      </c>
      <c r="H2969">
        <f>INDEX(Limits!$B$2:$B$5,MATCH(E2969,Limits!$A$2:$A$5,0))</f>
        <v/>
      </c>
      <c r="I2969">
        <f>INDEX(Limits!$C$2:$C$5,MATCH(E2969,Limits!$A$2:$A$5,0))</f>
        <v/>
      </c>
      <c r="J2969">
        <f>IF(F2969&gt;=I2969,"Action",IF(F2969&gt;=H2969,"Alert","Pass"))</f>
        <v/>
      </c>
      <c r="K2969" s="4">
        <f>DATE(YEAR(B2969),MONTH(B2969),1)</f>
        <v/>
      </c>
    </row>
    <row r="2970">
      <c r="A2970" t="inlineStr">
        <is>
          <t>EM002969</t>
        </is>
      </c>
      <c r="B2970" s="7" t="n">
        <v>46245</v>
      </c>
      <c r="C2970" t="inlineStr">
        <is>
          <t>CR-102</t>
        </is>
      </c>
      <c r="D2970" t="inlineStr">
        <is>
          <t>ISO 7</t>
        </is>
      </c>
      <c r="E2970" t="inlineStr">
        <is>
          <t>Active air</t>
        </is>
      </c>
      <c r="F2970" t="n">
        <v>3</v>
      </c>
      <c r="G2970" t="inlineStr">
        <is>
          <t>Tech C</t>
        </is>
      </c>
      <c r="H2970">
        <f>INDEX(Limits!$B$2:$B$5,MATCH(E2970,Limits!$A$2:$A$5,0))</f>
        <v/>
      </c>
      <c r="I2970">
        <f>INDEX(Limits!$C$2:$C$5,MATCH(E2970,Limits!$A$2:$A$5,0))</f>
        <v/>
      </c>
      <c r="J2970">
        <f>IF(F2970&gt;=I2970,"Action",IF(F2970&gt;=H2970,"Alert","Pass"))</f>
        <v/>
      </c>
      <c r="K2970" s="4">
        <f>DATE(YEAR(B2970),MONTH(B2970),1)</f>
        <v/>
      </c>
    </row>
    <row r="2971">
      <c r="A2971" t="inlineStr">
        <is>
          <t>EM002970</t>
        </is>
      </c>
      <c r="B2971" s="7" t="n">
        <v>46245</v>
      </c>
      <c r="C2971" t="inlineStr">
        <is>
          <t>CR-102</t>
        </is>
      </c>
      <c r="D2971" t="inlineStr">
        <is>
          <t>ISO 7</t>
        </is>
      </c>
      <c r="E2971" t="inlineStr">
        <is>
          <t>Surface contact</t>
        </is>
      </c>
      <c r="F2971" t="n">
        <v>1</v>
      </c>
      <c r="G2971" t="inlineStr">
        <is>
          <t>Tech A</t>
        </is>
      </c>
      <c r="H2971">
        <f>INDEX(Limits!$B$2:$B$5,MATCH(E2971,Limits!$A$2:$A$5,0))</f>
        <v/>
      </c>
      <c r="I2971">
        <f>INDEX(Limits!$C$2:$C$5,MATCH(E2971,Limits!$A$2:$A$5,0))</f>
        <v/>
      </c>
      <c r="J2971">
        <f>IF(F2971&gt;=I2971,"Action",IF(F2971&gt;=H2971,"Alert","Pass"))</f>
        <v/>
      </c>
      <c r="K2971" s="4">
        <f>DATE(YEAR(B2971),MONTH(B2971),1)</f>
        <v/>
      </c>
    </row>
    <row r="2972">
      <c r="A2972" t="inlineStr">
        <is>
          <t>EM002971</t>
        </is>
      </c>
      <c r="B2972" s="7" t="n">
        <v>46245</v>
      </c>
      <c r="C2972" t="inlineStr">
        <is>
          <t>CR-102</t>
        </is>
      </c>
      <c r="D2972" t="inlineStr">
        <is>
          <t>ISO 7</t>
        </is>
      </c>
      <c r="E2972" t="inlineStr">
        <is>
          <t>Compressed air</t>
        </is>
      </c>
      <c r="F2972" t="n">
        <v>0</v>
      </c>
      <c r="G2972" t="inlineStr">
        <is>
          <t>Tech D</t>
        </is>
      </c>
      <c r="H2972">
        <f>INDEX(Limits!$B$2:$B$5,MATCH(E2972,Limits!$A$2:$A$5,0))</f>
        <v/>
      </c>
      <c r="I2972">
        <f>INDEX(Limits!$C$2:$C$5,MATCH(E2972,Limits!$A$2:$A$5,0))</f>
        <v/>
      </c>
      <c r="J2972">
        <f>IF(F2972&gt;=I2972,"Action",IF(F2972&gt;=H2972,"Alert","Pass"))</f>
        <v/>
      </c>
      <c r="K2972" s="4">
        <f>DATE(YEAR(B2972),MONTH(B2972),1)</f>
        <v/>
      </c>
    </row>
    <row r="2973">
      <c r="A2973" t="inlineStr">
        <is>
          <t>EM002972</t>
        </is>
      </c>
      <c r="B2973" s="7" t="n">
        <v>46245</v>
      </c>
      <c r="C2973" t="inlineStr">
        <is>
          <t>CR-102</t>
        </is>
      </c>
      <c r="D2973" t="inlineStr">
        <is>
          <t>ISO 7</t>
        </is>
      </c>
      <c r="E2973" t="inlineStr">
        <is>
          <t>Personnel glove</t>
        </is>
      </c>
      <c r="F2973" t="n">
        <v>0</v>
      </c>
      <c r="G2973" t="inlineStr">
        <is>
          <t>Tech A</t>
        </is>
      </c>
      <c r="H2973">
        <f>INDEX(Limits!$B$2:$B$5,MATCH(E2973,Limits!$A$2:$A$5,0))</f>
        <v/>
      </c>
      <c r="I2973">
        <f>INDEX(Limits!$C$2:$C$5,MATCH(E2973,Limits!$A$2:$A$5,0))</f>
        <v/>
      </c>
      <c r="J2973">
        <f>IF(F2973&gt;=I2973,"Action",IF(F2973&gt;=H2973,"Alert","Pass"))</f>
        <v/>
      </c>
      <c r="K2973" s="4">
        <f>DATE(YEAR(B2973),MONTH(B2973),1)</f>
        <v/>
      </c>
    </row>
    <row r="2974">
      <c r="A2974" t="inlineStr">
        <is>
          <t>EM002973</t>
        </is>
      </c>
      <c r="B2974" s="7" t="n">
        <v>46245</v>
      </c>
      <c r="C2974" t="inlineStr">
        <is>
          <t>CR-201</t>
        </is>
      </c>
      <c r="D2974" t="inlineStr">
        <is>
          <t>ISO 8</t>
        </is>
      </c>
      <c r="E2974" t="inlineStr">
        <is>
          <t>Active air</t>
        </is>
      </c>
      <c r="F2974" t="n">
        <v>1</v>
      </c>
      <c r="G2974" t="inlineStr">
        <is>
          <t>Tech B</t>
        </is>
      </c>
      <c r="H2974">
        <f>INDEX(Limits!$B$2:$B$5,MATCH(E2974,Limits!$A$2:$A$5,0))</f>
        <v/>
      </c>
      <c r="I2974">
        <f>INDEX(Limits!$C$2:$C$5,MATCH(E2974,Limits!$A$2:$A$5,0))</f>
        <v/>
      </c>
      <c r="J2974">
        <f>IF(F2974&gt;=I2974,"Action",IF(F2974&gt;=H2974,"Alert","Pass"))</f>
        <v/>
      </c>
      <c r="K2974" s="4">
        <f>DATE(YEAR(B2974),MONTH(B2974),1)</f>
        <v/>
      </c>
    </row>
    <row r="2975">
      <c r="A2975" t="inlineStr">
        <is>
          <t>EM002974</t>
        </is>
      </c>
      <c r="B2975" s="7" t="n">
        <v>46245</v>
      </c>
      <c r="C2975" t="inlineStr">
        <is>
          <t>CR-201</t>
        </is>
      </c>
      <c r="D2975" t="inlineStr">
        <is>
          <t>ISO 8</t>
        </is>
      </c>
      <c r="E2975" t="inlineStr">
        <is>
          <t>Surface contact</t>
        </is>
      </c>
      <c r="F2975" t="n">
        <v>1</v>
      </c>
      <c r="G2975" t="inlineStr">
        <is>
          <t>Tech A</t>
        </is>
      </c>
      <c r="H2975">
        <f>INDEX(Limits!$B$2:$B$5,MATCH(E2975,Limits!$A$2:$A$5,0))</f>
        <v/>
      </c>
      <c r="I2975">
        <f>INDEX(Limits!$C$2:$C$5,MATCH(E2975,Limits!$A$2:$A$5,0))</f>
        <v/>
      </c>
      <c r="J2975">
        <f>IF(F2975&gt;=I2975,"Action",IF(F2975&gt;=H2975,"Alert","Pass"))</f>
        <v/>
      </c>
      <c r="K2975" s="4">
        <f>DATE(YEAR(B2975),MONTH(B2975),1)</f>
        <v/>
      </c>
    </row>
    <row r="2976">
      <c r="A2976" t="inlineStr">
        <is>
          <t>EM002975</t>
        </is>
      </c>
      <c r="B2976" s="7" t="n">
        <v>46245</v>
      </c>
      <c r="C2976" t="inlineStr">
        <is>
          <t>CR-201</t>
        </is>
      </c>
      <c r="D2976" t="inlineStr">
        <is>
          <t>ISO 8</t>
        </is>
      </c>
      <c r="E2976" t="inlineStr">
        <is>
          <t>Compressed air</t>
        </is>
      </c>
      <c r="F2976" t="n">
        <v>0</v>
      </c>
      <c r="G2976" t="inlineStr">
        <is>
          <t>Tech B</t>
        </is>
      </c>
      <c r="H2976">
        <f>INDEX(Limits!$B$2:$B$5,MATCH(E2976,Limits!$A$2:$A$5,0))</f>
        <v/>
      </c>
      <c r="I2976">
        <f>INDEX(Limits!$C$2:$C$5,MATCH(E2976,Limits!$A$2:$A$5,0))</f>
        <v/>
      </c>
      <c r="J2976">
        <f>IF(F2976&gt;=I2976,"Action",IF(F2976&gt;=H2976,"Alert","Pass"))</f>
        <v/>
      </c>
      <c r="K2976" s="4">
        <f>DATE(YEAR(B2976),MONTH(B2976),1)</f>
        <v/>
      </c>
    </row>
    <row r="2977">
      <c r="A2977" t="inlineStr">
        <is>
          <t>EM002976</t>
        </is>
      </c>
      <c r="B2977" s="7" t="n">
        <v>46245</v>
      </c>
      <c r="C2977" t="inlineStr">
        <is>
          <t>CR-201</t>
        </is>
      </c>
      <c r="D2977" t="inlineStr">
        <is>
          <t>ISO 8</t>
        </is>
      </c>
      <c r="E2977" t="inlineStr">
        <is>
          <t>Personnel glove</t>
        </is>
      </c>
      <c r="F2977" t="n">
        <v>0</v>
      </c>
      <c r="G2977" t="inlineStr">
        <is>
          <t>Tech A</t>
        </is>
      </c>
      <c r="H2977">
        <f>INDEX(Limits!$B$2:$B$5,MATCH(E2977,Limits!$A$2:$A$5,0))</f>
        <v/>
      </c>
      <c r="I2977">
        <f>INDEX(Limits!$C$2:$C$5,MATCH(E2977,Limits!$A$2:$A$5,0))</f>
        <v/>
      </c>
      <c r="J2977">
        <f>IF(F2977&gt;=I2977,"Action",IF(F2977&gt;=H2977,"Alert","Pass"))</f>
        <v/>
      </c>
      <c r="K2977" s="4">
        <f>DATE(YEAR(B2977),MONTH(B2977),1)</f>
        <v/>
      </c>
    </row>
    <row r="2978">
      <c r="A2978" t="inlineStr">
        <is>
          <t>EM002977</t>
        </is>
      </c>
      <c r="B2978" s="7" t="n">
        <v>46245</v>
      </c>
      <c r="C2978" t="inlineStr">
        <is>
          <t>CR-202</t>
        </is>
      </c>
      <c r="D2978" t="inlineStr">
        <is>
          <t>ISO 8</t>
        </is>
      </c>
      <c r="E2978" t="inlineStr">
        <is>
          <t>Active air</t>
        </is>
      </c>
      <c r="F2978" t="n">
        <v>2</v>
      </c>
      <c r="G2978" t="inlineStr">
        <is>
          <t>Tech C</t>
        </is>
      </c>
      <c r="H2978">
        <f>INDEX(Limits!$B$2:$B$5,MATCH(E2978,Limits!$A$2:$A$5,0))</f>
        <v/>
      </c>
      <c r="I2978">
        <f>INDEX(Limits!$C$2:$C$5,MATCH(E2978,Limits!$A$2:$A$5,0))</f>
        <v/>
      </c>
      <c r="J2978">
        <f>IF(F2978&gt;=I2978,"Action",IF(F2978&gt;=H2978,"Alert","Pass"))</f>
        <v/>
      </c>
      <c r="K2978" s="4">
        <f>DATE(YEAR(B2978),MONTH(B2978),1)</f>
        <v/>
      </c>
    </row>
    <row r="2979">
      <c r="A2979" t="inlineStr">
        <is>
          <t>EM002978</t>
        </is>
      </c>
      <c r="B2979" s="7" t="n">
        <v>46245</v>
      </c>
      <c r="C2979" t="inlineStr">
        <is>
          <t>CR-202</t>
        </is>
      </c>
      <c r="D2979" t="inlineStr">
        <is>
          <t>ISO 8</t>
        </is>
      </c>
      <c r="E2979" t="inlineStr">
        <is>
          <t>Surface contact</t>
        </is>
      </c>
      <c r="F2979" t="n">
        <v>1</v>
      </c>
      <c r="G2979" t="inlineStr">
        <is>
          <t>Tech C</t>
        </is>
      </c>
      <c r="H2979">
        <f>INDEX(Limits!$B$2:$B$5,MATCH(E2979,Limits!$A$2:$A$5,0))</f>
        <v/>
      </c>
      <c r="I2979">
        <f>INDEX(Limits!$C$2:$C$5,MATCH(E2979,Limits!$A$2:$A$5,0))</f>
        <v/>
      </c>
      <c r="J2979">
        <f>IF(F2979&gt;=I2979,"Action",IF(F2979&gt;=H2979,"Alert","Pass"))</f>
        <v/>
      </c>
      <c r="K2979" s="4">
        <f>DATE(YEAR(B2979),MONTH(B2979),1)</f>
        <v/>
      </c>
    </row>
    <row r="2980">
      <c r="A2980" t="inlineStr">
        <is>
          <t>EM002979</t>
        </is>
      </c>
      <c r="B2980" s="7" t="n">
        <v>46245</v>
      </c>
      <c r="C2980" t="inlineStr">
        <is>
          <t>CR-202</t>
        </is>
      </c>
      <c r="D2980" t="inlineStr">
        <is>
          <t>ISO 8</t>
        </is>
      </c>
      <c r="E2980" t="inlineStr">
        <is>
          <t>Compressed air</t>
        </is>
      </c>
      <c r="F2980" t="n">
        <v>0</v>
      </c>
      <c r="G2980" t="inlineStr">
        <is>
          <t>Tech D</t>
        </is>
      </c>
      <c r="H2980">
        <f>INDEX(Limits!$B$2:$B$5,MATCH(E2980,Limits!$A$2:$A$5,0))</f>
        <v/>
      </c>
      <c r="I2980">
        <f>INDEX(Limits!$C$2:$C$5,MATCH(E2980,Limits!$A$2:$A$5,0))</f>
        <v/>
      </c>
      <c r="J2980">
        <f>IF(F2980&gt;=I2980,"Action",IF(F2980&gt;=H2980,"Alert","Pass"))</f>
        <v/>
      </c>
      <c r="K2980" s="4">
        <f>DATE(YEAR(B2980),MONTH(B2980),1)</f>
        <v/>
      </c>
    </row>
    <row r="2981">
      <c r="A2981" t="inlineStr">
        <is>
          <t>EM002980</t>
        </is>
      </c>
      <c r="B2981" s="7" t="n">
        <v>46245</v>
      </c>
      <c r="C2981" t="inlineStr">
        <is>
          <t>CR-202</t>
        </is>
      </c>
      <c r="D2981" t="inlineStr">
        <is>
          <t>ISO 8</t>
        </is>
      </c>
      <c r="E2981" t="inlineStr">
        <is>
          <t>Personnel glove</t>
        </is>
      </c>
      <c r="F2981" t="n">
        <v>0</v>
      </c>
      <c r="G2981" t="inlineStr">
        <is>
          <t>Tech C</t>
        </is>
      </c>
      <c r="H2981">
        <f>INDEX(Limits!$B$2:$B$5,MATCH(E2981,Limits!$A$2:$A$5,0))</f>
        <v/>
      </c>
      <c r="I2981">
        <f>INDEX(Limits!$C$2:$C$5,MATCH(E2981,Limits!$A$2:$A$5,0))</f>
        <v/>
      </c>
      <c r="J2981">
        <f>IF(F2981&gt;=I2981,"Action",IF(F2981&gt;=H2981,"Alert","Pass"))</f>
        <v/>
      </c>
      <c r="K2981" s="4">
        <f>DATE(YEAR(B2981),MONTH(B2981),1)</f>
        <v/>
      </c>
    </row>
    <row r="2982">
      <c r="A2982" t="inlineStr">
        <is>
          <t>EM002981</t>
        </is>
      </c>
      <c r="B2982" s="7" t="n">
        <v>46245</v>
      </c>
      <c r="C2982" t="inlineStr">
        <is>
          <t>Gowning</t>
        </is>
      </c>
      <c r="D2982" t="inlineStr">
        <is>
          <t>ISO 8</t>
        </is>
      </c>
      <c r="E2982" t="inlineStr">
        <is>
          <t>Active air</t>
        </is>
      </c>
      <c r="F2982" t="n">
        <v>1</v>
      </c>
      <c r="G2982" t="inlineStr">
        <is>
          <t>Tech B</t>
        </is>
      </c>
      <c r="H2982">
        <f>INDEX(Limits!$B$2:$B$5,MATCH(E2982,Limits!$A$2:$A$5,0))</f>
        <v/>
      </c>
      <c r="I2982">
        <f>INDEX(Limits!$C$2:$C$5,MATCH(E2982,Limits!$A$2:$A$5,0))</f>
        <v/>
      </c>
      <c r="J2982">
        <f>IF(F2982&gt;=I2982,"Action",IF(F2982&gt;=H2982,"Alert","Pass"))</f>
        <v/>
      </c>
      <c r="K2982" s="4">
        <f>DATE(YEAR(B2982),MONTH(B2982),1)</f>
        <v/>
      </c>
    </row>
    <row r="2983">
      <c r="A2983" t="inlineStr">
        <is>
          <t>EM002982</t>
        </is>
      </c>
      <c r="B2983" s="7" t="n">
        <v>46245</v>
      </c>
      <c r="C2983" t="inlineStr">
        <is>
          <t>Gowning</t>
        </is>
      </c>
      <c r="D2983" t="inlineStr">
        <is>
          <t>ISO 8</t>
        </is>
      </c>
      <c r="E2983" t="inlineStr">
        <is>
          <t>Surface contact</t>
        </is>
      </c>
      <c r="F2983" t="n">
        <v>1</v>
      </c>
      <c r="G2983" t="inlineStr">
        <is>
          <t>Tech B</t>
        </is>
      </c>
      <c r="H2983">
        <f>INDEX(Limits!$B$2:$B$5,MATCH(E2983,Limits!$A$2:$A$5,0))</f>
        <v/>
      </c>
      <c r="I2983">
        <f>INDEX(Limits!$C$2:$C$5,MATCH(E2983,Limits!$A$2:$A$5,0))</f>
        <v/>
      </c>
      <c r="J2983">
        <f>IF(F2983&gt;=I2983,"Action",IF(F2983&gt;=H2983,"Alert","Pass"))</f>
        <v/>
      </c>
      <c r="K2983" s="4">
        <f>DATE(YEAR(B2983),MONTH(B2983),1)</f>
        <v/>
      </c>
    </row>
    <row r="2984">
      <c r="A2984" t="inlineStr">
        <is>
          <t>EM002983</t>
        </is>
      </c>
      <c r="B2984" s="7" t="n">
        <v>46245</v>
      </c>
      <c r="C2984" t="inlineStr">
        <is>
          <t>Gowning</t>
        </is>
      </c>
      <c r="D2984" t="inlineStr">
        <is>
          <t>ISO 8</t>
        </is>
      </c>
      <c r="E2984" t="inlineStr">
        <is>
          <t>Personnel glove</t>
        </is>
      </c>
      <c r="F2984" t="n">
        <v>0</v>
      </c>
      <c r="G2984" t="inlineStr">
        <is>
          <t>Tech C</t>
        </is>
      </c>
      <c r="H2984">
        <f>INDEX(Limits!$B$2:$B$5,MATCH(E2984,Limits!$A$2:$A$5,0))</f>
        <v/>
      </c>
      <c r="I2984">
        <f>INDEX(Limits!$C$2:$C$5,MATCH(E2984,Limits!$A$2:$A$5,0))</f>
        <v/>
      </c>
      <c r="J2984">
        <f>IF(F2984&gt;=I2984,"Action",IF(F2984&gt;=H2984,"Alert","Pass"))</f>
        <v/>
      </c>
      <c r="K2984" s="4">
        <f>DATE(YEAR(B2984),MONTH(B2984),1)</f>
        <v/>
      </c>
    </row>
    <row r="2985">
      <c r="A2985" t="inlineStr">
        <is>
          <t>EM002984</t>
        </is>
      </c>
      <c r="B2985" s="7" t="n">
        <v>46246</v>
      </c>
      <c r="C2985" t="inlineStr">
        <is>
          <t>CR-101</t>
        </is>
      </c>
      <c r="D2985" t="inlineStr">
        <is>
          <t>ISO 7</t>
        </is>
      </c>
      <c r="E2985" t="inlineStr">
        <is>
          <t>Active air</t>
        </is>
      </c>
      <c r="F2985" t="n">
        <v>2</v>
      </c>
      <c r="G2985" t="inlineStr">
        <is>
          <t>Tech C</t>
        </is>
      </c>
      <c r="H2985">
        <f>INDEX(Limits!$B$2:$B$5,MATCH(E2985,Limits!$A$2:$A$5,0))</f>
        <v/>
      </c>
      <c r="I2985">
        <f>INDEX(Limits!$C$2:$C$5,MATCH(E2985,Limits!$A$2:$A$5,0))</f>
        <v/>
      </c>
      <c r="J2985">
        <f>IF(F2985&gt;=I2985,"Action",IF(F2985&gt;=H2985,"Alert","Pass"))</f>
        <v/>
      </c>
      <c r="K2985" s="4">
        <f>DATE(YEAR(B2985),MONTH(B2985),1)</f>
        <v/>
      </c>
    </row>
    <row r="2986">
      <c r="A2986" t="inlineStr">
        <is>
          <t>EM002985</t>
        </is>
      </c>
      <c r="B2986" s="7" t="n">
        <v>46246</v>
      </c>
      <c r="C2986" t="inlineStr">
        <is>
          <t>CR-101</t>
        </is>
      </c>
      <c r="D2986" t="inlineStr">
        <is>
          <t>ISO 7</t>
        </is>
      </c>
      <c r="E2986" t="inlineStr">
        <is>
          <t>Surface contact</t>
        </is>
      </c>
      <c r="F2986" t="n">
        <v>0</v>
      </c>
      <c r="G2986" t="inlineStr">
        <is>
          <t>Tech B</t>
        </is>
      </c>
      <c r="H2986">
        <f>INDEX(Limits!$B$2:$B$5,MATCH(E2986,Limits!$A$2:$A$5,0))</f>
        <v/>
      </c>
      <c r="I2986">
        <f>INDEX(Limits!$C$2:$C$5,MATCH(E2986,Limits!$A$2:$A$5,0))</f>
        <v/>
      </c>
      <c r="J2986">
        <f>IF(F2986&gt;=I2986,"Action",IF(F2986&gt;=H2986,"Alert","Pass"))</f>
        <v/>
      </c>
      <c r="K2986" s="4">
        <f>DATE(YEAR(B2986),MONTH(B2986),1)</f>
        <v/>
      </c>
    </row>
    <row r="2987">
      <c r="A2987" t="inlineStr">
        <is>
          <t>EM002986</t>
        </is>
      </c>
      <c r="B2987" s="7" t="n">
        <v>46246</v>
      </c>
      <c r="C2987" t="inlineStr">
        <is>
          <t>CR-101</t>
        </is>
      </c>
      <c r="D2987" t="inlineStr">
        <is>
          <t>ISO 7</t>
        </is>
      </c>
      <c r="E2987" t="inlineStr">
        <is>
          <t>Compressed air</t>
        </is>
      </c>
      <c r="F2987" t="n">
        <v>0</v>
      </c>
      <c r="G2987" t="inlineStr">
        <is>
          <t>Tech D</t>
        </is>
      </c>
      <c r="H2987">
        <f>INDEX(Limits!$B$2:$B$5,MATCH(E2987,Limits!$A$2:$A$5,0))</f>
        <v/>
      </c>
      <c r="I2987">
        <f>INDEX(Limits!$C$2:$C$5,MATCH(E2987,Limits!$A$2:$A$5,0))</f>
        <v/>
      </c>
      <c r="J2987">
        <f>IF(F2987&gt;=I2987,"Action",IF(F2987&gt;=H2987,"Alert","Pass"))</f>
        <v/>
      </c>
      <c r="K2987" s="4">
        <f>DATE(YEAR(B2987),MONTH(B2987),1)</f>
        <v/>
      </c>
    </row>
    <row r="2988">
      <c r="A2988" t="inlineStr">
        <is>
          <t>EM002987</t>
        </is>
      </c>
      <c r="B2988" s="7" t="n">
        <v>46246</v>
      </c>
      <c r="C2988" t="inlineStr">
        <is>
          <t>CR-101</t>
        </is>
      </c>
      <c r="D2988" t="inlineStr">
        <is>
          <t>ISO 7</t>
        </is>
      </c>
      <c r="E2988" t="inlineStr">
        <is>
          <t>Personnel glove</t>
        </is>
      </c>
      <c r="F2988" t="n">
        <v>0</v>
      </c>
      <c r="G2988" t="inlineStr">
        <is>
          <t>Tech D</t>
        </is>
      </c>
      <c r="H2988">
        <f>INDEX(Limits!$B$2:$B$5,MATCH(E2988,Limits!$A$2:$A$5,0))</f>
        <v/>
      </c>
      <c r="I2988">
        <f>INDEX(Limits!$C$2:$C$5,MATCH(E2988,Limits!$A$2:$A$5,0))</f>
        <v/>
      </c>
      <c r="J2988">
        <f>IF(F2988&gt;=I2988,"Action",IF(F2988&gt;=H2988,"Alert","Pass"))</f>
        <v/>
      </c>
      <c r="K2988" s="4">
        <f>DATE(YEAR(B2988),MONTH(B2988),1)</f>
        <v/>
      </c>
    </row>
    <row r="2989">
      <c r="A2989" t="inlineStr">
        <is>
          <t>EM002988</t>
        </is>
      </c>
      <c r="B2989" s="7" t="n">
        <v>46246</v>
      </c>
      <c r="C2989" t="inlineStr">
        <is>
          <t>CR-102</t>
        </is>
      </c>
      <c r="D2989" t="inlineStr">
        <is>
          <t>ISO 7</t>
        </is>
      </c>
      <c r="E2989" t="inlineStr">
        <is>
          <t>Active air</t>
        </is>
      </c>
      <c r="F2989" t="n">
        <v>0</v>
      </c>
      <c r="G2989" t="inlineStr">
        <is>
          <t>Tech D</t>
        </is>
      </c>
      <c r="H2989">
        <f>INDEX(Limits!$B$2:$B$5,MATCH(E2989,Limits!$A$2:$A$5,0))</f>
        <v/>
      </c>
      <c r="I2989">
        <f>INDEX(Limits!$C$2:$C$5,MATCH(E2989,Limits!$A$2:$A$5,0))</f>
        <v/>
      </c>
      <c r="J2989">
        <f>IF(F2989&gt;=I2989,"Action",IF(F2989&gt;=H2989,"Alert","Pass"))</f>
        <v/>
      </c>
      <c r="K2989" s="4">
        <f>DATE(YEAR(B2989),MONTH(B2989),1)</f>
        <v/>
      </c>
    </row>
    <row r="2990">
      <c r="A2990" t="inlineStr">
        <is>
          <t>EM002989</t>
        </is>
      </c>
      <c r="B2990" s="7" t="n">
        <v>46246</v>
      </c>
      <c r="C2990" t="inlineStr">
        <is>
          <t>CR-102</t>
        </is>
      </c>
      <c r="D2990" t="inlineStr">
        <is>
          <t>ISO 7</t>
        </is>
      </c>
      <c r="E2990" t="inlineStr">
        <is>
          <t>Surface contact</t>
        </is>
      </c>
      <c r="F2990" t="n">
        <v>1</v>
      </c>
      <c r="G2990" t="inlineStr">
        <is>
          <t>Tech B</t>
        </is>
      </c>
      <c r="H2990">
        <f>INDEX(Limits!$B$2:$B$5,MATCH(E2990,Limits!$A$2:$A$5,0))</f>
        <v/>
      </c>
      <c r="I2990">
        <f>INDEX(Limits!$C$2:$C$5,MATCH(E2990,Limits!$A$2:$A$5,0))</f>
        <v/>
      </c>
      <c r="J2990">
        <f>IF(F2990&gt;=I2990,"Action",IF(F2990&gt;=H2990,"Alert","Pass"))</f>
        <v/>
      </c>
      <c r="K2990" s="4">
        <f>DATE(YEAR(B2990),MONTH(B2990),1)</f>
        <v/>
      </c>
    </row>
    <row r="2991">
      <c r="A2991" t="inlineStr">
        <is>
          <t>EM002990</t>
        </is>
      </c>
      <c r="B2991" s="7" t="n">
        <v>46246</v>
      </c>
      <c r="C2991" t="inlineStr">
        <is>
          <t>CR-102</t>
        </is>
      </c>
      <c r="D2991" t="inlineStr">
        <is>
          <t>ISO 7</t>
        </is>
      </c>
      <c r="E2991" t="inlineStr">
        <is>
          <t>Compressed air</t>
        </is>
      </c>
      <c r="F2991" t="n">
        <v>0</v>
      </c>
      <c r="G2991" t="inlineStr">
        <is>
          <t>Tech D</t>
        </is>
      </c>
      <c r="H2991">
        <f>INDEX(Limits!$B$2:$B$5,MATCH(E2991,Limits!$A$2:$A$5,0))</f>
        <v/>
      </c>
      <c r="I2991">
        <f>INDEX(Limits!$C$2:$C$5,MATCH(E2991,Limits!$A$2:$A$5,0))</f>
        <v/>
      </c>
      <c r="J2991">
        <f>IF(F2991&gt;=I2991,"Action",IF(F2991&gt;=H2991,"Alert","Pass"))</f>
        <v/>
      </c>
      <c r="K2991" s="4">
        <f>DATE(YEAR(B2991),MONTH(B2991),1)</f>
        <v/>
      </c>
    </row>
    <row r="2992">
      <c r="A2992" t="inlineStr">
        <is>
          <t>EM002991</t>
        </is>
      </c>
      <c r="B2992" s="7" t="n">
        <v>46246</v>
      </c>
      <c r="C2992" t="inlineStr">
        <is>
          <t>CR-102</t>
        </is>
      </c>
      <c r="D2992" t="inlineStr">
        <is>
          <t>ISO 7</t>
        </is>
      </c>
      <c r="E2992" t="inlineStr">
        <is>
          <t>Personnel glove</t>
        </is>
      </c>
      <c r="F2992" t="n">
        <v>1</v>
      </c>
      <c r="G2992" t="inlineStr">
        <is>
          <t>Tech D</t>
        </is>
      </c>
      <c r="H2992">
        <f>INDEX(Limits!$B$2:$B$5,MATCH(E2992,Limits!$A$2:$A$5,0))</f>
        <v/>
      </c>
      <c r="I2992">
        <f>INDEX(Limits!$C$2:$C$5,MATCH(E2992,Limits!$A$2:$A$5,0))</f>
        <v/>
      </c>
      <c r="J2992">
        <f>IF(F2992&gt;=I2992,"Action",IF(F2992&gt;=H2992,"Alert","Pass"))</f>
        <v/>
      </c>
      <c r="K2992" s="4">
        <f>DATE(YEAR(B2992),MONTH(B2992),1)</f>
        <v/>
      </c>
    </row>
    <row r="2993">
      <c r="A2993" t="inlineStr">
        <is>
          <t>EM002992</t>
        </is>
      </c>
      <c r="B2993" s="7" t="n">
        <v>46246</v>
      </c>
      <c r="C2993" t="inlineStr">
        <is>
          <t>CR-201</t>
        </is>
      </c>
      <c r="D2993" t="inlineStr">
        <is>
          <t>ISO 8</t>
        </is>
      </c>
      <c r="E2993" t="inlineStr">
        <is>
          <t>Active air</t>
        </is>
      </c>
      <c r="F2993" t="n">
        <v>0</v>
      </c>
      <c r="G2993" t="inlineStr">
        <is>
          <t>Tech B</t>
        </is>
      </c>
      <c r="H2993">
        <f>INDEX(Limits!$B$2:$B$5,MATCH(E2993,Limits!$A$2:$A$5,0))</f>
        <v/>
      </c>
      <c r="I2993">
        <f>INDEX(Limits!$C$2:$C$5,MATCH(E2993,Limits!$A$2:$A$5,0))</f>
        <v/>
      </c>
      <c r="J2993">
        <f>IF(F2993&gt;=I2993,"Action",IF(F2993&gt;=H2993,"Alert","Pass"))</f>
        <v/>
      </c>
      <c r="K2993" s="4">
        <f>DATE(YEAR(B2993),MONTH(B2993),1)</f>
        <v/>
      </c>
    </row>
    <row r="2994">
      <c r="A2994" t="inlineStr">
        <is>
          <t>EM002993</t>
        </is>
      </c>
      <c r="B2994" s="7" t="n">
        <v>46246</v>
      </c>
      <c r="C2994" t="inlineStr">
        <is>
          <t>CR-201</t>
        </is>
      </c>
      <c r="D2994" t="inlineStr">
        <is>
          <t>ISO 8</t>
        </is>
      </c>
      <c r="E2994" t="inlineStr">
        <is>
          <t>Surface contact</t>
        </is>
      </c>
      <c r="F2994" t="n">
        <v>2</v>
      </c>
      <c r="G2994" t="inlineStr">
        <is>
          <t>Tech A</t>
        </is>
      </c>
      <c r="H2994">
        <f>INDEX(Limits!$B$2:$B$5,MATCH(E2994,Limits!$A$2:$A$5,0))</f>
        <v/>
      </c>
      <c r="I2994">
        <f>INDEX(Limits!$C$2:$C$5,MATCH(E2994,Limits!$A$2:$A$5,0))</f>
        <v/>
      </c>
      <c r="J2994">
        <f>IF(F2994&gt;=I2994,"Action",IF(F2994&gt;=H2994,"Alert","Pass"))</f>
        <v/>
      </c>
      <c r="K2994" s="4">
        <f>DATE(YEAR(B2994),MONTH(B2994),1)</f>
        <v/>
      </c>
    </row>
    <row r="2995">
      <c r="A2995" t="inlineStr">
        <is>
          <t>EM002994</t>
        </is>
      </c>
      <c r="B2995" s="7" t="n">
        <v>46246</v>
      </c>
      <c r="C2995" t="inlineStr">
        <is>
          <t>CR-201</t>
        </is>
      </c>
      <c r="D2995" t="inlineStr">
        <is>
          <t>ISO 8</t>
        </is>
      </c>
      <c r="E2995" t="inlineStr">
        <is>
          <t>Compressed air</t>
        </is>
      </c>
      <c r="F2995" t="n">
        <v>0</v>
      </c>
      <c r="G2995" t="inlineStr">
        <is>
          <t>Tech A</t>
        </is>
      </c>
      <c r="H2995">
        <f>INDEX(Limits!$B$2:$B$5,MATCH(E2995,Limits!$A$2:$A$5,0))</f>
        <v/>
      </c>
      <c r="I2995">
        <f>INDEX(Limits!$C$2:$C$5,MATCH(E2995,Limits!$A$2:$A$5,0))</f>
        <v/>
      </c>
      <c r="J2995">
        <f>IF(F2995&gt;=I2995,"Action",IF(F2995&gt;=H2995,"Alert","Pass"))</f>
        <v/>
      </c>
      <c r="K2995" s="4">
        <f>DATE(YEAR(B2995),MONTH(B2995),1)</f>
        <v/>
      </c>
    </row>
    <row r="2996">
      <c r="A2996" t="inlineStr">
        <is>
          <t>EM002995</t>
        </is>
      </c>
      <c r="B2996" s="7" t="n">
        <v>46246</v>
      </c>
      <c r="C2996" t="inlineStr">
        <is>
          <t>CR-201</t>
        </is>
      </c>
      <c r="D2996" t="inlineStr">
        <is>
          <t>ISO 8</t>
        </is>
      </c>
      <c r="E2996" t="inlineStr">
        <is>
          <t>Personnel glove</t>
        </is>
      </c>
      <c r="F2996" t="n">
        <v>0</v>
      </c>
      <c r="G2996" t="inlineStr">
        <is>
          <t>Tech B</t>
        </is>
      </c>
      <c r="H2996">
        <f>INDEX(Limits!$B$2:$B$5,MATCH(E2996,Limits!$A$2:$A$5,0))</f>
        <v/>
      </c>
      <c r="I2996">
        <f>INDEX(Limits!$C$2:$C$5,MATCH(E2996,Limits!$A$2:$A$5,0))</f>
        <v/>
      </c>
      <c r="J2996">
        <f>IF(F2996&gt;=I2996,"Action",IF(F2996&gt;=H2996,"Alert","Pass"))</f>
        <v/>
      </c>
      <c r="K2996" s="4">
        <f>DATE(YEAR(B2996),MONTH(B2996),1)</f>
        <v/>
      </c>
    </row>
    <row r="2997">
      <c r="A2997" t="inlineStr">
        <is>
          <t>EM002996</t>
        </is>
      </c>
      <c r="B2997" s="7" t="n">
        <v>46246</v>
      </c>
      <c r="C2997" t="inlineStr">
        <is>
          <t>CR-202</t>
        </is>
      </c>
      <c r="D2997" t="inlineStr">
        <is>
          <t>ISO 8</t>
        </is>
      </c>
      <c r="E2997" t="inlineStr">
        <is>
          <t>Active air</t>
        </is>
      </c>
      <c r="F2997" t="n">
        <v>4</v>
      </c>
      <c r="G2997" t="inlineStr">
        <is>
          <t>Tech A</t>
        </is>
      </c>
      <c r="H2997">
        <f>INDEX(Limits!$B$2:$B$5,MATCH(E2997,Limits!$A$2:$A$5,0))</f>
        <v/>
      </c>
      <c r="I2997">
        <f>INDEX(Limits!$C$2:$C$5,MATCH(E2997,Limits!$A$2:$A$5,0))</f>
        <v/>
      </c>
      <c r="J2997">
        <f>IF(F2997&gt;=I2997,"Action",IF(F2997&gt;=H2997,"Alert","Pass"))</f>
        <v/>
      </c>
      <c r="K2997" s="4">
        <f>DATE(YEAR(B2997),MONTH(B2997),1)</f>
        <v/>
      </c>
    </row>
    <row r="2998">
      <c r="A2998" t="inlineStr">
        <is>
          <t>EM002997</t>
        </is>
      </c>
      <c r="B2998" s="7" t="n">
        <v>46246</v>
      </c>
      <c r="C2998" t="inlineStr">
        <is>
          <t>CR-202</t>
        </is>
      </c>
      <c r="D2998" t="inlineStr">
        <is>
          <t>ISO 8</t>
        </is>
      </c>
      <c r="E2998" t="inlineStr">
        <is>
          <t>Surface contact</t>
        </is>
      </c>
      <c r="F2998" t="n">
        <v>1</v>
      </c>
      <c r="G2998" t="inlineStr">
        <is>
          <t>Tech A</t>
        </is>
      </c>
      <c r="H2998">
        <f>INDEX(Limits!$B$2:$B$5,MATCH(E2998,Limits!$A$2:$A$5,0))</f>
        <v/>
      </c>
      <c r="I2998">
        <f>INDEX(Limits!$C$2:$C$5,MATCH(E2998,Limits!$A$2:$A$5,0))</f>
        <v/>
      </c>
      <c r="J2998">
        <f>IF(F2998&gt;=I2998,"Action",IF(F2998&gt;=H2998,"Alert","Pass"))</f>
        <v/>
      </c>
      <c r="K2998" s="4">
        <f>DATE(YEAR(B2998),MONTH(B2998),1)</f>
        <v/>
      </c>
    </row>
    <row r="2999">
      <c r="A2999" t="inlineStr">
        <is>
          <t>EM002998</t>
        </is>
      </c>
      <c r="B2999" s="7" t="n">
        <v>46246</v>
      </c>
      <c r="C2999" t="inlineStr">
        <is>
          <t>CR-202</t>
        </is>
      </c>
      <c r="D2999" t="inlineStr">
        <is>
          <t>ISO 8</t>
        </is>
      </c>
      <c r="E2999" t="inlineStr">
        <is>
          <t>Compressed air</t>
        </is>
      </c>
      <c r="F2999" t="n">
        <v>0</v>
      </c>
      <c r="G2999" t="inlineStr">
        <is>
          <t>Tech B</t>
        </is>
      </c>
      <c r="H2999">
        <f>INDEX(Limits!$B$2:$B$5,MATCH(E2999,Limits!$A$2:$A$5,0))</f>
        <v/>
      </c>
      <c r="I2999">
        <f>INDEX(Limits!$C$2:$C$5,MATCH(E2999,Limits!$A$2:$A$5,0))</f>
        <v/>
      </c>
      <c r="J2999">
        <f>IF(F2999&gt;=I2999,"Action",IF(F2999&gt;=H2999,"Alert","Pass"))</f>
        <v/>
      </c>
      <c r="K2999" s="4">
        <f>DATE(YEAR(B2999),MONTH(B2999),1)</f>
        <v/>
      </c>
    </row>
    <row r="3000">
      <c r="A3000" t="inlineStr">
        <is>
          <t>EM002999</t>
        </is>
      </c>
      <c r="B3000" s="7" t="n">
        <v>46246</v>
      </c>
      <c r="C3000" t="inlineStr">
        <is>
          <t>CR-202</t>
        </is>
      </c>
      <c r="D3000" t="inlineStr">
        <is>
          <t>ISO 8</t>
        </is>
      </c>
      <c r="E3000" t="inlineStr">
        <is>
          <t>Personnel glove</t>
        </is>
      </c>
      <c r="F3000" t="n">
        <v>0</v>
      </c>
      <c r="G3000" t="inlineStr">
        <is>
          <t>Tech D</t>
        </is>
      </c>
      <c r="H3000">
        <f>INDEX(Limits!$B$2:$B$5,MATCH(E3000,Limits!$A$2:$A$5,0))</f>
        <v/>
      </c>
      <c r="I3000">
        <f>INDEX(Limits!$C$2:$C$5,MATCH(E3000,Limits!$A$2:$A$5,0))</f>
        <v/>
      </c>
      <c r="J3000">
        <f>IF(F3000&gt;=I3000,"Action",IF(F3000&gt;=H3000,"Alert","Pass"))</f>
        <v/>
      </c>
      <c r="K3000" s="4">
        <f>DATE(YEAR(B3000),MONTH(B3000),1)</f>
        <v/>
      </c>
    </row>
    <row r="3001">
      <c r="A3001" t="inlineStr">
        <is>
          <t>EM003000</t>
        </is>
      </c>
      <c r="B3001" s="7" t="n">
        <v>46246</v>
      </c>
      <c r="C3001" t="inlineStr">
        <is>
          <t>Gowning</t>
        </is>
      </c>
      <c r="D3001" t="inlineStr">
        <is>
          <t>ISO 8</t>
        </is>
      </c>
      <c r="E3001" t="inlineStr">
        <is>
          <t>Active air</t>
        </is>
      </c>
      <c r="F3001" t="n">
        <v>2</v>
      </c>
      <c r="G3001" t="inlineStr">
        <is>
          <t>Tech A</t>
        </is>
      </c>
      <c r="H3001">
        <f>INDEX(Limits!$B$2:$B$5,MATCH(E3001,Limits!$A$2:$A$5,0))</f>
        <v/>
      </c>
      <c r="I3001">
        <f>INDEX(Limits!$C$2:$C$5,MATCH(E3001,Limits!$A$2:$A$5,0))</f>
        <v/>
      </c>
      <c r="J3001">
        <f>IF(F3001&gt;=I3001,"Action",IF(F3001&gt;=H3001,"Alert","Pass"))</f>
        <v/>
      </c>
      <c r="K3001" s="4">
        <f>DATE(YEAR(B3001),MONTH(B3001),1)</f>
        <v/>
      </c>
    </row>
    <row r="3002">
      <c r="A3002" t="inlineStr">
        <is>
          <t>EM003001</t>
        </is>
      </c>
      <c r="B3002" s="7" t="n">
        <v>46246</v>
      </c>
      <c r="C3002" t="inlineStr">
        <is>
          <t>Gowning</t>
        </is>
      </c>
      <c r="D3002" t="inlineStr">
        <is>
          <t>ISO 8</t>
        </is>
      </c>
      <c r="E3002" t="inlineStr">
        <is>
          <t>Surface contact</t>
        </is>
      </c>
      <c r="F3002" t="n">
        <v>0</v>
      </c>
      <c r="G3002" t="inlineStr">
        <is>
          <t>Tech A</t>
        </is>
      </c>
      <c r="H3002">
        <f>INDEX(Limits!$B$2:$B$5,MATCH(E3002,Limits!$A$2:$A$5,0))</f>
        <v/>
      </c>
      <c r="I3002">
        <f>INDEX(Limits!$C$2:$C$5,MATCH(E3002,Limits!$A$2:$A$5,0))</f>
        <v/>
      </c>
      <c r="J3002">
        <f>IF(F3002&gt;=I3002,"Action",IF(F3002&gt;=H3002,"Alert","Pass"))</f>
        <v/>
      </c>
      <c r="K3002" s="4">
        <f>DATE(YEAR(B3002),MONTH(B3002),1)</f>
        <v/>
      </c>
    </row>
    <row r="3003">
      <c r="A3003" t="inlineStr">
        <is>
          <t>EM003002</t>
        </is>
      </c>
      <c r="B3003" s="7" t="n">
        <v>46246</v>
      </c>
      <c r="C3003" t="inlineStr">
        <is>
          <t>Gowning</t>
        </is>
      </c>
      <c r="D3003" t="inlineStr">
        <is>
          <t>ISO 8</t>
        </is>
      </c>
      <c r="E3003" t="inlineStr">
        <is>
          <t>Personnel glove</t>
        </is>
      </c>
      <c r="F3003" t="n">
        <v>0</v>
      </c>
      <c r="G3003" t="inlineStr">
        <is>
          <t>Tech C</t>
        </is>
      </c>
      <c r="H3003">
        <f>INDEX(Limits!$B$2:$B$5,MATCH(E3003,Limits!$A$2:$A$5,0))</f>
        <v/>
      </c>
      <c r="I3003">
        <f>INDEX(Limits!$C$2:$C$5,MATCH(E3003,Limits!$A$2:$A$5,0))</f>
        <v/>
      </c>
      <c r="J3003">
        <f>IF(F3003&gt;=I3003,"Action",IF(F3003&gt;=H3003,"Alert","Pass"))</f>
        <v/>
      </c>
      <c r="K3003" s="4">
        <f>DATE(YEAR(B3003),MONTH(B3003),1)</f>
        <v/>
      </c>
    </row>
    <row r="3004">
      <c r="A3004" t="inlineStr">
        <is>
          <t>EM003003</t>
        </is>
      </c>
      <c r="B3004" s="7" t="n">
        <v>46247</v>
      </c>
      <c r="C3004" t="inlineStr">
        <is>
          <t>CR-101</t>
        </is>
      </c>
      <c r="D3004" t="inlineStr">
        <is>
          <t>ISO 7</t>
        </is>
      </c>
      <c r="E3004" t="inlineStr">
        <is>
          <t>Active air</t>
        </is>
      </c>
      <c r="F3004" t="n">
        <v>1</v>
      </c>
      <c r="G3004" t="inlineStr">
        <is>
          <t>Tech D</t>
        </is>
      </c>
      <c r="H3004">
        <f>INDEX(Limits!$B$2:$B$5,MATCH(E3004,Limits!$A$2:$A$5,0))</f>
        <v/>
      </c>
      <c r="I3004">
        <f>INDEX(Limits!$C$2:$C$5,MATCH(E3004,Limits!$A$2:$A$5,0))</f>
        <v/>
      </c>
      <c r="J3004">
        <f>IF(F3004&gt;=I3004,"Action",IF(F3004&gt;=H3004,"Alert","Pass"))</f>
        <v/>
      </c>
      <c r="K3004" s="4">
        <f>DATE(YEAR(B3004),MONTH(B3004),1)</f>
        <v/>
      </c>
    </row>
    <row r="3005">
      <c r="A3005" t="inlineStr">
        <is>
          <t>EM003004</t>
        </is>
      </c>
      <c r="B3005" s="7" t="n">
        <v>46247</v>
      </c>
      <c r="C3005" t="inlineStr">
        <is>
          <t>CR-101</t>
        </is>
      </c>
      <c r="D3005" t="inlineStr">
        <is>
          <t>ISO 7</t>
        </is>
      </c>
      <c r="E3005" t="inlineStr">
        <is>
          <t>Surface contact</t>
        </is>
      </c>
      <c r="F3005" t="n">
        <v>1</v>
      </c>
      <c r="G3005" t="inlineStr">
        <is>
          <t>Tech B</t>
        </is>
      </c>
      <c r="H3005">
        <f>INDEX(Limits!$B$2:$B$5,MATCH(E3005,Limits!$A$2:$A$5,0))</f>
        <v/>
      </c>
      <c r="I3005">
        <f>INDEX(Limits!$C$2:$C$5,MATCH(E3005,Limits!$A$2:$A$5,0))</f>
        <v/>
      </c>
      <c r="J3005">
        <f>IF(F3005&gt;=I3005,"Action",IF(F3005&gt;=H3005,"Alert","Pass"))</f>
        <v/>
      </c>
      <c r="K3005" s="4">
        <f>DATE(YEAR(B3005),MONTH(B3005),1)</f>
        <v/>
      </c>
    </row>
    <row r="3006">
      <c r="A3006" t="inlineStr">
        <is>
          <t>EM003005</t>
        </is>
      </c>
      <c r="B3006" s="7" t="n">
        <v>46247</v>
      </c>
      <c r="C3006" t="inlineStr">
        <is>
          <t>CR-101</t>
        </is>
      </c>
      <c r="D3006" t="inlineStr">
        <is>
          <t>ISO 7</t>
        </is>
      </c>
      <c r="E3006" t="inlineStr">
        <is>
          <t>Compressed air</t>
        </is>
      </c>
      <c r="F3006" t="n">
        <v>0</v>
      </c>
      <c r="G3006" t="inlineStr">
        <is>
          <t>Tech B</t>
        </is>
      </c>
      <c r="H3006">
        <f>INDEX(Limits!$B$2:$B$5,MATCH(E3006,Limits!$A$2:$A$5,0))</f>
        <v/>
      </c>
      <c r="I3006">
        <f>INDEX(Limits!$C$2:$C$5,MATCH(E3006,Limits!$A$2:$A$5,0))</f>
        <v/>
      </c>
      <c r="J3006">
        <f>IF(F3006&gt;=I3006,"Action",IF(F3006&gt;=H3006,"Alert","Pass"))</f>
        <v/>
      </c>
      <c r="K3006" s="4">
        <f>DATE(YEAR(B3006),MONTH(B3006),1)</f>
        <v/>
      </c>
    </row>
    <row r="3007">
      <c r="A3007" t="inlineStr">
        <is>
          <t>EM003006</t>
        </is>
      </c>
      <c r="B3007" s="7" t="n">
        <v>46247</v>
      </c>
      <c r="C3007" t="inlineStr">
        <is>
          <t>CR-101</t>
        </is>
      </c>
      <c r="D3007" t="inlineStr">
        <is>
          <t>ISO 7</t>
        </is>
      </c>
      <c r="E3007" t="inlineStr">
        <is>
          <t>Personnel glove</t>
        </is>
      </c>
      <c r="F3007" t="n">
        <v>0</v>
      </c>
      <c r="G3007" t="inlineStr">
        <is>
          <t>Tech B</t>
        </is>
      </c>
      <c r="H3007">
        <f>INDEX(Limits!$B$2:$B$5,MATCH(E3007,Limits!$A$2:$A$5,0))</f>
        <v/>
      </c>
      <c r="I3007">
        <f>INDEX(Limits!$C$2:$C$5,MATCH(E3007,Limits!$A$2:$A$5,0))</f>
        <v/>
      </c>
      <c r="J3007">
        <f>IF(F3007&gt;=I3007,"Action",IF(F3007&gt;=H3007,"Alert","Pass"))</f>
        <v/>
      </c>
      <c r="K3007" s="4">
        <f>DATE(YEAR(B3007),MONTH(B3007),1)</f>
        <v/>
      </c>
    </row>
    <row r="3008">
      <c r="A3008" t="inlineStr">
        <is>
          <t>EM003007</t>
        </is>
      </c>
      <c r="B3008" s="7" t="n">
        <v>46247</v>
      </c>
      <c r="C3008" t="inlineStr">
        <is>
          <t>CR-102</t>
        </is>
      </c>
      <c r="D3008" t="inlineStr">
        <is>
          <t>ISO 7</t>
        </is>
      </c>
      <c r="E3008" t="inlineStr">
        <is>
          <t>Active air</t>
        </is>
      </c>
      <c r="F3008" t="n">
        <v>1</v>
      </c>
      <c r="G3008" t="inlineStr">
        <is>
          <t>Tech A</t>
        </is>
      </c>
      <c r="H3008">
        <f>INDEX(Limits!$B$2:$B$5,MATCH(E3008,Limits!$A$2:$A$5,0))</f>
        <v/>
      </c>
      <c r="I3008">
        <f>INDEX(Limits!$C$2:$C$5,MATCH(E3008,Limits!$A$2:$A$5,0))</f>
        <v/>
      </c>
      <c r="J3008">
        <f>IF(F3008&gt;=I3008,"Action",IF(F3008&gt;=H3008,"Alert","Pass"))</f>
        <v/>
      </c>
      <c r="K3008" s="4">
        <f>DATE(YEAR(B3008),MONTH(B3008),1)</f>
        <v/>
      </c>
    </row>
    <row r="3009">
      <c r="A3009" t="inlineStr">
        <is>
          <t>EM003008</t>
        </is>
      </c>
      <c r="B3009" s="7" t="n">
        <v>46247</v>
      </c>
      <c r="C3009" t="inlineStr">
        <is>
          <t>CR-102</t>
        </is>
      </c>
      <c r="D3009" t="inlineStr">
        <is>
          <t>ISO 7</t>
        </is>
      </c>
      <c r="E3009" t="inlineStr">
        <is>
          <t>Surface contact</t>
        </is>
      </c>
      <c r="F3009" t="n">
        <v>1</v>
      </c>
      <c r="G3009" t="inlineStr">
        <is>
          <t>Tech D</t>
        </is>
      </c>
      <c r="H3009">
        <f>INDEX(Limits!$B$2:$B$5,MATCH(E3009,Limits!$A$2:$A$5,0))</f>
        <v/>
      </c>
      <c r="I3009">
        <f>INDEX(Limits!$C$2:$C$5,MATCH(E3009,Limits!$A$2:$A$5,0))</f>
        <v/>
      </c>
      <c r="J3009">
        <f>IF(F3009&gt;=I3009,"Action",IF(F3009&gt;=H3009,"Alert","Pass"))</f>
        <v/>
      </c>
      <c r="K3009" s="4">
        <f>DATE(YEAR(B3009),MONTH(B3009),1)</f>
        <v/>
      </c>
    </row>
    <row r="3010">
      <c r="A3010" t="inlineStr">
        <is>
          <t>EM003009</t>
        </is>
      </c>
      <c r="B3010" s="7" t="n">
        <v>46247</v>
      </c>
      <c r="C3010" t="inlineStr">
        <is>
          <t>CR-102</t>
        </is>
      </c>
      <c r="D3010" t="inlineStr">
        <is>
          <t>ISO 7</t>
        </is>
      </c>
      <c r="E3010" t="inlineStr">
        <is>
          <t>Compressed air</t>
        </is>
      </c>
      <c r="F3010" t="n">
        <v>0</v>
      </c>
      <c r="G3010" t="inlineStr">
        <is>
          <t>Tech C</t>
        </is>
      </c>
      <c r="H3010">
        <f>INDEX(Limits!$B$2:$B$5,MATCH(E3010,Limits!$A$2:$A$5,0))</f>
        <v/>
      </c>
      <c r="I3010">
        <f>INDEX(Limits!$C$2:$C$5,MATCH(E3010,Limits!$A$2:$A$5,0))</f>
        <v/>
      </c>
      <c r="J3010">
        <f>IF(F3010&gt;=I3010,"Action",IF(F3010&gt;=H3010,"Alert","Pass"))</f>
        <v/>
      </c>
      <c r="K3010" s="4">
        <f>DATE(YEAR(B3010),MONTH(B3010),1)</f>
        <v/>
      </c>
    </row>
    <row r="3011">
      <c r="A3011" t="inlineStr">
        <is>
          <t>EM003010</t>
        </is>
      </c>
      <c r="B3011" s="7" t="n">
        <v>46247</v>
      </c>
      <c r="C3011" t="inlineStr">
        <is>
          <t>CR-102</t>
        </is>
      </c>
      <c r="D3011" t="inlineStr">
        <is>
          <t>ISO 7</t>
        </is>
      </c>
      <c r="E3011" t="inlineStr">
        <is>
          <t>Personnel glove</t>
        </is>
      </c>
      <c r="F3011" t="n">
        <v>0</v>
      </c>
      <c r="G3011" t="inlineStr">
        <is>
          <t>Tech C</t>
        </is>
      </c>
      <c r="H3011">
        <f>INDEX(Limits!$B$2:$B$5,MATCH(E3011,Limits!$A$2:$A$5,0))</f>
        <v/>
      </c>
      <c r="I3011">
        <f>INDEX(Limits!$C$2:$C$5,MATCH(E3011,Limits!$A$2:$A$5,0))</f>
        <v/>
      </c>
      <c r="J3011">
        <f>IF(F3011&gt;=I3011,"Action",IF(F3011&gt;=H3011,"Alert","Pass"))</f>
        <v/>
      </c>
      <c r="K3011" s="4">
        <f>DATE(YEAR(B3011),MONTH(B3011),1)</f>
        <v/>
      </c>
    </row>
    <row r="3012">
      <c r="A3012" t="inlineStr">
        <is>
          <t>EM003011</t>
        </is>
      </c>
      <c r="B3012" s="7" t="n">
        <v>46247</v>
      </c>
      <c r="C3012" t="inlineStr">
        <is>
          <t>CR-201</t>
        </is>
      </c>
      <c r="D3012" t="inlineStr">
        <is>
          <t>ISO 8</t>
        </is>
      </c>
      <c r="E3012" t="inlineStr">
        <is>
          <t>Active air</t>
        </is>
      </c>
      <c r="F3012" t="n">
        <v>1</v>
      </c>
      <c r="G3012" t="inlineStr">
        <is>
          <t>Tech B</t>
        </is>
      </c>
      <c r="H3012">
        <f>INDEX(Limits!$B$2:$B$5,MATCH(E3012,Limits!$A$2:$A$5,0))</f>
        <v/>
      </c>
      <c r="I3012">
        <f>INDEX(Limits!$C$2:$C$5,MATCH(E3012,Limits!$A$2:$A$5,0))</f>
        <v/>
      </c>
      <c r="J3012">
        <f>IF(F3012&gt;=I3012,"Action",IF(F3012&gt;=H3012,"Alert","Pass"))</f>
        <v/>
      </c>
      <c r="K3012" s="4">
        <f>DATE(YEAR(B3012),MONTH(B3012),1)</f>
        <v/>
      </c>
    </row>
    <row r="3013">
      <c r="A3013" t="inlineStr">
        <is>
          <t>EM003012</t>
        </is>
      </c>
      <c r="B3013" s="7" t="n">
        <v>46247</v>
      </c>
      <c r="C3013" t="inlineStr">
        <is>
          <t>CR-201</t>
        </is>
      </c>
      <c r="D3013" t="inlineStr">
        <is>
          <t>ISO 8</t>
        </is>
      </c>
      <c r="E3013" t="inlineStr">
        <is>
          <t>Surface contact</t>
        </is>
      </c>
      <c r="F3013" t="n">
        <v>1</v>
      </c>
      <c r="G3013" t="inlineStr">
        <is>
          <t>Tech A</t>
        </is>
      </c>
      <c r="H3013">
        <f>INDEX(Limits!$B$2:$B$5,MATCH(E3013,Limits!$A$2:$A$5,0))</f>
        <v/>
      </c>
      <c r="I3013">
        <f>INDEX(Limits!$C$2:$C$5,MATCH(E3013,Limits!$A$2:$A$5,0))</f>
        <v/>
      </c>
      <c r="J3013">
        <f>IF(F3013&gt;=I3013,"Action",IF(F3013&gt;=H3013,"Alert","Pass"))</f>
        <v/>
      </c>
      <c r="K3013" s="4">
        <f>DATE(YEAR(B3013),MONTH(B3013),1)</f>
        <v/>
      </c>
    </row>
    <row r="3014">
      <c r="A3014" t="inlineStr">
        <is>
          <t>EM003013</t>
        </is>
      </c>
      <c r="B3014" s="7" t="n">
        <v>46247</v>
      </c>
      <c r="C3014" t="inlineStr">
        <is>
          <t>CR-201</t>
        </is>
      </c>
      <c r="D3014" t="inlineStr">
        <is>
          <t>ISO 8</t>
        </is>
      </c>
      <c r="E3014" t="inlineStr">
        <is>
          <t>Compressed air</t>
        </is>
      </c>
      <c r="F3014" t="n">
        <v>0</v>
      </c>
      <c r="G3014" t="inlineStr">
        <is>
          <t>Tech A</t>
        </is>
      </c>
      <c r="H3014">
        <f>INDEX(Limits!$B$2:$B$5,MATCH(E3014,Limits!$A$2:$A$5,0))</f>
        <v/>
      </c>
      <c r="I3014">
        <f>INDEX(Limits!$C$2:$C$5,MATCH(E3014,Limits!$A$2:$A$5,0))</f>
        <v/>
      </c>
      <c r="J3014">
        <f>IF(F3014&gt;=I3014,"Action",IF(F3014&gt;=H3014,"Alert","Pass"))</f>
        <v/>
      </c>
      <c r="K3014" s="4">
        <f>DATE(YEAR(B3014),MONTH(B3014),1)</f>
        <v/>
      </c>
    </row>
    <row r="3015">
      <c r="A3015" t="inlineStr">
        <is>
          <t>EM003014</t>
        </is>
      </c>
      <c r="B3015" s="7" t="n">
        <v>46247</v>
      </c>
      <c r="C3015" t="inlineStr">
        <is>
          <t>CR-201</t>
        </is>
      </c>
      <c r="D3015" t="inlineStr">
        <is>
          <t>ISO 8</t>
        </is>
      </c>
      <c r="E3015" t="inlineStr">
        <is>
          <t>Personnel glove</t>
        </is>
      </c>
      <c r="F3015" t="n">
        <v>0</v>
      </c>
      <c r="G3015" t="inlineStr">
        <is>
          <t>Tech B</t>
        </is>
      </c>
      <c r="H3015">
        <f>INDEX(Limits!$B$2:$B$5,MATCH(E3015,Limits!$A$2:$A$5,0))</f>
        <v/>
      </c>
      <c r="I3015">
        <f>INDEX(Limits!$C$2:$C$5,MATCH(E3015,Limits!$A$2:$A$5,0))</f>
        <v/>
      </c>
      <c r="J3015">
        <f>IF(F3015&gt;=I3015,"Action",IF(F3015&gt;=H3015,"Alert","Pass"))</f>
        <v/>
      </c>
      <c r="K3015" s="4">
        <f>DATE(YEAR(B3015),MONTH(B3015),1)</f>
        <v/>
      </c>
    </row>
    <row r="3016">
      <c r="A3016" t="inlineStr">
        <is>
          <t>EM003015</t>
        </is>
      </c>
      <c r="B3016" s="7" t="n">
        <v>46247</v>
      </c>
      <c r="C3016" t="inlineStr">
        <is>
          <t>CR-202</t>
        </is>
      </c>
      <c r="D3016" t="inlineStr">
        <is>
          <t>ISO 8</t>
        </is>
      </c>
      <c r="E3016" t="inlineStr">
        <is>
          <t>Active air</t>
        </is>
      </c>
      <c r="F3016" t="n">
        <v>3</v>
      </c>
      <c r="G3016" t="inlineStr">
        <is>
          <t>Tech D</t>
        </is>
      </c>
      <c r="H3016">
        <f>INDEX(Limits!$B$2:$B$5,MATCH(E3016,Limits!$A$2:$A$5,0))</f>
        <v/>
      </c>
      <c r="I3016">
        <f>INDEX(Limits!$C$2:$C$5,MATCH(E3016,Limits!$A$2:$A$5,0))</f>
        <v/>
      </c>
      <c r="J3016">
        <f>IF(F3016&gt;=I3016,"Action",IF(F3016&gt;=H3016,"Alert","Pass"))</f>
        <v/>
      </c>
      <c r="K3016" s="4">
        <f>DATE(YEAR(B3016),MONTH(B3016),1)</f>
        <v/>
      </c>
    </row>
    <row r="3017">
      <c r="A3017" t="inlineStr">
        <is>
          <t>EM003016</t>
        </is>
      </c>
      <c r="B3017" s="7" t="n">
        <v>46247</v>
      </c>
      <c r="C3017" t="inlineStr">
        <is>
          <t>CR-202</t>
        </is>
      </c>
      <c r="D3017" t="inlineStr">
        <is>
          <t>ISO 8</t>
        </is>
      </c>
      <c r="E3017" t="inlineStr">
        <is>
          <t>Surface contact</t>
        </is>
      </c>
      <c r="F3017" t="n">
        <v>2</v>
      </c>
      <c r="G3017" t="inlineStr">
        <is>
          <t>Tech C</t>
        </is>
      </c>
      <c r="H3017">
        <f>INDEX(Limits!$B$2:$B$5,MATCH(E3017,Limits!$A$2:$A$5,0))</f>
        <v/>
      </c>
      <c r="I3017">
        <f>INDEX(Limits!$C$2:$C$5,MATCH(E3017,Limits!$A$2:$A$5,0))</f>
        <v/>
      </c>
      <c r="J3017">
        <f>IF(F3017&gt;=I3017,"Action",IF(F3017&gt;=H3017,"Alert","Pass"))</f>
        <v/>
      </c>
      <c r="K3017" s="4">
        <f>DATE(YEAR(B3017),MONTH(B3017),1)</f>
        <v/>
      </c>
    </row>
    <row r="3018">
      <c r="A3018" t="inlineStr">
        <is>
          <t>EM003017</t>
        </is>
      </c>
      <c r="B3018" s="7" t="n">
        <v>46247</v>
      </c>
      <c r="C3018" t="inlineStr">
        <is>
          <t>CR-202</t>
        </is>
      </c>
      <c r="D3018" t="inlineStr">
        <is>
          <t>ISO 8</t>
        </is>
      </c>
      <c r="E3018" t="inlineStr">
        <is>
          <t>Compressed air</t>
        </is>
      </c>
      <c r="F3018" t="n">
        <v>0</v>
      </c>
      <c r="G3018" t="inlineStr">
        <is>
          <t>Tech A</t>
        </is>
      </c>
      <c r="H3018">
        <f>INDEX(Limits!$B$2:$B$5,MATCH(E3018,Limits!$A$2:$A$5,0))</f>
        <v/>
      </c>
      <c r="I3018">
        <f>INDEX(Limits!$C$2:$C$5,MATCH(E3018,Limits!$A$2:$A$5,0))</f>
        <v/>
      </c>
      <c r="J3018">
        <f>IF(F3018&gt;=I3018,"Action",IF(F3018&gt;=H3018,"Alert","Pass"))</f>
        <v/>
      </c>
      <c r="K3018" s="4">
        <f>DATE(YEAR(B3018),MONTH(B3018),1)</f>
        <v/>
      </c>
    </row>
    <row r="3019">
      <c r="A3019" t="inlineStr">
        <is>
          <t>EM003018</t>
        </is>
      </c>
      <c r="B3019" s="7" t="n">
        <v>46247</v>
      </c>
      <c r="C3019" t="inlineStr">
        <is>
          <t>CR-202</t>
        </is>
      </c>
      <c r="D3019" t="inlineStr">
        <is>
          <t>ISO 8</t>
        </is>
      </c>
      <c r="E3019" t="inlineStr">
        <is>
          <t>Personnel glove</t>
        </is>
      </c>
      <c r="F3019" t="n">
        <v>1</v>
      </c>
      <c r="G3019" t="inlineStr">
        <is>
          <t>Tech C</t>
        </is>
      </c>
      <c r="H3019">
        <f>INDEX(Limits!$B$2:$B$5,MATCH(E3019,Limits!$A$2:$A$5,0))</f>
        <v/>
      </c>
      <c r="I3019">
        <f>INDEX(Limits!$C$2:$C$5,MATCH(E3019,Limits!$A$2:$A$5,0))</f>
        <v/>
      </c>
      <c r="J3019">
        <f>IF(F3019&gt;=I3019,"Action",IF(F3019&gt;=H3019,"Alert","Pass"))</f>
        <v/>
      </c>
      <c r="K3019" s="4">
        <f>DATE(YEAR(B3019),MONTH(B3019),1)</f>
        <v/>
      </c>
    </row>
    <row r="3020">
      <c r="A3020" t="inlineStr">
        <is>
          <t>EM003019</t>
        </is>
      </c>
      <c r="B3020" s="7" t="n">
        <v>46247</v>
      </c>
      <c r="C3020" t="inlineStr">
        <is>
          <t>Gowning</t>
        </is>
      </c>
      <c r="D3020" t="inlineStr">
        <is>
          <t>ISO 8</t>
        </is>
      </c>
      <c r="E3020" t="inlineStr">
        <is>
          <t>Active air</t>
        </is>
      </c>
      <c r="F3020" t="n">
        <v>3</v>
      </c>
      <c r="G3020" t="inlineStr">
        <is>
          <t>Tech B</t>
        </is>
      </c>
      <c r="H3020">
        <f>INDEX(Limits!$B$2:$B$5,MATCH(E3020,Limits!$A$2:$A$5,0))</f>
        <v/>
      </c>
      <c r="I3020">
        <f>INDEX(Limits!$C$2:$C$5,MATCH(E3020,Limits!$A$2:$A$5,0))</f>
        <v/>
      </c>
      <c r="J3020">
        <f>IF(F3020&gt;=I3020,"Action",IF(F3020&gt;=H3020,"Alert","Pass"))</f>
        <v/>
      </c>
      <c r="K3020" s="4">
        <f>DATE(YEAR(B3020),MONTH(B3020),1)</f>
        <v/>
      </c>
    </row>
    <row r="3021">
      <c r="A3021" t="inlineStr">
        <is>
          <t>EM003020</t>
        </is>
      </c>
      <c r="B3021" s="7" t="n">
        <v>46247</v>
      </c>
      <c r="C3021" t="inlineStr">
        <is>
          <t>Gowning</t>
        </is>
      </c>
      <c r="D3021" t="inlineStr">
        <is>
          <t>ISO 8</t>
        </is>
      </c>
      <c r="E3021" t="inlineStr">
        <is>
          <t>Surface contact</t>
        </is>
      </c>
      <c r="F3021" t="n">
        <v>0</v>
      </c>
      <c r="G3021" t="inlineStr">
        <is>
          <t>Tech D</t>
        </is>
      </c>
      <c r="H3021">
        <f>INDEX(Limits!$B$2:$B$5,MATCH(E3021,Limits!$A$2:$A$5,0))</f>
        <v/>
      </c>
      <c r="I3021">
        <f>INDEX(Limits!$C$2:$C$5,MATCH(E3021,Limits!$A$2:$A$5,0))</f>
        <v/>
      </c>
      <c r="J3021">
        <f>IF(F3021&gt;=I3021,"Action",IF(F3021&gt;=H3021,"Alert","Pass"))</f>
        <v/>
      </c>
      <c r="K3021" s="4">
        <f>DATE(YEAR(B3021),MONTH(B3021),1)</f>
        <v/>
      </c>
    </row>
    <row r="3022">
      <c r="A3022" t="inlineStr">
        <is>
          <t>EM003021</t>
        </is>
      </c>
      <c r="B3022" s="7" t="n">
        <v>46247</v>
      </c>
      <c r="C3022" t="inlineStr">
        <is>
          <t>Gowning</t>
        </is>
      </c>
      <c r="D3022" t="inlineStr">
        <is>
          <t>ISO 8</t>
        </is>
      </c>
      <c r="E3022" t="inlineStr">
        <is>
          <t>Personnel glove</t>
        </is>
      </c>
      <c r="F3022" t="n">
        <v>1</v>
      </c>
      <c r="G3022" t="inlineStr">
        <is>
          <t>Tech A</t>
        </is>
      </c>
      <c r="H3022">
        <f>INDEX(Limits!$B$2:$B$5,MATCH(E3022,Limits!$A$2:$A$5,0))</f>
        <v/>
      </c>
      <c r="I3022">
        <f>INDEX(Limits!$C$2:$C$5,MATCH(E3022,Limits!$A$2:$A$5,0))</f>
        <v/>
      </c>
      <c r="J3022">
        <f>IF(F3022&gt;=I3022,"Action",IF(F3022&gt;=H3022,"Alert","Pass"))</f>
        <v/>
      </c>
      <c r="K3022" s="4">
        <f>DATE(YEAR(B3022),MONTH(B3022),1)</f>
        <v/>
      </c>
    </row>
    <row r="3023">
      <c r="A3023" t="inlineStr">
        <is>
          <t>EM003022</t>
        </is>
      </c>
      <c r="B3023" s="7" t="n">
        <v>46248</v>
      </c>
      <c r="C3023" t="inlineStr">
        <is>
          <t>CR-101</t>
        </is>
      </c>
      <c r="D3023" t="inlineStr">
        <is>
          <t>ISO 7</t>
        </is>
      </c>
      <c r="E3023" t="inlineStr">
        <is>
          <t>Active air</t>
        </is>
      </c>
      <c r="F3023" t="n">
        <v>0</v>
      </c>
      <c r="G3023" t="inlineStr">
        <is>
          <t>Tech B</t>
        </is>
      </c>
      <c r="H3023">
        <f>INDEX(Limits!$B$2:$B$5,MATCH(E3023,Limits!$A$2:$A$5,0))</f>
        <v/>
      </c>
      <c r="I3023">
        <f>INDEX(Limits!$C$2:$C$5,MATCH(E3023,Limits!$A$2:$A$5,0))</f>
        <v/>
      </c>
      <c r="J3023">
        <f>IF(F3023&gt;=I3023,"Action",IF(F3023&gt;=H3023,"Alert","Pass"))</f>
        <v/>
      </c>
      <c r="K3023" s="4">
        <f>DATE(YEAR(B3023),MONTH(B3023),1)</f>
        <v/>
      </c>
    </row>
    <row r="3024">
      <c r="A3024" t="inlineStr">
        <is>
          <t>EM003023</t>
        </is>
      </c>
      <c r="B3024" s="7" t="n">
        <v>46248</v>
      </c>
      <c r="C3024" t="inlineStr">
        <is>
          <t>CR-101</t>
        </is>
      </c>
      <c r="D3024" t="inlineStr">
        <is>
          <t>ISO 7</t>
        </is>
      </c>
      <c r="E3024" t="inlineStr">
        <is>
          <t>Surface contact</t>
        </is>
      </c>
      <c r="F3024" t="n">
        <v>0</v>
      </c>
      <c r="G3024" t="inlineStr">
        <is>
          <t>Tech B</t>
        </is>
      </c>
      <c r="H3024">
        <f>INDEX(Limits!$B$2:$B$5,MATCH(E3024,Limits!$A$2:$A$5,0))</f>
        <v/>
      </c>
      <c r="I3024">
        <f>INDEX(Limits!$C$2:$C$5,MATCH(E3024,Limits!$A$2:$A$5,0))</f>
        <v/>
      </c>
      <c r="J3024">
        <f>IF(F3024&gt;=I3024,"Action",IF(F3024&gt;=H3024,"Alert","Pass"))</f>
        <v/>
      </c>
      <c r="K3024" s="4">
        <f>DATE(YEAR(B3024),MONTH(B3024),1)</f>
        <v/>
      </c>
    </row>
    <row r="3025">
      <c r="A3025" t="inlineStr">
        <is>
          <t>EM003024</t>
        </is>
      </c>
      <c r="B3025" s="7" t="n">
        <v>46248</v>
      </c>
      <c r="C3025" t="inlineStr">
        <is>
          <t>CR-101</t>
        </is>
      </c>
      <c r="D3025" t="inlineStr">
        <is>
          <t>ISO 7</t>
        </is>
      </c>
      <c r="E3025" t="inlineStr">
        <is>
          <t>Compressed air</t>
        </is>
      </c>
      <c r="F3025" t="n">
        <v>0</v>
      </c>
      <c r="G3025" t="inlineStr">
        <is>
          <t>Tech A</t>
        </is>
      </c>
      <c r="H3025">
        <f>INDEX(Limits!$B$2:$B$5,MATCH(E3025,Limits!$A$2:$A$5,0))</f>
        <v/>
      </c>
      <c r="I3025">
        <f>INDEX(Limits!$C$2:$C$5,MATCH(E3025,Limits!$A$2:$A$5,0))</f>
        <v/>
      </c>
      <c r="J3025">
        <f>IF(F3025&gt;=I3025,"Action",IF(F3025&gt;=H3025,"Alert","Pass"))</f>
        <v/>
      </c>
      <c r="K3025" s="4">
        <f>DATE(YEAR(B3025),MONTH(B3025),1)</f>
        <v/>
      </c>
    </row>
    <row r="3026">
      <c r="A3026" t="inlineStr">
        <is>
          <t>EM003025</t>
        </is>
      </c>
      <c r="B3026" s="7" t="n">
        <v>46248</v>
      </c>
      <c r="C3026" t="inlineStr">
        <is>
          <t>CR-101</t>
        </is>
      </c>
      <c r="D3026" t="inlineStr">
        <is>
          <t>ISO 7</t>
        </is>
      </c>
      <c r="E3026" t="inlineStr">
        <is>
          <t>Personnel glove</t>
        </is>
      </c>
      <c r="F3026" t="n">
        <v>0</v>
      </c>
      <c r="G3026" t="inlineStr">
        <is>
          <t>Tech C</t>
        </is>
      </c>
      <c r="H3026">
        <f>INDEX(Limits!$B$2:$B$5,MATCH(E3026,Limits!$A$2:$A$5,0))</f>
        <v/>
      </c>
      <c r="I3026">
        <f>INDEX(Limits!$C$2:$C$5,MATCH(E3026,Limits!$A$2:$A$5,0))</f>
        <v/>
      </c>
      <c r="J3026">
        <f>IF(F3026&gt;=I3026,"Action",IF(F3026&gt;=H3026,"Alert","Pass"))</f>
        <v/>
      </c>
      <c r="K3026" s="4">
        <f>DATE(YEAR(B3026),MONTH(B3026),1)</f>
        <v/>
      </c>
    </row>
    <row r="3027">
      <c r="A3027" t="inlineStr">
        <is>
          <t>EM003026</t>
        </is>
      </c>
      <c r="B3027" s="7" t="n">
        <v>46248</v>
      </c>
      <c r="C3027" t="inlineStr">
        <is>
          <t>CR-102</t>
        </is>
      </c>
      <c r="D3027" t="inlineStr">
        <is>
          <t>ISO 7</t>
        </is>
      </c>
      <c r="E3027" t="inlineStr">
        <is>
          <t>Active air</t>
        </is>
      </c>
      <c r="F3027" t="n">
        <v>1</v>
      </c>
      <c r="G3027" t="inlineStr">
        <is>
          <t>Tech C</t>
        </is>
      </c>
      <c r="H3027">
        <f>INDEX(Limits!$B$2:$B$5,MATCH(E3027,Limits!$A$2:$A$5,0))</f>
        <v/>
      </c>
      <c r="I3027">
        <f>INDEX(Limits!$C$2:$C$5,MATCH(E3027,Limits!$A$2:$A$5,0))</f>
        <v/>
      </c>
      <c r="J3027">
        <f>IF(F3027&gt;=I3027,"Action",IF(F3027&gt;=H3027,"Alert","Pass"))</f>
        <v/>
      </c>
      <c r="K3027" s="4">
        <f>DATE(YEAR(B3027),MONTH(B3027),1)</f>
        <v/>
      </c>
    </row>
    <row r="3028">
      <c r="A3028" t="inlineStr">
        <is>
          <t>EM003027</t>
        </is>
      </c>
      <c r="B3028" s="7" t="n">
        <v>46248</v>
      </c>
      <c r="C3028" t="inlineStr">
        <is>
          <t>CR-102</t>
        </is>
      </c>
      <c r="D3028" t="inlineStr">
        <is>
          <t>ISO 7</t>
        </is>
      </c>
      <c r="E3028" t="inlineStr">
        <is>
          <t>Surface contact</t>
        </is>
      </c>
      <c r="F3028" t="n">
        <v>0</v>
      </c>
      <c r="G3028" t="inlineStr">
        <is>
          <t>Tech A</t>
        </is>
      </c>
      <c r="H3028">
        <f>INDEX(Limits!$B$2:$B$5,MATCH(E3028,Limits!$A$2:$A$5,0))</f>
        <v/>
      </c>
      <c r="I3028">
        <f>INDEX(Limits!$C$2:$C$5,MATCH(E3028,Limits!$A$2:$A$5,0))</f>
        <v/>
      </c>
      <c r="J3028">
        <f>IF(F3028&gt;=I3028,"Action",IF(F3028&gt;=H3028,"Alert","Pass"))</f>
        <v/>
      </c>
      <c r="K3028" s="4">
        <f>DATE(YEAR(B3028),MONTH(B3028),1)</f>
        <v/>
      </c>
    </row>
    <row r="3029">
      <c r="A3029" t="inlineStr">
        <is>
          <t>EM003028</t>
        </is>
      </c>
      <c r="B3029" s="7" t="n">
        <v>46248</v>
      </c>
      <c r="C3029" t="inlineStr">
        <is>
          <t>CR-102</t>
        </is>
      </c>
      <c r="D3029" t="inlineStr">
        <is>
          <t>ISO 7</t>
        </is>
      </c>
      <c r="E3029" t="inlineStr">
        <is>
          <t>Compressed air</t>
        </is>
      </c>
      <c r="F3029" t="n">
        <v>0</v>
      </c>
      <c r="G3029" t="inlineStr">
        <is>
          <t>Tech B</t>
        </is>
      </c>
      <c r="H3029">
        <f>INDEX(Limits!$B$2:$B$5,MATCH(E3029,Limits!$A$2:$A$5,0))</f>
        <v/>
      </c>
      <c r="I3029">
        <f>INDEX(Limits!$C$2:$C$5,MATCH(E3029,Limits!$A$2:$A$5,0))</f>
        <v/>
      </c>
      <c r="J3029">
        <f>IF(F3029&gt;=I3029,"Action",IF(F3029&gt;=H3029,"Alert","Pass"))</f>
        <v/>
      </c>
      <c r="K3029" s="4">
        <f>DATE(YEAR(B3029),MONTH(B3029),1)</f>
        <v/>
      </c>
    </row>
    <row r="3030">
      <c r="A3030" t="inlineStr">
        <is>
          <t>EM003029</t>
        </is>
      </c>
      <c r="B3030" s="7" t="n">
        <v>46248</v>
      </c>
      <c r="C3030" t="inlineStr">
        <is>
          <t>CR-102</t>
        </is>
      </c>
      <c r="D3030" t="inlineStr">
        <is>
          <t>ISO 7</t>
        </is>
      </c>
      <c r="E3030" t="inlineStr">
        <is>
          <t>Personnel glove</t>
        </is>
      </c>
      <c r="F3030" t="n">
        <v>0</v>
      </c>
      <c r="G3030" t="inlineStr">
        <is>
          <t>Tech B</t>
        </is>
      </c>
      <c r="H3030">
        <f>INDEX(Limits!$B$2:$B$5,MATCH(E3030,Limits!$A$2:$A$5,0))</f>
        <v/>
      </c>
      <c r="I3030">
        <f>INDEX(Limits!$C$2:$C$5,MATCH(E3030,Limits!$A$2:$A$5,0))</f>
        <v/>
      </c>
      <c r="J3030">
        <f>IF(F3030&gt;=I3030,"Action",IF(F3030&gt;=H3030,"Alert","Pass"))</f>
        <v/>
      </c>
      <c r="K3030" s="4">
        <f>DATE(YEAR(B3030),MONTH(B3030),1)</f>
        <v/>
      </c>
    </row>
    <row r="3031">
      <c r="A3031" t="inlineStr">
        <is>
          <t>EM003030</t>
        </is>
      </c>
      <c r="B3031" s="7" t="n">
        <v>46248</v>
      </c>
      <c r="C3031" t="inlineStr">
        <is>
          <t>CR-201</t>
        </is>
      </c>
      <c r="D3031" t="inlineStr">
        <is>
          <t>ISO 8</t>
        </is>
      </c>
      <c r="E3031" t="inlineStr">
        <is>
          <t>Active air</t>
        </is>
      </c>
      <c r="F3031" t="n">
        <v>1</v>
      </c>
      <c r="G3031" t="inlineStr">
        <is>
          <t>Tech D</t>
        </is>
      </c>
      <c r="H3031">
        <f>INDEX(Limits!$B$2:$B$5,MATCH(E3031,Limits!$A$2:$A$5,0))</f>
        <v/>
      </c>
      <c r="I3031">
        <f>INDEX(Limits!$C$2:$C$5,MATCH(E3031,Limits!$A$2:$A$5,0))</f>
        <v/>
      </c>
      <c r="J3031">
        <f>IF(F3031&gt;=I3031,"Action",IF(F3031&gt;=H3031,"Alert","Pass"))</f>
        <v/>
      </c>
      <c r="K3031" s="4">
        <f>DATE(YEAR(B3031),MONTH(B3031),1)</f>
        <v/>
      </c>
    </row>
    <row r="3032">
      <c r="A3032" t="inlineStr">
        <is>
          <t>EM003031</t>
        </is>
      </c>
      <c r="B3032" s="7" t="n">
        <v>46248</v>
      </c>
      <c r="C3032" t="inlineStr">
        <is>
          <t>CR-201</t>
        </is>
      </c>
      <c r="D3032" t="inlineStr">
        <is>
          <t>ISO 8</t>
        </is>
      </c>
      <c r="E3032" t="inlineStr">
        <is>
          <t>Surface contact</t>
        </is>
      </c>
      <c r="F3032" t="n">
        <v>1</v>
      </c>
      <c r="G3032" t="inlineStr">
        <is>
          <t>Tech C</t>
        </is>
      </c>
      <c r="H3032">
        <f>INDEX(Limits!$B$2:$B$5,MATCH(E3032,Limits!$A$2:$A$5,0))</f>
        <v/>
      </c>
      <c r="I3032">
        <f>INDEX(Limits!$C$2:$C$5,MATCH(E3032,Limits!$A$2:$A$5,0))</f>
        <v/>
      </c>
      <c r="J3032">
        <f>IF(F3032&gt;=I3032,"Action",IF(F3032&gt;=H3032,"Alert","Pass"))</f>
        <v/>
      </c>
      <c r="K3032" s="4">
        <f>DATE(YEAR(B3032),MONTH(B3032),1)</f>
        <v/>
      </c>
    </row>
    <row r="3033">
      <c r="A3033" t="inlineStr">
        <is>
          <t>EM003032</t>
        </is>
      </c>
      <c r="B3033" s="7" t="n">
        <v>46248</v>
      </c>
      <c r="C3033" t="inlineStr">
        <is>
          <t>CR-201</t>
        </is>
      </c>
      <c r="D3033" t="inlineStr">
        <is>
          <t>ISO 8</t>
        </is>
      </c>
      <c r="E3033" t="inlineStr">
        <is>
          <t>Compressed air</t>
        </is>
      </c>
      <c r="F3033" t="n">
        <v>0</v>
      </c>
      <c r="G3033" t="inlineStr">
        <is>
          <t>Tech A</t>
        </is>
      </c>
      <c r="H3033">
        <f>INDEX(Limits!$B$2:$B$5,MATCH(E3033,Limits!$A$2:$A$5,0))</f>
        <v/>
      </c>
      <c r="I3033">
        <f>INDEX(Limits!$C$2:$C$5,MATCH(E3033,Limits!$A$2:$A$5,0))</f>
        <v/>
      </c>
      <c r="J3033">
        <f>IF(F3033&gt;=I3033,"Action",IF(F3033&gt;=H3033,"Alert","Pass"))</f>
        <v/>
      </c>
      <c r="K3033" s="4">
        <f>DATE(YEAR(B3033),MONTH(B3033),1)</f>
        <v/>
      </c>
    </row>
    <row r="3034">
      <c r="A3034" t="inlineStr">
        <is>
          <t>EM003033</t>
        </is>
      </c>
      <c r="B3034" s="7" t="n">
        <v>46248</v>
      </c>
      <c r="C3034" t="inlineStr">
        <is>
          <t>CR-201</t>
        </is>
      </c>
      <c r="D3034" t="inlineStr">
        <is>
          <t>ISO 8</t>
        </is>
      </c>
      <c r="E3034" t="inlineStr">
        <is>
          <t>Personnel glove</t>
        </is>
      </c>
      <c r="F3034" t="n">
        <v>0</v>
      </c>
      <c r="G3034" t="inlineStr">
        <is>
          <t>Tech D</t>
        </is>
      </c>
      <c r="H3034">
        <f>INDEX(Limits!$B$2:$B$5,MATCH(E3034,Limits!$A$2:$A$5,0))</f>
        <v/>
      </c>
      <c r="I3034">
        <f>INDEX(Limits!$C$2:$C$5,MATCH(E3034,Limits!$A$2:$A$5,0))</f>
        <v/>
      </c>
      <c r="J3034">
        <f>IF(F3034&gt;=I3034,"Action",IF(F3034&gt;=H3034,"Alert","Pass"))</f>
        <v/>
      </c>
      <c r="K3034" s="4">
        <f>DATE(YEAR(B3034),MONTH(B3034),1)</f>
        <v/>
      </c>
    </row>
    <row r="3035">
      <c r="A3035" t="inlineStr">
        <is>
          <t>EM003034</t>
        </is>
      </c>
      <c r="B3035" s="7" t="n">
        <v>46248</v>
      </c>
      <c r="C3035" t="inlineStr">
        <is>
          <t>CR-202</t>
        </is>
      </c>
      <c r="D3035" t="inlineStr">
        <is>
          <t>ISO 8</t>
        </is>
      </c>
      <c r="E3035" t="inlineStr">
        <is>
          <t>Active air</t>
        </is>
      </c>
      <c r="F3035" t="n">
        <v>4</v>
      </c>
      <c r="G3035" t="inlineStr">
        <is>
          <t>Tech B</t>
        </is>
      </c>
      <c r="H3035">
        <f>INDEX(Limits!$B$2:$B$5,MATCH(E3035,Limits!$A$2:$A$5,0))</f>
        <v/>
      </c>
      <c r="I3035">
        <f>INDEX(Limits!$C$2:$C$5,MATCH(E3035,Limits!$A$2:$A$5,0))</f>
        <v/>
      </c>
      <c r="J3035">
        <f>IF(F3035&gt;=I3035,"Action",IF(F3035&gt;=H3035,"Alert","Pass"))</f>
        <v/>
      </c>
      <c r="K3035" s="4">
        <f>DATE(YEAR(B3035),MONTH(B3035),1)</f>
        <v/>
      </c>
    </row>
    <row r="3036">
      <c r="A3036" t="inlineStr">
        <is>
          <t>EM003035</t>
        </is>
      </c>
      <c r="B3036" s="7" t="n">
        <v>46248</v>
      </c>
      <c r="C3036" t="inlineStr">
        <is>
          <t>CR-202</t>
        </is>
      </c>
      <c r="D3036" t="inlineStr">
        <is>
          <t>ISO 8</t>
        </is>
      </c>
      <c r="E3036" t="inlineStr">
        <is>
          <t>Surface contact</t>
        </is>
      </c>
      <c r="F3036" t="n">
        <v>0</v>
      </c>
      <c r="G3036" t="inlineStr">
        <is>
          <t>Tech A</t>
        </is>
      </c>
      <c r="H3036">
        <f>INDEX(Limits!$B$2:$B$5,MATCH(E3036,Limits!$A$2:$A$5,0))</f>
        <v/>
      </c>
      <c r="I3036">
        <f>INDEX(Limits!$C$2:$C$5,MATCH(E3036,Limits!$A$2:$A$5,0))</f>
        <v/>
      </c>
      <c r="J3036">
        <f>IF(F3036&gt;=I3036,"Action",IF(F3036&gt;=H3036,"Alert","Pass"))</f>
        <v/>
      </c>
      <c r="K3036" s="4">
        <f>DATE(YEAR(B3036),MONTH(B3036),1)</f>
        <v/>
      </c>
    </row>
    <row r="3037">
      <c r="A3037" t="inlineStr">
        <is>
          <t>EM003036</t>
        </is>
      </c>
      <c r="B3037" s="7" t="n">
        <v>46248</v>
      </c>
      <c r="C3037" t="inlineStr">
        <is>
          <t>CR-202</t>
        </is>
      </c>
      <c r="D3037" t="inlineStr">
        <is>
          <t>ISO 8</t>
        </is>
      </c>
      <c r="E3037" t="inlineStr">
        <is>
          <t>Compressed air</t>
        </is>
      </c>
      <c r="F3037" t="n">
        <v>0</v>
      </c>
      <c r="G3037" t="inlineStr">
        <is>
          <t>Tech D</t>
        </is>
      </c>
      <c r="H3037">
        <f>INDEX(Limits!$B$2:$B$5,MATCH(E3037,Limits!$A$2:$A$5,0))</f>
        <v/>
      </c>
      <c r="I3037">
        <f>INDEX(Limits!$C$2:$C$5,MATCH(E3037,Limits!$A$2:$A$5,0))</f>
        <v/>
      </c>
      <c r="J3037">
        <f>IF(F3037&gt;=I3037,"Action",IF(F3037&gt;=H3037,"Alert","Pass"))</f>
        <v/>
      </c>
      <c r="K3037" s="4">
        <f>DATE(YEAR(B3037),MONTH(B3037),1)</f>
        <v/>
      </c>
    </row>
    <row r="3038">
      <c r="A3038" t="inlineStr">
        <is>
          <t>EM003037</t>
        </is>
      </c>
      <c r="B3038" s="7" t="n">
        <v>46248</v>
      </c>
      <c r="C3038" t="inlineStr">
        <is>
          <t>CR-202</t>
        </is>
      </c>
      <c r="D3038" t="inlineStr">
        <is>
          <t>ISO 8</t>
        </is>
      </c>
      <c r="E3038" t="inlineStr">
        <is>
          <t>Personnel glove</t>
        </is>
      </c>
      <c r="F3038" t="n">
        <v>0</v>
      </c>
      <c r="G3038" t="inlineStr">
        <is>
          <t>Tech C</t>
        </is>
      </c>
      <c r="H3038">
        <f>INDEX(Limits!$B$2:$B$5,MATCH(E3038,Limits!$A$2:$A$5,0))</f>
        <v/>
      </c>
      <c r="I3038">
        <f>INDEX(Limits!$C$2:$C$5,MATCH(E3038,Limits!$A$2:$A$5,0))</f>
        <v/>
      </c>
      <c r="J3038">
        <f>IF(F3038&gt;=I3038,"Action",IF(F3038&gt;=H3038,"Alert","Pass"))</f>
        <v/>
      </c>
      <c r="K3038" s="4">
        <f>DATE(YEAR(B3038),MONTH(B3038),1)</f>
        <v/>
      </c>
    </row>
    <row r="3039">
      <c r="A3039" t="inlineStr">
        <is>
          <t>EM003038</t>
        </is>
      </c>
      <c r="B3039" s="7" t="n">
        <v>46248</v>
      </c>
      <c r="C3039" t="inlineStr">
        <is>
          <t>Gowning</t>
        </is>
      </c>
      <c r="D3039" t="inlineStr">
        <is>
          <t>ISO 8</t>
        </is>
      </c>
      <c r="E3039" t="inlineStr">
        <is>
          <t>Active air</t>
        </is>
      </c>
      <c r="F3039" t="n">
        <v>0</v>
      </c>
      <c r="G3039" t="inlineStr">
        <is>
          <t>Tech B</t>
        </is>
      </c>
      <c r="H3039">
        <f>INDEX(Limits!$B$2:$B$5,MATCH(E3039,Limits!$A$2:$A$5,0))</f>
        <v/>
      </c>
      <c r="I3039">
        <f>INDEX(Limits!$C$2:$C$5,MATCH(E3039,Limits!$A$2:$A$5,0))</f>
        <v/>
      </c>
      <c r="J3039">
        <f>IF(F3039&gt;=I3039,"Action",IF(F3039&gt;=H3039,"Alert","Pass"))</f>
        <v/>
      </c>
      <c r="K3039" s="4">
        <f>DATE(YEAR(B3039),MONTH(B3039),1)</f>
        <v/>
      </c>
    </row>
    <row r="3040">
      <c r="A3040" t="inlineStr">
        <is>
          <t>EM003039</t>
        </is>
      </c>
      <c r="B3040" s="7" t="n">
        <v>46248</v>
      </c>
      <c r="C3040" t="inlineStr">
        <is>
          <t>Gowning</t>
        </is>
      </c>
      <c r="D3040" t="inlineStr">
        <is>
          <t>ISO 8</t>
        </is>
      </c>
      <c r="E3040" t="inlineStr">
        <is>
          <t>Surface contact</t>
        </is>
      </c>
      <c r="F3040" t="n">
        <v>3</v>
      </c>
      <c r="G3040" t="inlineStr">
        <is>
          <t>Tech D</t>
        </is>
      </c>
      <c r="H3040">
        <f>INDEX(Limits!$B$2:$B$5,MATCH(E3040,Limits!$A$2:$A$5,0))</f>
        <v/>
      </c>
      <c r="I3040">
        <f>INDEX(Limits!$C$2:$C$5,MATCH(E3040,Limits!$A$2:$A$5,0))</f>
        <v/>
      </c>
      <c r="J3040">
        <f>IF(F3040&gt;=I3040,"Action",IF(F3040&gt;=H3040,"Alert","Pass"))</f>
        <v/>
      </c>
      <c r="K3040" s="4">
        <f>DATE(YEAR(B3040),MONTH(B3040),1)</f>
        <v/>
      </c>
    </row>
    <row r="3041">
      <c r="A3041" t="inlineStr">
        <is>
          <t>EM003040</t>
        </is>
      </c>
      <c r="B3041" s="7" t="n">
        <v>46248</v>
      </c>
      <c r="C3041" t="inlineStr">
        <is>
          <t>Gowning</t>
        </is>
      </c>
      <c r="D3041" t="inlineStr">
        <is>
          <t>ISO 8</t>
        </is>
      </c>
      <c r="E3041" t="inlineStr">
        <is>
          <t>Personnel glove</t>
        </is>
      </c>
      <c r="F3041" t="n">
        <v>0</v>
      </c>
      <c r="G3041" t="inlineStr">
        <is>
          <t>Tech B</t>
        </is>
      </c>
      <c r="H3041">
        <f>INDEX(Limits!$B$2:$B$5,MATCH(E3041,Limits!$A$2:$A$5,0))</f>
        <v/>
      </c>
      <c r="I3041">
        <f>INDEX(Limits!$C$2:$C$5,MATCH(E3041,Limits!$A$2:$A$5,0))</f>
        <v/>
      </c>
      <c r="J3041">
        <f>IF(F3041&gt;=I3041,"Action",IF(F3041&gt;=H3041,"Alert","Pass"))</f>
        <v/>
      </c>
      <c r="K3041" s="4">
        <f>DATE(YEAR(B3041),MONTH(B3041),1)</f>
        <v/>
      </c>
    </row>
    <row r="3042">
      <c r="A3042" t="inlineStr">
        <is>
          <t>EM003041</t>
        </is>
      </c>
      <c r="B3042" s="7" t="n">
        <v>46251</v>
      </c>
      <c r="C3042" t="inlineStr">
        <is>
          <t>CR-101</t>
        </is>
      </c>
      <c r="D3042" t="inlineStr">
        <is>
          <t>ISO 7</t>
        </is>
      </c>
      <c r="E3042" t="inlineStr">
        <is>
          <t>Active air</t>
        </is>
      </c>
      <c r="F3042" t="n">
        <v>1</v>
      </c>
      <c r="G3042" t="inlineStr">
        <is>
          <t>Tech A</t>
        </is>
      </c>
      <c r="H3042">
        <f>INDEX(Limits!$B$2:$B$5,MATCH(E3042,Limits!$A$2:$A$5,0))</f>
        <v/>
      </c>
      <c r="I3042">
        <f>INDEX(Limits!$C$2:$C$5,MATCH(E3042,Limits!$A$2:$A$5,0))</f>
        <v/>
      </c>
      <c r="J3042">
        <f>IF(F3042&gt;=I3042,"Action",IF(F3042&gt;=H3042,"Alert","Pass"))</f>
        <v/>
      </c>
      <c r="K3042" s="4">
        <f>DATE(YEAR(B3042),MONTH(B3042),1)</f>
        <v/>
      </c>
    </row>
    <row r="3043">
      <c r="A3043" t="inlineStr">
        <is>
          <t>EM003042</t>
        </is>
      </c>
      <c r="B3043" s="7" t="n">
        <v>46251</v>
      </c>
      <c r="C3043" t="inlineStr">
        <is>
          <t>CR-101</t>
        </is>
      </c>
      <c r="D3043" t="inlineStr">
        <is>
          <t>ISO 7</t>
        </is>
      </c>
      <c r="E3043" t="inlineStr">
        <is>
          <t>Surface contact</t>
        </is>
      </c>
      <c r="F3043" t="n">
        <v>0</v>
      </c>
      <c r="G3043" t="inlineStr">
        <is>
          <t>Tech C</t>
        </is>
      </c>
      <c r="H3043">
        <f>INDEX(Limits!$B$2:$B$5,MATCH(E3043,Limits!$A$2:$A$5,0))</f>
        <v/>
      </c>
      <c r="I3043">
        <f>INDEX(Limits!$C$2:$C$5,MATCH(E3043,Limits!$A$2:$A$5,0))</f>
        <v/>
      </c>
      <c r="J3043">
        <f>IF(F3043&gt;=I3043,"Action",IF(F3043&gt;=H3043,"Alert","Pass"))</f>
        <v/>
      </c>
      <c r="K3043" s="4">
        <f>DATE(YEAR(B3043),MONTH(B3043),1)</f>
        <v/>
      </c>
    </row>
    <row r="3044">
      <c r="A3044" t="inlineStr">
        <is>
          <t>EM003043</t>
        </is>
      </c>
      <c r="B3044" s="7" t="n">
        <v>46251</v>
      </c>
      <c r="C3044" t="inlineStr">
        <is>
          <t>CR-101</t>
        </is>
      </c>
      <c r="D3044" t="inlineStr">
        <is>
          <t>ISO 7</t>
        </is>
      </c>
      <c r="E3044" t="inlineStr">
        <is>
          <t>Compressed air</t>
        </is>
      </c>
      <c r="F3044" t="n">
        <v>0</v>
      </c>
      <c r="G3044" t="inlineStr">
        <is>
          <t>Tech B</t>
        </is>
      </c>
      <c r="H3044">
        <f>INDEX(Limits!$B$2:$B$5,MATCH(E3044,Limits!$A$2:$A$5,0))</f>
        <v/>
      </c>
      <c r="I3044">
        <f>INDEX(Limits!$C$2:$C$5,MATCH(E3044,Limits!$A$2:$A$5,0))</f>
        <v/>
      </c>
      <c r="J3044">
        <f>IF(F3044&gt;=I3044,"Action",IF(F3044&gt;=H3044,"Alert","Pass"))</f>
        <v/>
      </c>
      <c r="K3044" s="4">
        <f>DATE(YEAR(B3044),MONTH(B3044),1)</f>
        <v/>
      </c>
    </row>
    <row r="3045">
      <c r="A3045" t="inlineStr">
        <is>
          <t>EM003044</t>
        </is>
      </c>
      <c r="B3045" s="7" t="n">
        <v>46251</v>
      </c>
      <c r="C3045" t="inlineStr">
        <is>
          <t>CR-101</t>
        </is>
      </c>
      <c r="D3045" t="inlineStr">
        <is>
          <t>ISO 7</t>
        </is>
      </c>
      <c r="E3045" t="inlineStr">
        <is>
          <t>Personnel glove</t>
        </is>
      </c>
      <c r="F3045" t="n">
        <v>0</v>
      </c>
      <c r="G3045" t="inlineStr">
        <is>
          <t>Tech A</t>
        </is>
      </c>
      <c r="H3045">
        <f>INDEX(Limits!$B$2:$B$5,MATCH(E3045,Limits!$A$2:$A$5,0))</f>
        <v/>
      </c>
      <c r="I3045">
        <f>INDEX(Limits!$C$2:$C$5,MATCH(E3045,Limits!$A$2:$A$5,0))</f>
        <v/>
      </c>
      <c r="J3045">
        <f>IF(F3045&gt;=I3045,"Action",IF(F3045&gt;=H3045,"Alert","Pass"))</f>
        <v/>
      </c>
      <c r="K3045" s="4">
        <f>DATE(YEAR(B3045),MONTH(B3045),1)</f>
        <v/>
      </c>
    </row>
    <row r="3046">
      <c r="A3046" t="inlineStr">
        <is>
          <t>EM003045</t>
        </is>
      </c>
      <c r="B3046" s="7" t="n">
        <v>46251</v>
      </c>
      <c r="C3046" t="inlineStr">
        <is>
          <t>CR-102</t>
        </is>
      </c>
      <c r="D3046" t="inlineStr">
        <is>
          <t>ISO 7</t>
        </is>
      </c>
      <c r="E3046" t="inlineStr">
        <is>
          <t>Active air</t>
        </is>
      </c>
      <c r="F3046" t="n">
        <v>0</v>
      </c>
      <c r="G3046" t="inlineStr">
        <is>
          <t>Tech A</t>
        </is>
      </c>
      <c r="H3046">
        <f>INDEX(Limits!$B$2:$B$5,MATCH(E3046,Limits!$A$2:$A$5,0))</f>
        <v/>
      </c>
      <c r="I3046">
        <f>INDEX(Limits!$C$2:$C$5,MATCH(E3046,Limits!$A$2:$A$5,0))</f>
        <v/>
      </c>
      <c r="J3046">
        <f>IF(F3046&gt;=I3046,"Action",IF(F3046&gt;=H3046,"Alert","Pass"))</f>
        <v/>
      </c>
      <c r="K3046" s="4">
        <f>DATE(YEAR(B3046),MONTH(B3046),1)</f>
        <v/>
      </c>
    </row>
    <row r="3047">
      <c r="A3047" t="inlineStr">
        <is>
          <t>EM003046</t>
        </is>
      </c>
      <c r="B3047" s="7" t="n">
        <v>46251</v>
      </c>
      <c r="C3047" t="inlineStr">
        <is>
          <t>CR-102</t>
        </is>
      </c>
      <c r="D3047" t="inlineStr">
        <is>
          <t>ISO 7</t>
        </is>
      </c>
      <c r="E3047" t="inlineStr">
        <is>
          <t>Surface contact</t>
        </is>
      </c>
      <c r="F3047" t="n">
        <v>1</v>
      </c>
      <c r="G3047" t="inlineStr">
        <is>
          <t>Tech D</t>
        </is>
      </c>
      <c r="H3047">
        <f>INDEX(Limits!$B$2:$B$5,MATCH(E3047,Limits!$A$2:$A$5,0))</f>
        <v/>
      </c>
      <c r="I3047">
        <f>INDEX(Limits!$C$2:$C$5,MATCH(E3047,Limits!$A$2:$A$5,0))</f>
        <v/>
      </c>
      <c r="J3047">
        <f>IF(F3047&gt;=I3047,"Action",IF(F3047&gt;=H3047,"Alert","Pass"))</f>
        <v/>
      </c>
      <c r="K3047" s="4">
        <f>DATE(YEAR(B3047),MONTH(B3047),1)</f>
        <v/>
      </c>
    </row>
    <row r="3048">
      <c r="A3048" t="inlineStr">
        <is>
          <t>EM003047</t>
        </is>
      </c>
      <c r="B3048" s="7" t="n">
        <v>46251</v>
      </c>
      <c r="C3048" t="inlineStr">
        <is>
          <t>CR-102</t>
        </is>
      </c>
      <c r="D3048" t="inlineStr">
        <is>
          <t>ISO 7</t>
        </is>
      </c>
      <c r="E3048" t="inlineStr">
        <is>
          <t>Compressed air</t>
        </is>
      </c>
      <c r="F3048" t="n">
        <v>0</v>
      </c>
      <c r="G3048" t="inlineStr">
        <is>
          <t>Tech D</t>
        </is>
      </c>
      <c r="H3048">
        <f>INDEX(Limits!$B$2:$B$5,MATCH(E3048,Limits!$A$2:$A$5,0))</f>
        <v/>
      </c>
      <c r="I3048">
        <f>INDEX(Limits!$C$2:$C$5,MATCH(E3048,Limits!$A$2:$A$5,0))</f>
        <v/>
      </c>
      <c r="J3048">
        <f>IF(F3048&gt;=I3048,"Action",IF(F3048&gt;=H3048,"Alert","Pass"))</f>
        <v/>
      </c>
      <c r="K3048" s="4">
        <f>DATE(YEAR(B3048),MONTH(B3048),1)</f>
        <v/>
      </c>
    </row>
    <row r="3049">
      <c r="A3049" t="inlineStr">
        <is>
          <t>EM003048</t>
        </is>
      </c>
      <c r="B3049" s="7" t="n">
        <v>46251</v>
      </c>
      <c r="C3049" t="inlineStr">
        <is>
          <t>CR-102</t>
        </is>
      </c>
      <c r="D3049" t="inlineStr">
        <is>
          <t>ISO 7</t>
        </is>
      </c>
      <c r="E3049" t="inlineStr">
        <is>
          <t>Personnel glove</t>
        </is>
      </c>
      <c r="F3049" t="n">
        <v>0</v>
      </c>
      <c r="G3049" t="inlineStr">
        <is>
          <t>Tech C</t>
        </is>
      </c>
      <c r="H3049">
        <f>INDEX(Limits!$B$2:$B$5,MATCH(E3049,Limits!$A$2:$A$5,0))</f>
        <v/>
      </c>
      <c r="I3049">
        <f>INDEX(Limits!$C$2:$C$5,MATCH(E3049,Limits!$A$2:$A$5,0))</f>
        <v/>
      </c>
      <c r="J3049">
        <f>IF(F3049&gt;=I3049,"Action",IF(F3049&gt;=H3049,"Alert","Pass"))</f>
        <v/>
      </c>
      <c r="K3049" s="4">
        <f>DATE(YEAR(B3049),MONTH(B3049),1)</f>
        <v/>
      </c>
    </row>
    <row r="3050">
      <c r="A3050" t="inlineStr">
        <is>
          <t>EM003049</t>
        </is>
      </c>
      <c r="B3050" s="7" t="n">
        <v>46251</v>
      </c>
      <c r="C3050" t="inlineStr">
        <is>
          <t>CR-201</t>
        </is>
      </c>
      <c r="D3050" t="inlineStr">
        <is>
          <t>ISO 8</t>
        </is>
      </c>
      <c r="E3050" t="inlineStr">
        <is>
          <t>Active air</t>
        </is>
      </c>
      <c r="F3050" t="n">
        <v>1</v>
      </c>
      <c r="G3050" t="inlineStr">
        <is>
          <t>Tech D</t>
        </is>
      </c>
      <c r="H3050">
        <f>INDEX(Limits!$B$2:$B$5,MATCH(E3050,Limits!$A$2:$A$5,0))</f>
        <v/>
      </c>
      <c r="I3050">
        <f>INDEX(Limits!$C$2:$C$5,MATCH(E3050,Limits!$A$2:$A$5,0))</f>
        <v/>
      </c>
      <c r="J3050">
        <f>IF(F3050&gt;=I3050,"Action",IF(F3050&gt;=H3050,"Alert","Pass"))</f>
        <v/>
      </c>
      <c r="K3050" s="4">
        <f>DATE(YEAR(B3050),MONTH(B3050),1)</f>
        <v/>
      </c>
    </row>
    <row r="3051">
      <c r="A3051" t="inlineStr">
        <is>
          <t>EM003050</t>
        </is>
      </c>
      <c r="B3051" s="7" t="n">
        <v>46251</v>
      </c>
      <c r="C3051" t="inlineStr">
        <is>
          <t>CR-201</t>
        </is>
      </c>
      <c r="D3051" t="inlineStr">
        <is>
          <t>ISO 8</t>
        </is>
      </c>
      <c r="E3051" t="inlineStr">
        <is>
          <t>Surface contact</t>
        </is>
      </c>
      <c r="F3051" t="n">
        <v>0</v>
      </c>
      <c r="G3051" t="inlineStr">
        <is>
          <t>Tech C</t>
        </is>
      </c>
      <c r="H3051">
        <f>INDEX(Limits!$B$2:$B$5,MATCH(E3051,Limits!$A$2:$A$5,0))</f>
        <v/>
      </c>
      <c r="I3051">
        <f>INDEX(Limits!$C$2:$C$5,MATCH(E3051,Limits!$A$2:$A$5,0))</f>
        <v/>
      </c>
      <c r="J3051">
        <f>IF(F3051&gt;=I3051,"Action",IF(F3051&gt;=H3051,"Alert","Pass"))</f>
        <v/>
      </c>
      <c r="K3051" s="4">
        <f>DATE(YEAR(B3051),MONTH(B3051),1)</f>
        <v/>
      </c>
    </row>
    <row r="3052">
      <c r="A3052" t="inlineStr">
        <is>
          <t>EM003051</t>
        </is>
      </c>
      <c r="B3052" s="7" t="n">
        <v>46251</v>
      </c>
      <c r="C3052" t="inlineStr">
        <is>
          <t>CR-201</t>
        </is>
      </c>
      <c r="D3052" t="inlineStr">
        <is>
          <t>ISO 8</t>
        </is>
      </c>
      <c r="E3052" t="inlineStr">
        <is>
          <t>Compressed air</t>
        </is>
      </c>
      <c r="F3052" t="n">
        <v>0</v>
      </c>
      <c r="G3052" t="inlineStr">
        <is>
          <t>Tech B</t>
        </is>
      </c>
      <c r="H3052">
        <f>INDEX(Limits!$B$2:$B$5,MATCH(E3052,Limits!$A$2:$A$5,0))</f>
        <v/>
      </c>
      <c r="I3052">
        <f>INDEX(Limits!$C$2:$C$5,MATCH(E3052,Limits!$A$2:$A$5,0))</f>
        <v/>
      </c>
      <c r="J3052">
        <f>IF(F3052&gt;=I3052,"Action",IF(F3052&gt;=H3052,"Alert","Pass"))</f>
        <v/>
      </c>
      <c r="K3052" s="4">
        <f>DATE(YEAR(B3052),MONTH(B3052),1)</f>
        <v/>
      </c>
    </row>
    <row r="3053">
      <c r="A3053" t="inlineStr">
        <is>
          <t>EM003052</t>
        </is>
      </c>
      <c r="B3053" s="7" t="n">
        <v>46251</v>
      </c>
      <c r="C3053" t="inlineStr">
        <is>
          <t>CR-201</t>
        </is>
      </c>
      <c r="D3053" t="inlineStr">
        <is>
          <t>ISO 8</t>
        </is>
      </c>
      <c r="E3053" t="inlineStr">
        <is>
          <t>Personnel glove</t>
        </is>
      </c>
      <c r="F3053" t="n">
        <v>0</v>
      </c>
      <c r="G3053" t="inlineStr">
        <is>
          <t>Tech A</t>
        </is>
      </c>
      <c r="H3053">
        <f>INDEX(Limits!$B$2:$B$5,MATCH(E3053,Limits!$A$2:$A$5,0))</f>
        <v/>
      </c>
      <c r="I3053">
        <f>INDEX(Limits!$C$2:$C$5,MATCH(E3053,Limits!$A$2:$A$5,0))</f>
        <v/>
      </c>
      <c r="J3053">
        <f>IF(F3053&gt;=I3053,"Action",IF(F3053&gt;=H3053,"Alert","Pass"))</f>
        <v/>
      </c>
      <c r="K3053" s="4">
        <f>DATE(YEAR(B3053),MONTH(B3053),1)</f>
        <v/>
      </c>
    </row>
    <row r="3054">
      <c r="A3054" t="inlineStr">
        <is>
          <t>EM003053</t>
        </is>
      </c>
      <c r="B3054" s="7" t="n">
        <v>46251</v>
      </c>
      <c r="C3054" t="inlineStr">
        <is>
          <t>CR-202</t>
        </is>
      </c>
      <c r="D3054" t="inlineStr">
        <is>
          <t>ISO 8</t>
        </is>
      </c>
      <c r="E3054" t="inlineStr">
        <is>
          <t>Active air</t>
        </is>
      </c>
      <c r="F3054" t="n">
        <v>2</v>
      </c>
      <c r="G3054" t="inlineStr">
        <is>
          <t>Tech A</t>
        </is>
      </c>
      <c r="H3054">
        <f>INDEX(Limits!$B$2:$B$5,MATCH(E3054,Limits!$A$2:$A$5,0))</f>
        <v/>
      </c>
      <c r="I3054">
        <f>INDEX(Limits!$C$2:$C$5,MATCH(E3054,Limits!$A$2:$A$5,0))</f>
        <v/>
      </c>
      <c r="J3054">
        <f>IF(F3054&gt;=I3054,"Action",IF(F3054&gt;=H3054,"Alert","Pass"))</f>
        <v/>
      </c>
      <c r="K3054" s="4">
        <f>DATE(YEAR(B3054),MONTH(B3054),1)</f>
        <v/>
      </c>
    </row>
    <row r="3055">
      <c r="A3055" t="inlineStr">
        <is>
          <t>EM003054</t>
        </is>
      </c>
      <c r="B3055" s="7" t="n">
        <v>46251</v>
      </c>
      <c r="C3055" t="inlineStr">
        <is>
          <t>CR-202</t>
        </is>
      </c>
      <c r="D3055" t="inlineStr">
        <is>
          <t>ISO 8</t>
        </is>
      </c>
      <c r="E3055" t="inlineStr">
        <is>
          <t>Surface contact</t>
        </is>
      </c>
      <c r="F3055" t="n">
        <v>1</v>
      </c>
      <c r="G3055" t="inlineStr">
        <is>
          <t>Tech A</t>
        </is>
      </c>
      <c r="H3055">
        <f>INDEX(Limits!$B$2:$B$5,MATCH(E3055,Limits!$A$2:$A$5,0))</f>
        <v/>
      </c>
      <c r="I3055">
        <f>INDEX(Limits!$C$2:$C$5,MATCH(E3055,Limits!$A$2:$A$5,0))</f>
        <v/>
      </c>
      <c r="J3055">
        <f>IF(F3055&gt;=I3055,"Action",IF(F3055&gt;=H3055,"Alert","Pass"))</f>
        <v/>
      </c>
      <c r="K3055" s="4">
        <f>DATE(YEAR(B3055),MONTH(B3055),1)</f>
        <v/>
      </c>
    </row>
    <row r="3056">
      <c r="A3056" t="inlineStr">
        <is>
          <t>EM003055</t>
        </is>
      </c>
      <c r="B3056" s="7" t="n">
        <v>46251</v>
      </c>
      <c r="C3056" t="inlineStr">
        <is>
          <t>CR-202</t>
        </is>
      </c>
      <c r="D3056" t="inlineStr">
        <is>
          <t>ISO 8</t>
        </is>
      </c>
      <c r="E3056" t="inlineStr">
        <is>
          <t>Compressed air</t>
        </is>
      </c>
      <c r="F3056" t="n">
        <v>0</v>
      </c>
      <c r="G3056" t="inlineStr">
        <is>
          <t>Tech B</t>
        </is>
      </c>
      <c r="H3056">
        <f>INDEX(Limits!$B$2:$B$5,MATCH(E3056,Limits!$A$2:$A$5,0))</f>
        <v/>
      </c>
      <c r="I3056">
        <f>INDEX(Limits!$C$2:$C$5,MATCH(E3056,Limits!$A$2:$A$5,0))</f>
        <v/>
      </c>
      <c r="J3056">
        <f>IF(F3056&gt;=I3056,"Action",IF(F3056&gt;=H3056,"Alert","Pass"))</f>
        <v/>
      </c>
      <c r="K3056" s="4">
        <f>DATE(YEAR(B3056),MONTH(B3056),1)</f>
        <v/>
      </c>
    </row>
    <row r="3057">
      <c r="A3057" t="inlineStr">
        <is>
          <t>EM003056</t>
        </is>
      </c>
      <c r="B3057" s="7" t="n">
        <v>46251</v>
      </c>
      <c r="C3057" t="inlineStr">
        <is>
          <t>CR-202</t>
        </is>
      </c>
      <c r="D3057" t="inlineStr">
        <is>
          <t>ISO 8</t>
        </is>
      </c>
      <c r="E3057" t="inlineStr">
        <is>
          <t>Personnel glove</t>
        </is>
      </c>
      <c r="F3057" t="n">
        <v>0</v>
      </c>
      <c r="G3057" t="inlineStr">
        <is>
          <t>Tech C</t>
        </is>
      </c>
      <c r="H3057">
        <f>INDEX(Limits!$B$2:$B$5,MATCH(E3057,Limits!$A$2:$A$5,0))</f>
        <v/>
      </c>
      <c r="I3057">
        <f>INDEX(Limits!$C$2:$C$5,MATCH(E3057,Limits!$A$2:$A$5,0))</f>
        <v/>
      </c>
      <c r="J3057">
        <f>IF(F3057&gt;=I3057,"Action",IF(F3057&gt;=H3057,"Alert","Pass"))</f>
        <v/>
      </c>
      <c r="K3057" s="4">
        <f>DATE(YEAR(B3057),MONTH(B3057),1)</f>
        <v/>
      </c>
    </row>
    <row r="3058">
      <c r="A3058" t="inlineStr">
        <is>
          <t>EM003057</t>
        </is>
      </c>
      <c r="B3058" s="7" t="n">
        <v>46251</v>
      </c>
      <c r="C3058" t="inlineStr">
        <is>
          <t>Gowning</t>
        </is>
      </c>
      <c r="D3058" t="inlineStr">
        <is>
          <t>ISO 8</t>
        </is>
      </c>
      <c r="E3058" t="inlineStr">
        <is>
          <t>Active air</t>
        </is>
      </c>
      <c r="F3058" t="n">
        <v>2</v>
      </c>
      <c r="G3058" t="inlineStr">
        <is>
          <t>Tech D</t>
        </is>
      </c>
      <c r="H3058">
        <f>INDEX(Limits!$B$2:$B$5,MATCH(E3058,Limits!$A$2:$A$5,0))</f>
        <v/>
      </c>
      <c r="I3058">
        <f>INDEX(Limits!$C$2:$C$5,MATCH(E3058,Limits!$A$2:$A$5,0))</f>
        <v/>
      </c>
      <c r="J3058">
        <f>IF(F3058&gt;=I3058,"Action",IF(F3058&gt;=H3058,"Alert","Pass"))</f>
        <v/>
      </c>
      <c r="K3058" s="4">
        <f>DATE(YEAR(B3058),MONTH(B3058),1)</f>
        <v/>
      </c>
    </row>
    <row r="3059">
      <c r="A3059" t="inlineStr">
        <is>
          <t>EM003058</t>
        </is>
      </c>
      <c r="B3059" s="7" t="n">
        <v>46251</v>
      </c>
      <c r="C3059" t="inlineStr">
        <is>
          <t>Gowning</t>
        </is>
      </c>
      <c r="D3059" t="inlineStr">
        <is>
          <t>ISO 8</t>
        </is>
      </c>
      <c r="E3059" t="inlineStr">
        <is>
          <t>Surface contact</t>
        </is>
      </c>
      <c r="F3059" t="n">
        <v>4</v>
      </c>
      <c r="G3059" t="inlineStr">
        <is>
          <t>Tech B</t>
        </is>
      </c>
      <c r="H3059">
        <f>INDEX(Limits!$B$2:$B$5,MATCH(E3059,Limits!$A$2:$A$5,0))</f>
        <v/>
      </c>
      <c r="I3059">
        <f>INDEX(Limits!$C$2:$C$5,MATCH(E3059,Limits!$A$2:$A$5,0))</f>
        <v/>
      </c>
      <c r="J3059">
        <f>IF(F3059&gt;=I3059,"Action",IF(F3059&gt;=H3059,"Alert","Pass"))</f>
        <v/>
      </c>
      <c r="K3059" s="4">
        <f>DATE(YEAR(B3059),MONTH(B3059),1)</f>
        <v/>
      </c>
    </row>
    <row r="3060">
      <c r="A3060" t="inlineStr">
        <is>
          <t>EM003059</t>
        </is>
      </c>
      <c r="B3060" s="7" t="n">
        <v>46251</v>
      </c>
      <c r="C3060" t="inlineStr">
        <is>
          <t>Gowning</t>
        </is>
      </c>
      <c r="D3060" t="inlineStr">
        <is>
          <t>ISO 8</t>
        </is>
      </c>
      <c r="E3060" t="inlineStr">
        <is>
          <t>Personnel glove</t>
        </is>
      </c>
      <c r="F3060" t="n">
        <v>0</v>
      </c>
      <c r="G3060" t="inlineStr">
        <is>
          <t>Tech C</t>
        </is>
      </c>
      <c r="H3060">
        <f>INDEX(Limits!$B$2:$B$5,MATCH(E3060,Limits!$A$2:$A$5,0))</f>
        <v/>
      </c>
      <c r="I3060">
        <f>INDEX(Limits!$C$2:$C$5,MATCH(E3060,Limits!$A$2:$A$5,0))</f>
        <v/>
      </c>
      <c r="J3060">
        <f>IF(F3060&gt;=I3060,"Action",IF(F3060&gt;=H3060,"Alert","Pass"))</f>
        <v/>
      </c>
      <c r="K3060" s="4">
        <f>DATE(YEAR(B3060),MONTH(B3060),1)</f>
        <v/>
      </c>
    </row>
    <row r="3061">
      <c r="A3061" t="inlineStr">
        <is>
          <t>EM003060</t>
        </is>
      </c>
      <c r="B3061" s="7" t="n">
        <v>46252</v>
      </c>
      <c r="C3061" t="inlineStr">
        <is>
          <t>CR-101</t>
        </is>
      </c>
      <c r="D3061" t="inlineStr">
        <is>
          <t>ISO 7</t>
        </is>
      </c>
      <c r="E3061" t="inlineStr">
        <is>
          <t>Active air</t>
        </is>
      </c>
      <c r="F3061" t="n">
        <v>0</v>
      </c>
      <c r="G3061" t="inlineStr">
        <is>
          <t>Tech B</t>
        </is>
      </c>
      <c r="H3061">
        <f>INDEX(Limits!$B$2:$B$5,MATCH(E3061,Limits!$A$2:$A$5,0))</f>
        <v/>
      </c>
      <c r="I3061">
        <f>INDEX(Limits!$C$2:$C$5,MATCH(E3061,Limits!$A$2:$A$5,0))</f>
        <v/>
      </c>
      <c r="J3061">
        <f>IF(F3061&gt;=I3061,"Action",IF(F3061&gt;=H3061,"Alert","Pass"))</f>
        <v/>
      </c>
      <c r="K3061" s="4">
        <f>DATE(YEAR(B3061),MONTH(B3061),1)</f>
        <v/>
      </c>
    </row>
    <row r="3062">
      <c r="A3062" t="inlineStr">
        <is>
          <t>EM003061</t>
        </is>
      </c>
      <c r="B3062" s="7" t="n">
        <v>46252</v>
      </c>
      <c r="C3062" t="inlineStr">
        <is>
          <t>CR-101</t>
        </is>
      </c>
      <c r="D3062" t="inlineStr">
        <is>
          <t>ISO 7</t>
        </is>
      </c>
      <c r="E3062" t="inlineStr">
        <is>
          <t>Surface contact</t>
        </is>
      </c>
      <c r="F3062" t="n">
        <v>0</v>
      </c>
      <c r="G3062" t="inlineStr">
        <is>
          <t>Tech C</t>
        </is>
      </c>
      <c r="H3062">
        <f>INDEX(Limits!$B$2:$B$5,MATCH(E3062,Limits!$A$2:$A$5,0))</f>
        <v/>
      </c>
      <c r="I3062">
        <f>INDEX(Limits!$C$2:$C$5,MATCH(E3062,Limits!$A$2:$A$5,0))</f>
        <v/>
      </c>
      <c r="J3062">
        <f>IF(F3062&gt;=I3062,"Action",IF(F3062&gt;=H3062,"Alert","Pass"))</f>
        <v/>
      </c>
      <c r="K3062" s="4">
        <f>DATE(YEAR(B3062),MONTH(B3062),1)</f>
        <v/>
      </c>
    </row>
    <row r="3063">
      <c r="A3063" t="inlineStr">
        <is>
          <t>EM003062</t>
        </is>
      </c>
      <c r="B3063" s="7" t="n">
        <v>46252</v>
      </c>
      <c r="C3063" t="inlineStr">
        <is>
          <t>CR-101</t>
        </is>
      </c>
      <c r="D3063" t="inlineStr">
        <is>
          <t>ISO 7</t>
        </is>
      </c>
      <c r="E3063" t="inlineStr">
        <is>
          <t>Compressed air</t>
        </is>
      </c>
      <c r="F3063" t="n">
        <v>0</v>
      </c>
      <c r="G3063" t="inlineStr">
        <is>
          <t>Tech A</t>
        </is>
      </c>
      <c r="H3063">
        <f>INDEX(Limits!$B$2:$B$5,MATCH(E3063,Limits!$A$2:$A$5,0))</f>
        <v/>
      </c>
      <c r="I3063">
        <f>INDEX(Limits!$C$2:$C$5,MATCH(E3063,Limits!$A$2:$A$5,0))</f>
        <v/>
      </c>
      <c r="J3063">
        <f>IF(F3063&gt;=I3063,"Action",IF(F3063&gt;=H3063,"Alert","Pass"))</f>
        <v/>
      </c>
      <c r="K3063" s="4">
        <f>DATE(YEAR(B3063),MONTH(B3063),1)</f>
        <v/>
      </c>
    </row>
    <row r="3064">
      <c r="A3064" t="inlineStr">
        <is>
          <t>EM003063</t>
        </is>
      </c>
      <c r="B3064" s="7" t="n">
        <v>46252</v>
      </c>
      <c r="C3064" t="inlineStr">
        <is>
          <t>CR-101</t>
        </is>
      </c>
      <c r="D3064" t="inlineStr">
        <is>
          <t>ISO 7</t>
        </is>
      </c>
      <c r="E3064" t="inlineStr">
        <is>
          <t>Personnel glove</t>
        </is>
      </c>
      <c r="F3064" t="n">
        <v>0</v>
      </c>
      <c r="G3064" t="inlineStr">
        <is>
          <t>Tech A</t>
        </is>
      </c>
      <c r="H3064">
        <f>INDEX(Limits!$B$2:$B$5,MATCH(E3064,Limits!$A$2:$A$5,0))</f>
        <v/>
      </c>
      <c r="I3064">
        <f>INDEX(Limits!$C$2:$C$5,MATCH(E3064,Limits!$A$2:$A$5,0))</f>
        <v/>
      </c>
      <c r="J3064">
        <f>IF(F3064&gt;=I3064,"Action",IF(F3064&gt;=H3064,"Alert","Pass"))</f>
        <v/>
      </c>
      <c r="K3064" s="4">
        <f>DATE(YEAR(B3064),MONTH(B3064),1)</f>
        <v/>
      </c>
    </row>
    <row r="3065">
      <c r="A3065" t="inlineStr">
        <is>
          <t>EM003064</t>
        </is>
      </c>
      <c r="B3065" s="7" t="n">
        <v>46252</v>
      </c>
      <c r="C3065" t="inlineStr">
        <is>
          <t>CR-102</t>
        </is>
      </c>
      <c r="D3065" t="inlineStr">
        <is>
          <t>ISO 7</t>
        </is>
      </c>
      <c r="E3065" t="inlineStr">
        <is>
          <t>Active air</t>
        </is>
      </c>
      <c r="F3065" t="n">
        <v>1</v>
      </c>
      <c r="G3065" t="inlineStr">
        <is>
          <t>Tech B</t>
        </is>
      </c>
      <c r="H3065">
        <f>INDEX(Limits!$B$2:$B$5,MATCH(E3065,Limits!$A$2:$A$5,0))</f>
        <v/>
      </c>
      <c r="I3065">
        <f>INDEX(Limits!$C$2:$C$5,MATCH(E3065,Limits!$A$2:$A$5,0))</f>
        <v/>
      </c>
      <c r="J3065">
        <f>IF(F3065&gt;=I3065,"Action",IF(F3065&gt;=H3065,"Alert","Pass"))</f>
        <v/>
      </c>
      <c r="K3065" s="4">
        <f>DATE(YEAR(B3065),MONTH(B3065),1)</f>
        <v/>
      </c>
    </row>
    <row r="3066">
      <c r="A3066" t="inlineStr">
        <is>
          <t>EM003065</t>
        </is>
      </c>
      <c r="B3066" s="7" t="n">
        <v>46252</v>
      </c>
      <c r="C3066" t="inlineStr">
        <is>
          <t>CR-102</t>
        </is>
      </c>
      <c r="D3066" t="inlineStr">
        <is>
          <t>ISO 7</t>
        </is>
      </c>
      <c r="E3066" t="inlineStr">
        <is>
          <t>Surface contact</t>
        </is>
      </c>
      <c r="F3066" t="n">
        <v>1</v>
      </c>
      <c r="G3066" t="inlineStr">
        <is>
          <t>Tech A</t>
        </is>
      </c>
      <c r="H3066">
        <f>INDEX(Limits!$B$2:$B$5,MATCH(E3066,Limits!$A$2:$A$5,0))</f>
        <v/>
      </c>
      <c r="I3066">
        <f>INDEX(Limits!$C$2:$C$5,MATCH(E3066,Limits!$A$2:$A$5,0))</f>
        <v/>
      </c>
      <c r="J3066">
        <f>IF(F3066&gt;=I3066,"Action",IF(F3066&gt;=H3066,"Alert","Pass"))</f>
        <v/>
      </c>
      <c r="K3066" s="4">
        <f>DATE(YEAR(B3066),MONTH(B3066),1)</f>
        <v/>
      </c>
    </row>
    <row r="3067">
      <c r="A3067" t="inlineStr">
        <is>
          <t>EM003066</t>
        </is>
      </c>
      <c r="B3067" s="7" t="n">
        <v>46252</v>
      </c>
      <c r="C3067" t="inlineStr">
        <is>
          <t>CR-102</t>
        </is>
      </c>
      <c r="D3067" t="inlineStr">
        <is>
          <t>ISO 7</t>
        </is>
      </c>
      <c r="E3067" t="inlineStr">
        <is>
          <t>Compressed air</t>
        </is>
      </c>
      <c r="F3067" t="n">
        <v>0</v>
      </c>
      <c r="G3067" t="inlineStr">
        <is>
          <t>Tech D</t>
        </is>
      </c>
      <c r="H3067">
        <f>INDEX(Limits!$B$2:$B$5,MATCH(E3067,Limits!$A$2:$A$5,0))</f>
        <v/>
      </c>
      <c r="I3067">
        <f>INDEX(Limits!$C$2:$C$5,MATCH(E3067,Limits!$A$2:$A$5,0))</f>
        <v/>
      </c>
      <c r="J3067">
        <f>IF(F3067&gt;=I3067,"Action",IF(F3067&gt;=H3067,"Alert","Pass"))</f>
        <v/>
      </c>
      <c r="K3067" s="4">
        <f>DATE(YEAR(B3067),MONTH(B3067),1)</f>
        <v/>
      </c>
    </row>
    <row r="3068">
      <c r="A3068" t="inlineStr">
        <is>
          <t>EM003067</t>
        </is>
      </c>
      <c r="B3068" s="7" t="n">
        <v>46252</v>
      </c>
      <c r="C3068" t="inlineStr">
        <is>
          <t>CR-102</t>
        </is>
      </c>
      <c r="D3068" t="inlineStr">
        <is>
          <t>ISO 7</t>
        </is>
      </c>
      <c r="E3068" t="inlineStr">
        <is>
          <t>Personnel glove</t>
        </is>
      </c>
      <c r="F3068" t="n">
        <v>0</v>
      </c>
      <c r="G3068" t="inlineStr">
        <is>
          <t>Tech B</t>
        </is>
      </c>
      <c r="H3068">
        <f>INDEX(Limits!$B$2:$B$5,MATCH(E3068,Limits!$A$2:$A$5,0))</f>
        <v/>
      </c>
      <c r="I3068">
        <f>INDEX(Limits!$C$2:$C$5,MATCH(E3068,Limits!$A$2:$A$5,0))</f>
        <v/>
      </c>
      <c r="J3068">
        <f>IF(F3068&gt;=I3068,"Action",IF(F3068&gt;=H3068,"Alert","Pass"))</f>
        <v/>
      </c>
      <c r="K3068" s="4">
        <f>DATE(YEAR(B3068),MONTH(B3068),1)</f>
        <v/>
      </c>
    </row>
    <row r="3069">
      <c r="A3069" t="inlineStr">
        <is>
          <t>EM003068</t>
        </is>
      </c>
      <c r="B3069" s="7" t="n">
        <v>46252</v>
      </c>
      <c r="C3069" t="inlineStr">
        <is>
          <t>CR-201</t>
        </is>
      </c>
      <c r="D3069" t="inlineStr">
        <is>
          <t>ISO 8</t>
        </is>
      </c>
      <c r="E3069" t="inlineStr">
        <is>
          <t>Active air</t>
        </is>
      </c>
      <c r="F3069" t="n">
        <v>1</v>
      </c>
      <c r="G3069" t="inlineStr">
        <is>
          <t>Tech D</t>
        </is>
      </c>
      <c r="H3069">
        <f>INDEX(Limits!$B$2:$B$5,MATCH(E3069,Limits!$A$2:$A$5,0))</f>
        <v/>
      </c>
      <c r="I3069">
        <f>INDEX(Limits!$C$2:$C$5,MATCH(E3069,Limits!$A$2:$A$5,0))</f>
        <v/>
      </c>
      <c r="J3069">
        <f>IF(F3069&gt;=I3069,"Action",IF(F3069&gt;=H3069,"Alert","Pass"))</f>
        <v/>
      </c>
      <c r="K3069" s="4">
        <f>DATE(YEAR(B3069),MONTH(B3069),1)</f>
        <v/>
      </c>
    </row>
    <row r="3070">
      <c r="A3070" t="inlineStr">
        <is>
          <t>EM003069</t>
        </is>
      </c>
      <c r="B3070" s="7" t="n">
        <v>46252</v>
      </c>
      <c r="C3070" t="inlineStr">
        <is>
          <t>CR-201</t>
        </is>
      </c>
      <c r="D3070" t="inlineStr">
        <is>
          <t>ISO 8</t>
        </is>
      </c>
      <c r="E3070" t="inlineStr">
        <is>
          <t>Surface contact</t>
        </is>
      </c>
      <c r="F3070" t="n">
        <v>1</v>
      </c>
      <c r="G3070" t="inlineStr">
        <is>
          <t>Tech A</t>
        </is>
      </c>
      <c r="H3070">
        <f>INDEX(Limits!$B$2:$B$5,MATCH(E3070,Limits!$A$2:$A$5,0))</f>
        <v/>
      </c>
      <c r="I3070">
        <f>INDEX(Limits!$C$2:$C$5,MATCH(E3070,Limits!$A$2:$A$5,0))</f>
        <v/>
      </c>
      <c r="J3070">
        <f>IF(F3070&gt;=I3070,"Action",IF(F3070&gt;=H3070,"Alert","Pass"))</f>
        <v/>
      </c>
      <c r="K3070" s="4">
        <f>DATE(YEAR(B3070),MONTH(B3070),1)</f>
        <v/>
      </c>
    </row>
    <row r="3071">
      <c r="A3071" t="inlineStr">
        <is>
          <t>EM003070</t>
        </is>
      </c>
      <c r="B3071" s="7" t="n">
        <v>46252</v>
      </c>
      <c r="C3071" t="inlineStr">
        <is>
          <t>CR-201</t>
        </is>
      </c>
      <c r="D3071" t="inlineStr">
        <is>
          <t>ISO 8</t>
        </is>
      </c>
      <c r="E3071" t="inlineStr">
        <is>
          <t>Compressed air</t>
        </is>
      </c>
      <c r="F3071" t="n">
        <v>0</v>
      </c>
      <c r="G3071" t="inlineStr">
        <is>
          <t>Tech D</t>
        </is>
      </c>
      <c r="H3071">
        <f>INDEX(Limits!$B$2:$B$5,MATCH(E3071,Limits!$A$2:$A$5,0))</f>
        <v/>
      </c>
      <c r="I3071">
        <f>INDEX(Limits!$C$2:$C$5,MATCH(E3071,Limits!$A$2:$A$5,0))</f>
        <v/>
      </c>
      <c r="J3071">
        <f>IF(F3071&gt;=I3071,"Action",IF(F3071&gt;=H3071,"Alert","Pass"))</f>
        <v/>
      </c>
      <c r="K3071" s="4">
        <f>DATE(YEAR(B3071),MONTH(B3071),1)</f>
        <v/>
      </c>
    </row>
    <row r="3072">
      <c r="A3072" t="inlineStr">
        <is>
          <t>EM003071</t>
        </is>
      </c>
      <c r="B3072" s="7" t="n">
        <v>46252</v>
      </c>
      <c r="C3072" t="inlineStr">
        <is>
          <t>CR-201</t>
        </is>
      </c>
      <c r="D3072" t="inlineStr">
        <is>
          <t>ISO 8</t>
        </is>
      </c>
      <c r="E3072" t="inlineStr">
        <is>
          <t>Personnel glove</t>
        </is>
      </c>
      <c r="F3072" t="n">
        <v>0</v>
      </c>
      <c r="G3072" t="inlineStr">
        <is>
          <t>Tech D</t>
        </is>
      </c>
      <c r="H3072">
        <f>INDEX(Limits!$B$2:$B$5,MATCH(E3072,Limits!$A$2:$A$5,0))</f>
        <v/>
      </c>
      <c r="I3072">
        <f>INDEX(Limits!$C$2:$C$5,MATCH(E3072,Limits!$A$2:$A$5,0))</f>
        <v/>
      </c>
      <c r="J3072">
        <f>IF(F3072&gt;=I3072,"Action",IF(F3072&gt;=H3072,"Alert","Pass"))</f>
        <v/>
      </c>
      <c r="K3072" s="4">
        <f>DATE(YEAR(B3072),MONTH(B3072),1)</f>
        <v/>
      </c>
    </row>
    <row r="3073">
      <c r="A3073" t="inlineStr">
        <is>
          <t>EM003072</t>
        </is>
      </c>
      <c r="B3073" s="7" t="n">
        <v>46252</v>
      </c>
      <c r="C3073" t="inlineStr">
        <is>
          <t>CR-202</t>
        </is>
      </c>
      <c r="D3073" t="inlineStr">
        <is>
          <t>ISO 8</t>
        </is>
      </c>
      <c r="E3073" t="inlineStr">
        <is>
          <t>Active air</t>
        </is>
      </c>
      <c r="F3073" t="n">
        <v>4</v>
      </c>
      <c r="G3073" t="inlineStr">
        <is>
          <t>Tech C</t>
        </is>
      </c>
      <c r="H3073">
        <f>INDEX(Limits!$B$2:$B$5,MATCH(E3073,Limits!$A$2:$A$5,0))</f>
        <v/>
      </c>
      <c r="I3073">
        <f>INDEX(Limits!$C$2:$C$5,MATCH(E3073,Limits!$A$2:$A$5,0))</f>
        <v/>
      </c>
      <c r="J3073">
        <f>IF(F3073&gt;=I3073,"Action",IF(F3073&gt;=H3073,"Alert","Pass"))</f>
        <v/>
      </c>
      <c r="K3073" s="4">
        <f>DATE(YEAR(B3073),MONTH(B3073),1)</f>
        <v/>
      </c>
    </row>
    <row r="3074">
      <c r="A3074" t="inlineStr">
        <is>
          <t>EM003073</t>
        </is>
      </c>
      <c r="B3074" s="7" t="n">
        <v>46252</v>
      </c>
      <c r="C3074" t="inlineStr">
        <is>
          <t>CR-202</t>
        </is>
      </c>
      <c r="D3074" t="inlineStr">
        <is>
          <t>ISO 8</t>
        </is>
      </c>
      <c r="E3074" t="inlineStr">
        <is>
          <t>Surface contact</t>
        </is>
      </c>
      <c r="F3074" t="n">
        <v>0</v>
      </c>
      <c r="G3074" t="inlineStr">
        <is>
          <t>Tech A</t>
        </is>
      </c>
      <c r="H3074">
        <f>INDEX(Limits!$B$2:$B$5,MATCH(E3074,Limits!$A$2:$A$5,0))</f>
        <v/>
      </c>
      <c r="I3074">
        <f>INDEX(Limits!$C$2:$C$5,MATCH(E3074,Limits!$A$2:$A$5,0))</f>
        <v/>
      </c>
      <c r="J3074">
        <f>IF(F3074&gt;=I3074,"Action",IF(F3074&gt;=H3074,"Alert","Pass"))</f>
        <v/>
      </c>
      <c r="K3074" s="4">
        <f>DATE(YEAR(B3074),MONTH(B3074),1)</f>
        <v/>
      </c>
    </row>
    <row r="3075">
      <c r="A3075" t="inlineStr">
        <is>
          <t>EM003074</t>
        </is>
      </c>
      <c r="B3075" s="7" t="n">
        <v>46252</v>
      </c>
      <c r="C3075" t="inlineStr">
        <is>
          <t>CR-202</t>
        </is>
      </c>
      <c r="D3075" t="inlineStr">
        <is>
          <t>ISO 8</t>
        </is>
      </c>
      <c r="E3075" t="inlineStr">
        <is>
          <t>Compressed air</t>
        </is>
      </c>
      <c r="F3075" t="n">
        <v>0</v>
      </c>
      <c r="G3075" t="inlineStr">
        <is>
          <t>Tech A</t>
        </is>
      </c>
      <c r="H3075">
        <f>INDEX(Limits!$B$2:$B$5,MATCH(E3075,Limits!$A$2:$A$5,0))</f>
        <v/>
      </c>
      <c r="I3075">
        <f>INDEX(Limits!$C$2:$C$5,MATCH(E3075,Limits!$A$2:$A$5,0))</f>
        <v/>
      </c>
      <c r="J3075">
        <f>IF(F3075&gt;=I3075,"Action",IF(F3075&gt;=H3075,"Alert","Pass"))</f>
        <v/>
      </c>
      <c r="K3075" s="4">
        <f>DATE(YEAR(B3075),MONTH(B3075),1)</f>
        <v/>
      </c>
    </row>
    <row r="3076">
      <c r="A3076" t="inlineStr">
        <is>
          <t>EM003075</t>
        </is>
      </c>
      <c r="B3076" s="7" t="n">
        <v>46252</v>
      </c>
      <c r="C3076" t="inlineStr">
        <is>
          <t>CR-202</t>
        </is>
      </c>
      <c r="D3076" t="inlineStr">
        <is>
          <t>ISO 8</t>
        </is>
      </c>
      <c r="E3076" t="inlineStr">
        <is>
          <t>Personnel glove</t>
        </is>
      </c>
      <c r="F3076" t="n">
        <v>0</v>
      </c>
      <c r="G3076" t="inlineStr">
        <is>
          <t>Tech D</t>
        </is>
      </c>
      <c r="H3076">
        <f>INDEX(Limits!$B$2:$B$5,MATCH(E3076,Limits!$A$2:$A$5,0))</f>
        <v/>
      </c>
      <c r="I3076">
        <f>INDEX(Limits!$C$2:$C$5,MATCH(E3076,Limits!$A$2:$A$5,0))</f>
        <v/>
      </c>
      <c r="J3076">
        <f>IF(F3076&gt;=I3076,"Action",IF(F3076&gt;=H3076,"Alert","Pass"))</f>
        <v/>
      </c>
      <c r="K3076" s="4">
        <f>DATE(YEAR(B3076),MONTH(B3076),1)</f>
        <v/>
      </c>
    </row>
    <row r="3077">
      <c r="A3077" t="inlineStr">
        <is>
          <t>EM003076</t>
        </is>
      </c>
      <c r="B3077" s="7" t="n">
        <v>46252</v>
      </c>
      <c r="C3077" t="inlineStr">
        <is>
          <t>Gowning</t>
        </is>
      </c>
      <c r="D3077" t="inlineStr">
        <is>
          <t>ISO 8</t>
        </is>
      </c>
      <c r="E3077" t="inlineStr">
        <is>
          <t>Active air</t>
        </is>
      </c>
      <c r="F3077" t="n">
        <v>0</v>
      </c>
      <c r="G3077" t="inlineStr">
        <is>
          <t>Tech D</t>
        </is>
      </c>
      <c r="H3077">
        <f>INDEX(Limits!$B$2:$B$5,MATCH(E3077,Limits!$A$2:$A$5,0))</f>
        <v/>
      </c>
      <c r="I3077">
        <f>INDEX(Limits!$C$2:$C$5,MATCH(E3077,Limits!$A$2:$A$5,0))</f>
        <v/>
      </c>
      <c r="J3077">
        <f>IF(F3077&gt;=I3077,"Action",IF(F3077&gt;=H3077,"Alert","Pass"))</f>
        <v/>
      </c>
      <c r="K3077" s="4">
        <f>DATE(YEAR(B3077),MONTH(B3077),1)</f>
        <v/>
      </c>
    </row>
    <row r="3078">
      <c r="A3078" t="inlineStr">
        <is>
          <t>EM003077</t>
        </is>
      </c>
      <c r="B3078" s="7" t="n">
        <v>46252</v>
      </c>
      <c r="C3078" t="inlineStr">
        <is>
          <t>Gowning</t>
        </is>
      </c>
      <c r="D3078" t="inlineStr">
        <is>
          <t>ISO 8</t>
        </is>
      </c>
      <c r="E3078" t="inlineStr">
        <is>
          <t>Surface contact</t>
        </is>
      </c>
      <c r="F3078" t="n">
        <v>0</v>
      </c>
      <c r="G3078" t="inlineStr">
        <is>
          <t>Tech D</t>
        </is>
      </c>
      <c r="H3078">
        <f>INDEX(Limits!$B$2:$B$5,MATCH(E3078,Limits!$A$2:$A$5,0))</f>
        <v/>
      </c>
      <c r="I3078">
        <f>INDEX(Limits!$C$2:$C$5,MATCH(E3078,Limits!$A$2:$A$5,0))</f>
        <v/>
      </c>
      <c r="J3078">
        <f>IF(F3078&gt;=I3078,"Action",IF(F3078&gt;=H3078,"Alert","Pass"))</f>
        <v/>
      </c>
      <c r="K3078" s="4">
        <f>DATE(YEAR(B3078),MONTH(B3078),1)</f>
        <v/>
      </c>
    </row>
    <row r="3079">
      <c r="A3079" t="inlineStr">
        <is>
          <t>EM003078</t>
        </is>
      </c>
      <c r="B3079" s="7" t="n">
        <v>46252</v>
      </c>
      <c r="C3079" t="inlineStr">
        <is>
          <t>Gowning</t>
        </is>
      </c>
      <c r="D3079" t="inlineStr">
        <is>
          <t>ISO 8</t>
        </is>
      </c>
      <c r="E3079" t="inlineStr">
        <is>
          <t>Personnel glove</t>
        </is>
      </c>
      <c r="F3079" t="n">
        <v>0</v>
      </c>
      <c r="G3079" t="inlineStr">
        <is>
          <t>Tech D</t>
        </is>
      </c>
      <c r="H3079">
        <f>INDEX(Limits!$B$2:$B$5,MATCH(E3079,Limits!$A$2:$A$5,0))</f>
        <v/>
      </c>
      <c r="I3079">
        <f>INDEX(Limits!$C$2:$C$5,MATCH(E3079,Limits!$A$2:$A$5,0))</f>
        <v/>
      </c>
      <c r="J3079">
        <f>IF(F3079&gt;=I3079,"Action",IF(F3079&gt;=H3079,"Alert","Pass"))</f>
        <v/>
      </c>
      <c r="K3079" s="4">
        <f>DATE(YEAR(B3079),MONTH(B3079),1)</f>
        <v/>
      </c>
    </row>
    <row r="3080">
      <c r="A3080" t="inlineStr">
        <is>
          <t>EM003079</t>
        </is>
      </c>
      <c r="B3080" s="7" t="n">
        <v>46253</v>
      </c>
      <c r="C3080" t="inlineStr">
        <is>
          <t>CR-101</t>
        </is>
      </c>
      <c r="D3080" t="inlineStr">
        <is>
          <t>ISO 7</t>
        </is>
      </c>
      <c r="E3080" t="inlineStr">
        <is>
          <t>Active air</t>
        </is>
      </c>
      <c r="F3080" t="n">
        <v>0</v>
      </c>
      <c r="G3080" t="inlineStr">
        <is>
          <t>Tech A</t>
        </is>
      </c>
      <c r="H3080">
        <f>INDEX(Limits!$B$2:$B$5,MATCH(E3080,Limits!$A$2:$A$5,0))</f>
        <v/>
      </c>
      <c r="I3080">
        <f>INDEX(Limits!$C$2:$C$5,MATCH(E3080,Limits!$A$2:$A$5,0))</f>
        <v/>
      </c>
      <c r="J3080">
        <f>IF(F3080&gt;=I3080,"Action",IF(F3080&gt;=H3080,"Alert","Pass"))</f>
        <v/>
      </c>
      <c r="K3080" s="4">
        <f>DATE(YEAR(B3080),MONTH(B3080),1)</f>
        <v/>
      </c>
    </row>
    <row r="3081">
      <c r="A3081" t="inlineStr">
        <is>
          <t>EM003080</t>
        </is>
      </c>
      <c r="B3081" s="7" t="n">
        <v>46253</v>
      </c>
      <c r="C3081" t="inlineStr">
        <is>
          <t>CR-101</t>
        </is>
      </c>
      <c r="D3081" t="inlineStr">
        <is>
          <t>ISO 7</t>
        </is>
      </c>
      <c r="E3081" t="inlineStr">
        <is>
          <t>Surface contact</t>
        </is>
      </c>
      <c r="F3081" t="n">
        <v>0</v>
      </c>
      <c r="G3081" t="inlineStr">
        <is>
          <t>Tech C</t>
        </is>
      </c>
      <c r="H3081">
        <f>INDEX(Limits!$B$2:$B$5,MATCH(E3081,Limits!$A$2:$A$5,0))</f>
        <v/>
      </c>
      <c r="I3081">
        <f>INDEX(Limits!$C$2:$C$5,MATCH(E3081,Limits!$A$2:$A$5,0))</f>
        <v/>
      </c>
      <c r="J3081">
        <f>IF(F3081&gt;=I3081,"Action",IF(F3081&gt;=H3081,"Alert","Pass"))</f>
        <v/>
      </c>
      <c r="K3081" s="4">
        <f>DATE(YEAR(B3081),MONTH(B3081),1)</f>
        <v/>
      </c>
    </row>
    <row r="3082">
      <c r="A3082" t="inlineStr">
        <is>
          <t>EM003081</t>
        </is>
      </c>
      <c r="B3082" s="7" t="n">
        <v>46253</v>
      </c>
      <c r="C3082" t="inlineStr">
        <is>
          <t>CR-101</t>
        </is>
      </c>
      <c r="D3082" t="inlineStr">
        <is>
          <t>ISO 7</t>
        </is>
      </c>
      <c r="E3082" t="inlineStr">
        <is>
          <t>Compressed air</t>
        </is>
      </c>
      <c r="F3082" t="n">
        <v>0</v>
      </c>
      <c r="G3082" t="inlineStr">
        <is>
          <t>Tech A</t>
        </is>
      </c>
      <c r="H3082">
        <f>INDEX(Limits!$B$2:$B$5,MATCH(E3082,Limits!$A$2:$A$5,0))</f>
        <v/>
      </c>
      <c r="I3082">
        <f>INDEX(Limits!$C$2:$C$5,MATCH(E3082,Limits!$A$2:$A$5,0))</f>
        <v/>
      </c>
      <c r="J3082">
        <f>IF(F3082&gt;=I3082,"Action",IF(F3082&gt;=H3082,"Alert","Pass"))</f>
        <v/>
      </c>
      <c r="K3082" s="4">
        <f>DATE(YEAR(B3082),MONTH(B3082),1)</f>
        <v/>
      </c>
    </row>
    <row r="3083">
      <c r="A3083" t="inlineStr">
        <is>
          <t>EM003082</t>
        </is>
      </c>
      <c r="B3083" s="7" t="n">
        <v>46253</v>
      </c>
      <c r="C3083" t="inlineStr">
        <is>
          <t>CR-101</t>
        </is>
      </c>
      <c r="D3083" t="inlineStr">
        <is>
          <t>ISO 7</t>
        </is>
      </c>
      <c r="E3083" t="inlineStr">
        <is>
          <t>Personnel glove</t>
        </is>
      </c>
      <c r="F3083" t="n">
        <v>0</v>
      </c>
      <c r="G3083" t="inlineStr">
        <is>
          <t>Tech C</t>
        </is>
      </c>
      <c r="H3083">
        <f>INDEX(Limits!$B$2:$B$5,MATCH(E3083,Limits!$A$2:$A$5,0))</f>
        <v/>
      </c>
      <c r="I3083">
        <f>INDEX(Limits!$C$2:$C$5,MATCH(E3083,Limits!$A$2:$A$5,0))</f>
        <v/>
      </c>
      <c r="J3083">
        <f>IF(F3083&gt;=I3083,"Action",IF(F3083&gt;=H3083,"Alert","Pass"))</f>
        <v/>
      </c>
      <c r="K3083" s="4">
        <f>DATE(YEAR(B3083),MONTH(B3083),1)</f>
        <v/>
      </c>
    </row>
    <row r="3084">
      <c r="A3084" t="inlineStr">
        <is>
          <t>EM003083</t>
        </is>
      </c>
      <c r="B3084" s="7" t="n">
        <v>46253</v>
      </c>
      <c r="C3084" t="inlineStr">
        <is>
          <t>CR-102</t>
        </is>
      </c>
      <c r="D3084" t="inlineStr">
        <is>
          <t>ISO 7</t>
        </is>
      </c>
      <c r="E3084" t="inlineStr">
        <is>
          <t>Active air</t>
        </is>
      </c>
      <c r="F3084" t="n">
        <v>1</v>
      </c>
      <c r="G3084" t="inlineStr">
        <is>
          <t>Tech C</t>
        </is>
      </c>
      <c r="H3084">
        <f>INDEX(Limits!$B$2:$B$5,MATCH(E3084,Limits!$A$2:$A$5,0))</f>
        <v/>
      </c>
      <c r="I3084">
        <f>INDEX(Limits!$C$2:$C$5,MATCH(E3084,Limits!$A$2:$A$5,0))</f>
        <v/>
      </c>
      <c r="J3084">
        <f>IF(F3084&gt;=I3084,"Action",IF(F3084&gt;=H3084,"Alert","Pass"))</f>
        <v/>
      </c>
      <c r="K3084" s="4">
        <f>DATE(YEAR(B3084),MONTH(B3084),1)</f>
        <v/>
      </c>
    </row>
    <row r="3085">
      <c r="A3085" t="inlineStr">
        <is>
          <t>EM003084</t>
        </is>
      </c>
      <c r="B3085" s="7" t="n">
        <v>46253</v>
      </c>
      <c r="C3085" t="inlineStr">
        <is>
          <t>CR-102</t>
        </is>
      </c>
      <c r="D3085" t="inlineStr">
        <is>
          <t>ISO 7</t>
        </is>
      </c>
      <c r="E3085" t="inlineStr">
        <is>
          <t>Surface contact</t>
        </is>
      </c>
      <c r="F3085" t="n">
        <v>0</v>
      </c>
      <c r="G3085" t="inlineStr">
        <is>
          <t>Tech B</t>
        </is>
      </c>
      <c r="H3085">
        <f>INDEX(Limits!$B$2:$B$5,MATCH(E3085,Limits!$A$2:$A$5,0))</f>
        <v/>
      </c>
      <c r="I3085">
        <f>INDEX(Limits!$C$2:$C$5,MATCH(E3085,Limits!$A$2:$A$5,0))</f>
        <v/>
      </c>
      <c r="J3085">
        <f>IF(F3085&gt;=I3085,"Action",IF(F3085&gt;=H3085,"Alert","Pass"))</f>
        <v/>
      </c>
      <c r="K3085" s="4">
        <f>DATE(YEAR(B3085),MONTH(B3085),1)</f>
        <v/>
      </c>
    </row>
    <row r="3086">
      <c r="A3086" t="inlineStr">
        <is>
          <t>EM003085</t>
        </is>
      </c>
      <c r="B3086" s="7" t="n">
        <v>46253</v>
      </c>
      <c r="C3086" t="inlineStr">
        <is>
          <t>CR-102</t>
        </is>
      </c>
      <c r="D3086" t="inlineStr">
        <is>
          <t>ISO 7</t>
        </is>
      </c>
      <c r="E3086" t="inlineStr">
        <is>
          <t>Compressed air</t>
        </is>
      </c>
      <c r="F3086" t="n">
        <v>0</v>
      </c>
      <c r="G3086" t="inlineStr">
        <is>
          <t>Tech B</t>
        </is>
      </c>
      <c r="H3086">
        <f>INDEX(Limits!$B$2:$B$5,MATCH(E3086,Limits!$A$2:$A$5,0))</f>
        <v/>
      </c>
      <c r="I3086">
        <f>INDEX(Limits!$C$2:$C$5,MATCH(E3086,Limits!$A$2:$A$5,0))</f>
        <v/>
      </c>
      <c r="J3086">
        <f>IF(F3086&gt;=I3086,"Action",IF(F3086&gt;=H3086,"Alert","Pass"))</f>
        <v/>
      </c>
      <c r="K3086" s="4">
        <f>DATE(YEAR(B3086),MONTH(B3086),1)</f>
        <v/>
      </c>
    </row>
    <row r="3087">
      <c r="A3087" t="inlineStr">
        <is>
          <t>EM003086</t>
        </is>
      </c>
      <c r="B3087" s="7" t="n">
        <v>46253</v>
      </c>
      <c r="C3087" t="inlineStr">
        <is>
          <t>CR-102</t>
        </is>
      </c>
      <c r="D3087" t="inlineStr">
        <is>
          <t>ISO 7</t>
        </is>
      </c>
      <c r="E3087" t="inlineStr">
        <is>
          <t>Personnel glove</t>
        </is>
      </c>
      <c r="F3087" t="n">
        <v>0</v>
      </c>
      <c r="G3087" t="inlineStr">
        <is>
          <t>Tech A</t>
        </is>
      </c>
      <c r="H3087">
        <f>INDEX(Limits!$B$2:$B$5,MATCH(E3087,Limits!$A$2:$A$5,0))</f>
        <v/>
      </c>
      <c r="I3087">
        <f>INDEX(Limits!$C$2:$C$5,MATCH(E3087,Limits!$A$2:$A$5,0))</f>
        <v/>
      </c>
      <c r="J3087">
        <f>IF(F3087&gt;=I3087,"Action",IF(F3087&gt;=H3087,"Alert","Pass"))</f>
        <v/>
      </c>
      <c r="K3087" s="4">
        <f>DATE(YEAR(B3087),MONTH(B3087),1)</f>
        <v/>
      </c>
    </row>
    <row r="3088">
      <c r="A3088" t="inlineStr">
        <is>
          <t>EM003087</t>
        </is>
      </c>
      <c r="B3088" s="7" t="n">
        <v>46253</v>
      </c>
      <c r="C3088" t="inlineStr">
        <is>
          <t>CR-201</t>
        </is>
      </c>
      <c r="D3088" t="inlineStr">
        <is>
          <t>ISO 8</t>
        </is>
      </c>
      <c r="E3088" t="inlineStr">
        <is>
          <t>Active air</t>
        </is>
      </c>
      <c r="F3088" t="n">
        <v>1</v>
      </c>
      <c r="G3088" t="inlineStr">
        <is>
          <t>Tech C</t>
        </is>
      </c>
      <c r="H3088">
        <f>INDEX(Limits!$B$2:$B$5,MATCH(E3088,Limits!$A$2:$A$5,0))</f>
        <v/>
      </c>
      <c r="I3088">
        <f>INDEX(Limits!$C$2:$C$5,MATCH(E3088,Limits!$A$2:$A$5,0))</f>
        <v/>
      </c>
      <c r="J3088">
        <f>IF(F3088&gt;=I3088,"Action",IF(F3088&gt;=H3088,"Alert","Pass"))</f>
        <v/>
      </c>
      <c r="K3088" s="4">
        <f>DATE(YEAR(B3088),MONTH(B3088),1)</f>
        <v/>
      </c>
    </row>
    <row r="3089">
      <c r="A3089" t="inlineStr">
        <is>
          <t>EM003088</t>
        </is>
      </c>
      <c r="B3089" s="7" t="n">
        <v>46253</v>
      </c>
      <c r="C3089" t="inlineStr">
        <is>
          <t>CR-201</t>
        </is>
      </c>
      <c r="D3089" t="inlineStr">
        <is>
          <t>ISO 8</t>
        </is>
      </c>
      <c r="E3089" t="inlineStr">
        <is>
          <t>Surface contact</t>
        </is>
      </c>
      <c r="F3089" t="n">
        <v>0</v>
      </c>
      <c r="G3089" t="inlineStr">
        <is>
          <t>Tech B</t>
        </is>
      </c>
      <c r="H3089">
        <f>INDEX(Limits!$B$2:$B$5,MATCH(E3089,Limits!$A$2:$A$5,0))</f>
        <v/>
      </c>
      <c r="I3089">
        <f>INDEX(Limits!$C$2:$C$5,MATCH(E3089,Limits!$A$2:$A$5,0))</f>
        <v/>
      </c>
      <c r="J3089">
        <f>IF(F3089&gt;=I3089,"Action",IF(F3089&gt;=H3089,"Alert","Pass"))</f>
        <v/>
      </c>
      <c r="K3089" s="4">
        <f>DATE(YEAR(B3089),MONTH(B3089),1)</f>
        <v/>
      </c>
    </row>
    <row r="3090">
      <c r="A3090" t="inlineStr">
        <is>
          <t>EM003089</t>
        </is>
      </c>
      <c r="B3090" s="7" t="n">
        <v>46253</v>
      </c>
      <c r="C3090" t="inlineStr">
        <is>
          <t>CR-201</t>
        </is>
      </c>
      <c r="D3090" t="inlineStr">
        <is>
          <t>ISO 8</t>
        </is>
      </c>
      <c r="E3090" t="inlineStr">
        <is>
          <t>Compressed air</t>
        </is>
      </c>
      <c r="F3090" t="n">
        <v>0</v>
      </c>
      <c r="G3090" t="inlineStr">
        <is>
          <t>Tech C</t>
        </is>
      </c>
      <c r="H3090">
        <f>INDEX(Limits!$B$2:$B$5,MATCH(E3090,Limits!$A$2:$A$5,0))</f>
        <v/>
      </c>
      <c r="I3090">
        <f>INDEX(Limits!$C$2:$C$5,MATCH(E3090,Limits!$A$2:$A$5,0))</f>
        <v/>
      </c>
      <c r="J3090">
        <f>IF(F3090&gt;=I3090,"Action",IF(F3090&gt;=H3090,"Alert","Pass"))</f>
        <v/>
      </c>
      <c r="K3090" s="4">
        <f>DATE(YEAR(B3090),MONTH(B3090),1)</f>
        <v/>
      </c>
    </row>
    <row r="3091">
      <c r="A3091" t="inlineStr">
        <is>
          <t>EM003090</t>
        </is>
      </c>
      <c r="B3091" s="7" t="n">
        <v>46253</v>
      </c>
      <c r="C3091" t="inlineStr">
        <is>
          <t>CR-201</t>
        </is>
      </c>
      <c r="D3091" t="inlineStr">
        <is>
          <t>ISO 8</t>
        </is>
      </c>
      <c r="E3091" t="inlineStr">
        <is>
          <t>Personnel glove</t>
        </is>
      </c>
      <c r="F3091" t="n">
        <v>1</v>
      </c>
      <c r="G3091" t="inlineStr">
        <is>
          <t>Tech D</t>
        </is>
      </c>
      <c r="H3091">
        <f>INDEX(Limits!$B$2:$B$5,MATCH(E3091,Limits!$A$2:$A$5,0))</f>
        <v/>
      </c>
      <c r="I3091">
        <f>INDEX(Limits!$C$2:$C$5,MATCH(E3091,Limits!$A$2:$A$5,0))</f>
        <v/>
      </c>
      <c r="J3091">
        <f>IF(F3091&gt;=I3091,"Action",IF(F3091&gt;=H3091,"Alert","Pass"))</f>
        <v/>
      </c>
      <c r="K3091" s="4">
        <f>DATE(YEAR(B3091),MONTH(B3091),1)</f>
        <v/>
      </c>
    </row>
    <row r="3092">
      <c r="A3092" t="inlineStr">
        <is>
          <t>EM003091</t>
        </is>
      </c>
      <c r="B3092" s="7" t="n">
        <v>46253</v>
      </c>
      <c r="C3092" t="inlineStr">
        <is>
          <t>CR-202</t>
        </is>
      </c>
      <c r="D3092" t="inlineStr">
        <is>
          <t>ISO 8</t>
        </is>
      </c>
      <c r="E3092" t="inlineStr">
        <is>
          <t>Active air</t>
        </is>
      </c>
      <c r="F3092" t="n">
        <v>6</v>
      </c>
      <c r="G3092" t="inlineStr">
        <is>
          <t>Tech C</t>
        </is>
      </c>
      <c r="H3092">
        <f>INDEX(Limits!$B$2:$B$5,MATCH(E3092,Limits!$A$2:$A$5,0))</f>
        <v/>
      </c>
      <c r="I3092">
        <f>INDEX(Limits!$C$2:$C$5,MATCH(E3092,Limits!$A$2:$A$5,0))</f>
        <v/>
      </c>
      <c r="J3092">
        <f>IF(F3092&gt;=I3092,"Action",IF(F3092&gt;=H3092,"Alert","Pass"))</f>
        <v/>
      </c>
      <c r="K3092" s="4">
        <f>DATE(YEAR(B3092),MONTH(B3092),1)</f>
        <v/>
      </c>
    </row>
    <row r="3093">
      <c r="A3093" t="inlineStr">
        <is>
          <t>EM003092</t>
        </is>
      </c>
      <c r="B3093" s="7" t="n">
        <v>46253</v>
      </c>
      <c r="C3093" t="inlineStr">
        <is>
          <t>CR-202</t>
        </is>
      </c>
      <c r="D3093" t="inlineStr">
        <is>
          <t>ISO 8</t>
        </is>
      </c>
      <c r="E3093" t="inlineStr">
        <is>
          <t>Surface contact</t>
        </is>
      </c>
      <c r="F3093" t="n">
        <v>3</v>
      </c>
      <c r="G3093" t="inlineStr">
        <is>
          <t>Tech B</t>
        </is>
      </c>
      <c r="H3093">
        <f>INDEX(Limits!$B$2:$B$5,MATCH(E3093,Limits!$A$2:$A$5,0))</f>
        <v/>
      </c>
      <c r="I3093">
        <f>INDEX(Limits!$C$2:$C$5,MATCH(E3093,Limits!$A$2:$A$5,0))</f>
        <v/>
      </c>
      <c r="J3093">
        <f>IF(F3093&gt;=I3093,"Action",IF(F3093&gt;=H3093,"Alert","Pass"))</f>
        <v/>
      </c>
      <c r="K3093" s="4">
        <f>DATE(YEAR(B3093),MONTH(B3093),1)</f>
        <v/>
      </c>
    </row>
    <row r="3094">
      <c r="A3094" t="inlineStr">
        <is>
          <t>EM003093</t>
        </is>
      </c>
      <c r="B3094" s="7" t="n">
        <v>46253</v>
      </c>
      <c r="C3094" t="inlineStr">
        <is>
          <t>CR-202</t>
        </is>
      </c>
      <c r="D3094" t="inlineStr">
        <is>
          <t>ISO 8</t>
        </is>
      </c>
      <c r="E3094" t="inlineStr">
        <is>
          <t>Compressed air</t>
        </is>
      </c>
      <c r="F3094" t="n">
        <v>0</v>
      </c>
      <c r="G3094" t="inlineStr">
        <is>
          <t>Tech C</t>
        </is>
      </c>
      <c r="H3094">
        <f>INDEX(Limits!$B$2:$B$5,MATCH(E3094,Limits!$A$2:$A$5,0))</f>
        <v/>
      </c>
      <c r="I3094">
        <f>INDEX(Limits!$C$2:$C$5,MATCH(E3094,Limits!$A$2:$A$5,0))</f>
        <v/>
      </c>
      <c r="J3094">
        <f>IF(F3094&gt;=I3094,"Action",IF(F3094&gt;=H3094,"Alert","Pass"))</f>
        <v/>
      </c>
      <c r="K3094" s="4">
        <f>DATE(YEAR(B3094),MONTH(B3094),1)</f>
        <v/>
      </c>
    </row>
    <row r="3095">
      <c r="A3095" t="inlineStr">
        <is>
          <t>EM003094</t>
        </is>
      </c>
      <c r="B3095" s="7" t="n">
        <v>46253</v>
      </c>
      <c r="C3095" t="inlineStr">
        <is>
          <t>CR-202</t>
        </is>
      </c>
      <c r="D3095" t="inlineStr">
        <is>
          <t>ISO 8</t>
        </is>
      </c>
      <c r="E3095" t="inlineStr">
        <is>
          <t>Personnel glove</t>
        </is>
      </c>
      <c r="F3095" t="n">
        <v>0</v>
      </c>
      <c r="G3095" t="inlineStr">
        <is>
          <t>Tech B</t>
        </is>
      </c>
      <c r="H3095">
        <f>INDEX(Limits!$B$2:$B$5,MATCH(E3095,Limits!$A$2:$A$5,0))</f>
        <v/>
      </c>
      <c r="I3095">
        <f>INDEX(Limits!$C$2:$C$5,MATCH(E3095,Limits!$A$2:$A$5,0))</f>
        <v/>
      </c>
      <c r="J3095">
        <f>IF(F3095&gt;=I3095,"Action",IF(F3095&gt;=H3095,"Alert","Pass"))</f>
        <v/>
      </c>
      <c r="K3095" s="4">
        <f>DATE(YEAR(B3095),MONTH(B3095),1)</f>
        <v/>
      </c>
    </row>
    <row r="3096">
      <c r="A3096" t="inlineStr">
        <is>
          <t>EM003095</t>
        </is>
      </c>
      <c r="B3096" s="7" t="n">
        <v>46253</v>
      </c>
      <c r="C3096" t="inlineStr">
        <is>
          <t>Gowning</t>
        </is>
      </c>
      <c r="D3096" t="inlineStr">
        <is>
          <t>ISO 8</t>
        </is>
      </c>
      <c r="E3096" t="inlineStr">
        <is>
          <t>Active air</t>
        </is>
      </c>
      <c r="F3096" t="n">
        <v>4</v>
      </c>
      <c r="G3096" t="inlineStr">
        <is>
          <t>Tech C</t>
        </is>
      </c>
      <c r="H3096">
        <f>INDEX(Limits!$B$2:$B$5,MATCH(E3096,Limits!$A$2:$A$5,0))</f>
        <v/>
      </c>
      <c r="I3096">
        <f>INDEX(Limits!$C$2:$C$5,MATCH(E3096,Limits!$A$2:$A$5,0))</f>
        <v/>
      </c>
      <c r="J3096">
        <f>IF(F3096&gt;=I3096,"Action",IF(F3096&gt;=H3096,"Alert","Pass"))</f>
        <v/>
      </c>
      <c r="K3096" s="4">
        <f>DATE(YEAR(B3096),MONTH(B3096),1)</f>
        <v/>
      </c>
    </row>
    <row r="3097">
      <c r="A3097" t="inlineStr">
        <is>
          <t>EM003096</t>
        </is>
      </c>
      <c r="B3097" s="7" t="n">
        <v>46253</v>
      </c>
      <c r="C3097" t="inlineStr">
        <is>
          <t>Gowning</t>
        </is>
      </c>
      <c r="D3097" t="inlineStr">
        <is>
          <t>ISO 8</t>
        </is>
      </c>
      <c r="E3097" t="inlineStr">
        <is>
          <t>Surface contact</t>
        </is>
      </c>
      <c r="F3097" t="n">
        <v>0</v>
      </c>
      <c r="G3097" t="inlineStr">
        <is>
          <t>Tech A</t>
        </is>
      </c>
      <c r="H3097">
        <f>INDEX(Limits!$B$2:$B$5,MATCH(E3097,Limits!$A$2:$A$5,0))</f>
        <v/>
      </c>
      <c r="I3097">
        <f>INDEX(Limits!$C$2:$C$5,MATCH(E3097,Limits!$A$2:$A$5,0))</f>
        <v/>
      </c>
      <c r="J3097">
        <f>IF(F3097&gt;=I3097,"Action",IF(F3097&gt;=H3097,"Alert","Pass"))</f>
        <v/>
      </c>
      <c r="K3097" s="4">
        <f>DATE(YEAR(B3097),MONTH(B3097),1)</f>
        <v/>
      </c>
    </row>
    <row r="3098">
      <c r="A3098" t="inlineStr">
        <is>
          <t>EM003097</t>
        </is>
      </c>
      <c r="B3098" s="7" t="n">
        <v>46253</v>
      </c>
      <c r="C3098" t="inlineStr">
        <is>
          <t>Gowning</t>
        </is>
      </c>
      <c r="D3098" t="inlineStr">
        <is>
          <t>ISO 8</t>
        </is>
      </c>
      <c r="E3098" t="inlineStr">
        <is>
          <t>Personnel glove</t>
        </is>
      </c>
      <c r="F3098" t="n">
        <v>0</v>
      </c>
      <c r="G3098" t="inlineStr">
        <is>
          <t>Tech D</t>
        </is>
      </c>
      <c r="H3098">
        <f>INDEX(Limits!$B$2:$B$5,MATCH(E3098,Limits!$A$2:$A$5,0))</f>
        <v/>
      </c>
      <c r="I3098">
        <f>INDEX(Limits!$C$2:$C$5,MATCH(E3098,Limits!$A$2:$A$5,0))</f>
        <v/>
      </c>
      <c r="J3098">
        <f>IF(F3098&gt;=I3098,"Action",IF(F3098&gt;=H3098,"Alert","Pass"))</f>
        <v/>
      </c>
      <c r="K3098" s="4">
        <f>DATE(YEAR(B3098),MONTH(B3098),1)</f>
        <v/>
      </c>
    </row>
    <row r="3099">
      <c r="A3099" t="inlineStr">
        <is>
          <t>EM003098</t>
        </is>
      </c>
      <c r="B3099" s="7" t="n">
        <v>46254</v>
      </c>
      <c r="C3099" t="inlineStr">
        <is>
          <t>CR-101</t>
        </is>
      </c>
      <c r="D3099" t="inlineStr">
        <is>
          <t>ISO 7</t>
        </is>
      </c>
      <c r="E3099" t="inlineStr">
        <is>
          <t>Active air</t>
        </is>
      </c>
      <c r="F3099" t="n">
        <v>1</v>
      </c>
      <c r="G3099" t="inlineStr">
        <is>
          <t>Tech B</t>
        </is>
      </c>
      <c r="H3099">
        <f>INDEX(Limits!$B$2:$B$5,MATCH(E3099,Limits!$A$2:$A$5,0))</f>
        <v/>
      </c>
      <c r="I3099">
        <f>INDEX(Limits!$C$2:$C$5,MATCH(E3099,Limits!$A$2:$A$5,0))</f>
        <v/>
      </c>
      <c r="J3099">
        <f>IF(F3099&gt;=I3099,"Action",IF(F3099&gt;=H3099,"Alert","Pass"))</f>
        <v/>
      </c>
      <c r="K3099" s="4">
        <f>DATE(YEAR(B3099),MONTH(B3099),1)</f>
        <v/>
      </c>
    </row>
    <row r="3100">
      <c r="A3100" t="inlineStr">
        <is>
          <t>EM003099</t>
        </is>
      </c>
      <c r="B3100" s="7" t="n">
        <v>46254</v>
      </c>
      <c r="C3100" t="inlineStr">
        <is>
          <t>CR-101</t>
        </is>
      </c>
      <c r="D3100" t="inlineStr">
        <is>
          <t>ISO 7</t>
        </is>
      </c>
      <c r="E3100" t="inlineStr">
        <is>
          <t>Surface contact</t>
        </is>
      </c>
      <c r="F3100" t="n">
        <v>1</v>
      </c>
      <c r="G3100" t="inlineStr">
        <is>
          <t>Tech C</t>
        </is>
      </c>
      <c r="H3100">
        <f>INDEX(Limits!$B$2:$B$5,MATCH(E3100,Limits!$A$2:$A$5,0))</f>
        <v/>
      </c>
      <c r="I3100">
        <f>INDEX(Limits!$C$2:$C$5,MATCH(E3100,Limits!$A$2:$A$5,0))</f>
        <v/>
      </c>
      <c r="J3100">
        <f>IF(F3100&gt;=I3100,"Action",IF(F3100&gt;=H3100,"Alert","Pass"))</f>
        <v/>
      </c>
      <c r="K3100" s="4">
        <f>DATE(YEAR(B3100),MONTH(B3100),1)</f>
        <v/>
      </c>
    </row>
    <row r="3101">
      <c r="A3101" t="inlineStr">
        <is>
          <t>EM003100</t>
        </is>
      </c>
      <c r="B3101" s="7" t="n">
        <v>46254</v>
      </c>
      <c r="C3101" t="inlineStr">
        <is>
          <t>CR-101</t>
        </is>
      </c>
      <c r="D3101" t="inlineStr">
        <is>
          <t>ISO 7</t>
        </is>
      </c>
      <c r="E3101" t="inlineStr">
        <is>
          <t>Compressed air</t>
        </is>
      </c>
      <c r="F3101" t="n">
        <v>0</v>
      </c>
      <c r="G3101" t="inlineStr">
        <is>
          <t>Tech D</t>
        </is>
      </c>
      <c r="H3101">
        <f>INDEX(Limits!$B$2:$B$5,MATCH(E3101,Limits!$A$2:$A$5,0))</f>
        <v/>
      </c>
      <c r="I3101">
        <f>INDEX(Limits!$C$2:$C$5,MATCH(E3101,Limits!$A$2:$A$5,0))</f>
        <v/>
      </c>
      <c r="J3101">
        <f>IF(F3101&gt;=I3101,"Action",IF(F3101&gt;=H3101,"Alert","Pass"))</f>
        <v/>
      </c>
      <c r="K3101" s="4">
        <f>DATE(YEAR(B3101),MONTH(B3101),1)</f>
        <v/>
      </c>
    </row>
    <row r="3102">
      <c r="A3102" t="inlineStr">
        <is>
          <t>EM003101</t>
        </is>
      </c>
      <c r="B3102" s="7" t="n">
        <v>46254</v>
      </c>
      <c r="C3102" t="inlineStr">
        <is>
          <t>CR-101</t>
        </is>
      </c>
      <c r="D3102" t="inlineStr">
        <is>
          <t>ISO 7</t>
        </is>
      </c>
      <c r="E3102" t="inlineStr">
        <is>
          <t>Personnel glove</t>
        </is>
      </c>
      <c r="F3102" t="n">
        <v>0</v>
      </c>
      <c r="G3102" t="inlineStr">
        <is>
          <t>Tech C</t>
        </is>
      </c>
      <c r="H3102">
        <f>INDEX(Limits!$B$2:$B$5,MATCH(E3102,Limits!$A$2:$A$5,0))</f>
        <v/>
      </c>
      <c r="I3102">
        <f>INDEX(Limits!$C$2:$C$5,MATCH(E3102,Limits!$A$2:$A$5,0))</f>
        <v/>
      </c>
      <c r="J3102">
        <f>IF(F3102&gt;=I3102,"Action",IF(F3102&gt;=H3102,"Alert","Pass"))</f>
        <v/>
      </c>
      <c r="K3102" s="4">
        <f>DATE(YEAR(B3102),MONTH(B3102),1)</f>
        <v/>
      </c>
    </row>
    <row r="3103">
      <c r="A3103" t="inlineStr">
        <is>
          <t>EM003102</t>
        </is>
      </c>
      <c r="B3103" s="7" t="n">
        <v>46254</v>
      </c>
      <c r="C3103" t="inlineStr">
        <is>
          <t>CR-102</t>
        </is>
      </c>
      <c r="D3103" t="inlineStr">
        <is>
          <t>ISO 7</t>
        </is>
      </c>
      <c r="E3103" t="inlineStr">
        <is>
          <t>Active air</t>
        </is>
      </c>
      <c r="F3103" t="n">
        <v>0</v>
      </c>
      <c r="G3103" t="inlineStr">
        <is>
          <t>Tech C</t>
        </is>
      </c>
      <c r="H3103">
        <f>INDEX(Limits!$B$2:$B$5,MATCH(E3103,Limits!$A$2:$A$5,0))</f>
        <v/>
      </c>
      <c r="I3103">
        <f>INDEX(Limits!$C$2:$C$5,MATCH(E3103,Limits!$A$2:$A$5,0))</f>
        <v/>
      </c>
      <c r="J3103">
        <f>IF(F3103&gt;=I3103,"Action",IF(F3103&gt;=H3103,"Alert","Pass"))</f>
        <v/>
      </c>
      <c r="K3103" s="4">
        <f>DATE(YEAR(B3103),MONTH(B3103),1)</f>
        <v/>
      </c>
    </row>
    <row r="3104">
      <c r="A3104" t="inlineStr">
        <is>
          <t>EM003103</t>
        </is>
      </c>
      <c r="B3104" s="7" t="n">
        <v>46254</v>
      </c>
      <c r="C3104" t="inlineStr">
        <is>
          <t>CR-102</t>
        </is>
      </c>
      <c r="D3104" t="inlineStr">
        <is>
          <t>ISO 7</t>
        </is>
      </c>
      <c r="E3104" t="inlineStr">
        <is>
          <t>Surface contact</t>
        </is>
      </c>
      <c r="F3104" t="n">
        <v>1</v>
      </c>
      <c r="G3104" t="inlineStr">
        <is>
          <t>Tech A</t>
        </is>
      </c>
      <c r="H3104">
        <f>INDEX(Limits!$B$2:$B$5,MATCH(E3104,Limits!$A$2:$A$5,0))</f>
        <v/>
      </c>
      <c r="I3104">
        <f>INDEX(Limits!$C$2:$C$5,MATCH(E3104,Limits!$A$2:$A$5,0))</f>
        <v/>
      </c>
      <c r="J3104">
        <f>IF(F3104&gt;=I3104,"Action",IF(F3104&gt;=H3104,"Alert","Pass"))</f>
        <v/>
      </c>
      <c r="K3104" s="4">
        <f>DATE(YEAR(B3104),MONTH(B3104),1)</f>
        <v/>
      </c>
    </row>
    <row r="3105">
      <c r="A3105" t="inlineStr">
        <is>
          <t>EM003104</t>
        </is>
      </c>
      <c r="B3105" s="7" t="n">
        <v>46254</v>
      </c>
      <c r="C3105" t="inlineStr">
        <is>
          <t>CR-102</t>
        </is>
      </c>
      <c r="D3105" t="inlineStr">
        <is>
          <t>ISO 7</t>
        </is>
      </c>
      <c r="E3105" t="inlineStr">
        <is>
          <t>Compressed air</t>
        </is>
      </c>
      <c r="F3105" t="n">
        <v>0</v>
      </c>
      <c r="G3105" t="inlineStr">
        <is>
          <t>Tech B</t>
        </is>
      </c>
      <c r="H3105">
        <f>INDEX(Limits!$B$2:$B$5,MATCH(E3105,Limits!$A$2:$A$5,0))</f>
        <v/>
      </c>
      <c r="I3105">
        <f>INDEX(Limits!$C$2:$C$5,MATCH(E3105,Limits!$A$2:$A$5,0))</f>
        <v/>
      </c>
      <c r="J3105">
        <f>IF(F3105&gt;=I3105,"Action",IF(F3105&gt;=H3105,"Alert","Pass"))</f>
        <v/>
      </c>
      <c r="K3105" s="4">
        <f>DATE(YEAR(B3105),MONTH(B3105),1)</f>
        <v/>
      </c>
    </row>
    <row r="3106">
      <c r="A3106" t="inlineStr">
        <is>
          <t>EM003105</t>
        </is>
      </c>
      <c r="B3106" s="7" t="n">
        <v>46254</v>
      </c>
      <c r="C3106" t="inlineStr">
        <is>
          <t>CR-102</t>
        </is>
      </c>
      <c r="D3106" t="inlineStr">
        <is>
          <t>ISO 7</t>
        </is>
      </c>
      <c r="E3106" t="inlineStr">
        <is>
          <t>Personnel glove</t>
        </is>
      </c>
      <c r="F3106" t="n">
        <v>0</v>
      </c>
      <c r="G3106" t="inlineStr">
        <is>
          <t>Tech B</t>
        </is>
      </c>
      <c r="H3106">
        <f>INDEX(Limits!$B$2:$B$5,MATCH(E3106,Limits!$A$2:$A$5,0))</f>
        <v/>
      </c>
      <c r="I3106">
        <f>INDEX(Limits!$C$2:$C$5,MATCH(E3106,Limits!$A$2:$A$5,0))</f>
        <v/>
      </c>
      <c r="J3106">
        <f>IF(F3106&gt;=I3106,"Action",IF(F3106&gt;=H3106,"Alert","Pass"))</f>
        <v/>
      </c>
      <c r="K3106" s="4">
        <f>DATE(YEAR(B3106),MONTH(B3106),1)</f>
        <v/>
      </c>
    </row>
    <row r="3107">
      <c r="A3107" t="inlineStr">
        <is>
          <t>EM003106</t>
        </is>
      </c>
      <c r="B3107" s="7" t="n">
        <v>46254</v>
      </c>
      <c r="C3107" t="inlineStr">
        <is>
          <t>CR-201</t>
        </is>
      </c>
      <c r="D3107" t="inlineStr">
        <is>
          <t>ISO 8</t>
        </is>
      </c>
      <c r="E3107" t="inlineStr">
        <is>
          <t>Active air</t>
        </is>
      </c>
      <c r="F3107" t="n">
        <v>1</v>
      </c>
      <c r="G3107" t="inlineStr">
        <is>
          <t>Tech B</t>
        </is>
      </c>
      <c r="H3107">
        <f>INDEX(Limits!$B$2:$B$5,MATCH(E3107,Limits!$A$2:$A$5,0))</f>
        <v/>
      </c>
      <c r="I3107">
        <f>INDEX(Limits!$C$2:$C$5,MATCH(E3107,Limits!$A$2:$A$5,0))</f>
        <v/>
      </c>
      <c r="J3107">
        <f>IF(F3107&gt;=I3107,"Action",IF(F3107&gt;=H3107,"Alert","Pass"))</f>
        <v/>
      </c>
      <c r="K3107" s="4">
        <f>DATE(YEAR(B3107),MONTH(B3107),1)</f>
        <v/>
      </c>
    </row>
    <row r="3108">
      <c r="A3108" t="inlineStr">
        <is>
          <t>EM003107</t>
        </is>
      </c>
      <c r="B3108" s="7" t="n">
        <v>46254</v>
      </c>
      <c r="C3108" t="inlineStr">
        <is>
          <t>CR-201</t>
        </is>
      </c>
      <c r="D3108" t="inlineStr">
        <is>
          <t>ISO 8</t>
        </is>
      </c>
      <c r="E3108" t="inlineStr">
        <is>
          <t>Surface contact</t>
        </is>
      </c>
      <c r="F3108" t="n">
        <v>1</v>
      </c>
      <c r="G3108" t="inlineStr">
        <is>
          <t>Tech B</t>
        </is>
      </c>
      <c r="H3108">
        <f>INDEX(Limits!$B$2:$B$5,MATCH(E3108,Limits!$A$2:$A$5,0))</f>
        <v/>
      </c>
      <c r="I3108">
        <f>INDEX(Limits!$C$2:$C$5,MATCH(E3108,Limits!$A$2:$A$5,0))</f>
        <v/>
      </c>
      <c r="J3108">
        <f>IF(F3108&gt;=I3108,"Action",IF(F3108&gt;=H3108,"Alert","Pass"))</f>
        <v/>
      </c>
      <c r="K3108" s="4">
        <f>DATE(YEAR(B3108),MONTH(B3108),1)</f>
        <v/>
      </c>
    </row>
    <row r="3109">
      <c r="A3109" t="inlineStr">
        <is>
          <t>EM003108</t>
        </is>
      </c>
      <c r="B3109" s="7" t="n">
        <v>46254</v>
      </c>
      <c r="C3109" t="inlineStr">
        <is>
          <t>CR-201</t>
        </is>
      </c>
      <c r="D3109" t="inlineStr">
        <is>
          <t>ISO 8</t>
        </is>
      </c>
      <c r="E3109" t="inlineStr">
        <is>
          <t>Compressed air</t>
        </is>
      </c>
      <c r="F3109" t="n">
        <v>0</v>
      </c>
      <c r="G3109" t="inlineStr">
        <is>
          <t>Tech D</t>
        </is>
      </c>
      <c r="H3109">
        <f>INDEX(Limits!$B$2:$B$5,MATCH(E3109,Limits!$A$2:$A$5,0))</f>
        <v/>
      </c>
      <c r="I3109">
        <f>INDEX(Limits!$C$2:$C$5,MATCH(E3109,Limits!$A$2:$A$5,0))</f>
        <v/>
      </c>
      <c r="J3109">
        <f>IF(F3109&gt;=I3109,"Action",IF(F3109&gt;=H3109,"Alert","Pass"))</f>
        <v/>
      </c>
      <c r="K3109" s="4">
        <f>DATE(YEAR(B3109),MONTH(B3109),1)</f>
        <v/>
      </c>
    </row>
    <row r="3110">
      <c r="A3110" t="inlineStr">
        <is>
          <t>EM003109</t>
        </is>
      </c>
      <c r="B3110" s="7" t="n">
        <v>46254</v>
      </c>
      <c r="C3110" t="inlineStr">
        <is>
          <t>CR-201</t>
        </is>
      </c>
      <c r="D3110" t="inlineStr">
        <is>
          <t>ISO 8</t>
        </is>
      </c>
      <c r="E3110" t="inlineStr">
        <is>
          <t>Personnel glove</t>
        </is>
      </c>
      <c r="F3110" t="n">
        <v>0</v>
      </c>
      <c r="G3110" t="inlineStr">
        <is>
          <t>Tech A</t>
        </is>
      </c>
      <c r="H3110">
        <f>INDEX(Limits!$B$2:$B$5,MATCH(E3110,Limits!$A$2:$A$5,0))</f>
        <v/>
      </c>
      <c r="I3110">
        <f>INDEX(Limits!$C$2:$C$5,MATCH(E3110,Limits!$A$2:$A$5,0))</f>
        <v/>
      </c>
      <c r="J3110">
        <f>IF(F3110&gt;=I3110,"Action",IF(F3110&gt;=H3110,"Alert","Pass"))</f>
        <v/>
      </c>
      <c r="K3110" s="4">
        <f>DATE(YEAR(B3110),MONTH(B3110),1)</f>
        <v/>
      </c>
    </row>
    <row r="3111">
      <c r="A3111" t="inlineStr">
        <is>
          <t>EM003110</t>
        </is>
      </c>
      <c r="B3111" s="7" t="n">
        <v>46254</v>
      </c>
      <c r="C3111" t="inlineStr">
        <is>
          <t>CR-202</t>
        </is>
      </c>
      <c r="D3111" t="inlineStr">
        <is>
          <t>ISO 8</t>
        </is>
      </c>
      <c r="E3111" t="inlineStr">
        <is>
          <t>Active air</t>
        </is>
      </c>
      <c r="F3111" t="n">
        <v>5</v>
      </c>
      <c r="G3111" t="inlineStr">
        <is>
          <t>Tech D</t>
        </is>
      </c>
      <c r="H3111">
        <f>INDEX(Limits!$B$2:$B$5,MATCH(E3111,Limits!$A$2:$A$5,0))</f>
        <v/>
      </c>
      <c r="I3111">
        <f>INDEX(Limits!$C$2:$C$5,MATCH(E3111,Limits!$A$2:$A$5,0))</f>
        <v/>
      </c>
      <c r="J3111">
        <f>IF(F3111&gt;=I3111,"Action",IF(F3111&gt;=H3111,"Alert","Pass"))</f>
        <v/>
      </c>
      <c r="K3111" s="4">
        <f>DATE(YEAR(B3111),MONTH(B3111),1)</f>
        <v/>
      </c>
    </row>
    <row r="3112">
      <c r="A3112" t="inlineStr">
        <is>
          <t>EM003111</t>
        </is>
      </c>
      <c r="B3112" s="7" t="n">
        <v>46254</v>
      </c>
      <c r="C3112" t="inlineStr">
        <is>
          <t>CR-202</t>
        </is>
      </c>
      <c r="D3112" t="inlineStr">
        <is>
          <t>ISO 8</t>
        </is>
      </c>
      <c r="E3112" t="inlineStr">
        <is>
          <t>Surface contact</t>
        </is>
      </c>
      <c r="F3112" t="n">
        <v>0</v>
      </c>
      <c r="G3112" t="inlineStr">
        <is>
          <t>Tech C</t>
        </is>
      </c>
      <c r="H3112">
        <f>INDEX(Limits!$B$2:$B$5,MATCH(E3112,Limits!$A$2:$A$5,0))</f>
        <v/>
      </c>
      <c r="I3112">
        <f>INDEX(Limits!$C$2:$C$5,MATCH(E3112,Limits!$A$2:$A$5,0))</f>
        <v/>
      </c>
      <c r="J3112">
        <f>IF(F3112&gt;=I3112,"Action",IF(F3112&gt;=H3112,"Alert","Pass"))</f>
        <v/>
      </c>
      <c r="K3112" s="4">
        <f>DATE(YEAR(B3112),MONTH(B3112),1)</f>
        <v/>
      </c>
    </row>
    <row r="3113">
      <c r="A3113" t="inlineStr">
        <is>
          <t>EM003112</t>
        </is>
      </c>
      <c r="B3113" s="7" t="n">
        <v>46254</v>
      </c>
      <c r="C3113" t="inlineStr">
        <is>
          <t>CR-202</t>
        </is>
      </c>
      <c r="D3113" t="inlineStr">
        <is>
          <t>ISO 8</t>
        </is>
      </c>
      <c r="E3113" t="inlineStr">
        <is>
          <t>Compressed air</t>
        </is>
      </c>
      <c r="F3113" t="n">
        <v>0</v>
      </c>
      <c r="G3113" t="inlineStr">
        <is>
          <t>Tech A</t>
        </is>
      </c>
      <c r="H3113">
        <f>INDEX(Limits!$B$2:$B$5,MATCH(E3113,Limits!$A$2:$A$5,0))</f>
        <v/>
      </c>
      <c r="I3113">
        <f>INDEX(Limits!$C$2:$C$5,MATCH(E3113,Limits!$A$2:$A$5,0))</f>
        <v/>
      </c>
      <c r="J3113">
        <f>IF(F3113&gt;=I3113,"Action",IF(F3113&gt;=H3113,"Alert","Pass"))</f>
        <v/>
      </c>
      <c r="K3113" s="4">
        <f>DATE(YEAR(B3113),MONTH(B3113),1)</f>
        <v/>
      </c>
    </row>
    <row r="3114">
      <c r="A3114" t="inlineStr">
        <is>
          <t>EM003113</t>
        </is>
      </c>
      <c r="B3114" s="7" t="n">
        <v>46254</v>
      </c>
      <c r="C3114" t="inlineStr">
        <is>
          <t>CR-202</t>
        </is>
      </c>
      <c r="D3114" t="inlineStr">
        <is>
          <t>ISO 8</t>
        </is>
      </c>
      <c r="E3114" t="inlineStr">
        <is>
          <t>Personnel glove</t>
        </is>
      </c>
      <c r="F3114" t="n">
        <v>0</v>
      </c>
      <c r="G3114" t="inlineStr">
        <is>
          <t>Tech D</t>
        </is>
      </c>
      <c r="H3114">
        <f>INDEX(Limits!$B$2:$B$5,MATCH(E3114,Limits!$A$2:$A$5,0))</f>
        <v/>
      </c>
      <c r="I3114">
        <f>INDEX(Limits!$C$2:$C$5,MATCH(E3114,Limits!$A$2:$A$5,0))</f>
        <v/>
      </c>
      <c r="J3114">
        <f>IF(F3114&gt;=I3114,"Action",IF(F3114&gt;=H3114,"Alert","Pass"))</f>
        <v/>
      </c>
      <c r="K3114" s="4">
        <f>DATE(YEAR(B3114),MONTH(B3114),1)</f>
        <v/>
      </c>
    </row>
    <row r="3115">
      <c r="A3115" t="inlineStr">
        <is>
          <t>EM003114</t>
        </is>
      </c>
      <c r="B3115" s="7" t="n">
        <v>46254</v>
      </c>
      <c r="C3115" t="inlineStr">
        <is>
          <t>Gowning</t>
        </is>
      </c>
      <c r="D3115" t="inlineStr">
        <is>
          <t>ISO 8</t>
        </is>
      </c>
      <c r="E3115" t="inlineStr">
        <is>
          <t>Active air</t>
        </is>
      </c>
      <c r="F3115" t="n">
        <v>2</v>
      </c>
      <c r="G3115" t="inlineStr">
        <is>
          <t>Tech A</t>
        </is>
      </c>
      <c r="H3115">
        <f>INDEX(Limits!$B$2:$B$5,MATCH(E3115,Limits!$A$2:$A$5,0))</f>
        <v/>
      </c>
      <c r="I3115">
        <f>INDEX(Limits!$C$2:$C$5,MATCH(E3115,Limits!$A$2:$A$5,0))</f>
        <v/>
      </c>
      <c r="J3115">
        <f>IF(F3115&gt;=I3115,"Action",IF(F3115&gt;=H3115,"Alert","Pass"))</f>
        <v/>
      </c>
      <c r="K3115" s="4">
        <f>DATE(YEAR(B3115),MONTH(B3115),1)</f>
        <v/>
      </c>
    </row>
    <row r="3116">
      <c r="A3116" t="inlineStr">
        <is>
          <t>EM003115</t>
        </is>
      </c>
      <c r="B3116" s="7" t="n">
        <v>46254</v>
      </c>
      <c r="C3116" t="inlineStr">
        <is>
          <t>Gowning</t>
        </is>
      </c>
      <c r="D3116" t="inlineStr">
        <is>
          <t>ISO 8</t>
        </is>
      </c>
      <c r="E3116" t="inlineStr">
        <is>
          <t>Surface contact</t>
        </is>
      </c>
      <c r="F3116" t="n">
        <v>0</v>
      </c>
      <c r="G3116" t="inlineStr">
        <is>
          <t>Tech A</t>
        </is>
      </c>
      <c r="H3116">
        <f>INDEX(Limits!$B$2:$B$5,MATCH(E3116,Limits!$A$2:$A$5,0))</f>
        <v/>
      </c>
      <c r="I3116">
        <f>INDEX(Limits!$C$2:$C$5,MATCH(E3116,Limits!$A$2:$A$5,0))</f>
        <v/>
      </c>
      <c r="J3116">
        <f>IF(F3116&gt;=I3116,"Action",IF(F3116&gt;=H3116,"Alert","Pass"))</f>
        <v/>
      </c>
      <c r="K3116" s="4">
        <f>DATE(YEAR(B3116),MONTH(B3116),1)</f>
        <v/>
      </c>
    </row>
    <row r="3117">
      <c r="A3117" t="inlineStr">
        <is>
          <t>EM003116</t>
        </is>
      </c>
      <c r="B3117" s="7" t="n">
        <v>46254</v>
      </c>
      <c r="C3117" t="inlineStr">
        <is>
          <t>Gowning</t>
        </is>
      </c>
      <c r="D3117" t="inlineStr">
        <is>
          <t>ISO 8</t>
        </is>
      </c>
      <c r="E3117" t="inlineStr">
        <is>
          <t>Personnel glove</t>
        </is>
      </c>
      <c r="F3117" t="n">
        <v>0</v>
      </c>
      <c r="G3117" t="inlineStr">
        <is>
          <t>Tech A</t>
        </is>
      </c>
      <c r="H3117">
        <f>INDEX(Limits!$B$2:$B$5,MATCH(E3117,Limits!$A$2:$A$5,0))</f>
        <v/>
      </c>
      <c r="I3117">
        <f>INDEX(Limits!$C$2:$C$5,MATCH(E3117,Limits!$A$2:$A$5,0))</f>
        <v/>
      </c>
      <c r="J3117">
        <f>IF(F3117&gt;=I3117,"Action",IF(F3117&gt;=H3117,"Alert","Pass"))</f>
        <v/>
      </c>
      <c r="K3117" s="4">
        <f>DATE(YEAR(B3117),MONTH(B3117),1)</f>
        <v/>
      </c>
    </row>
    <row r="3118">
      <c r="A3118" t="inlineStr">
        <is>
          <t>EM003117</t>
        </is>
      </c>
      <c r="B3118" s="7" t="n">
        <v>46255</v>
      </c>
      <c r="C3118" t="inlineStr">
        <is>
          <t>CR-101</t>
        </is>
      </c>
      <c r="D3118" t="inlineStr">
        <is>
          <t>ISO 7</t>
        </is>
      </c>
      <c r="E3118" t="inlineStr">
        <is>
          <t>Active air</t>
        </is>
      </c>
      <c r="F3118" t="n">
        <v>0</v>
      </c>
      <c r="G3118" t="inlineStr">
        <is>
          <t>Tech B</t>
        </is>
      </c>
      <c r="H3118">
        <f>INDEX(Limits!$B$2:$B$5,MATCH(E3118,Limits!$A$2:$A$5,0))</f>
        <v/>
      </c>
      <c r="I3118">
        <f>INDEX(Limits!$C$2:$C$5,MATCH(E3118,Limits!$A$2:$A$5,0))</f>
        <v/>
      </c>
      <c r="J3118">
        <f>IF(F3118&gt;=I3118,"Action",IF(F3118&gt;=H3118,"Alert","Pass"))</f>
        <v/>
      </c>
      <c r="K3118" s="4">
        <f>DATE(YEAR(B3118),MONTH(B3118),1)</f>
        <v/>
      </c>
    </row>
    <row r="3119">
      <c r="A3119" t="inlineStr">
        <is>
          <t>EM003118</t>
        </is>
      </c>
      <c r="B3119" s="7" t="n">
        <v>46255</v>
      </c>
      <c r="C3119" t="inlineStr">
        <is>
          <t>CR-101</t>
        </is>
      </c>
      <c r="D3119" t="inlineStr">
        <is>
          <t>ISO 7</t>
        </is>
      </c>
      <c r="E3119" t="inlineStr">
        <is>
          <t>Surface contact</t>
        </is>
      </c>
      <c r="F3119" t="n">
        <v>0</v>
      </c>
      <c r="G3119" t="inlineStr">
        <is>
          <t>Tech A</t>
        </is>
      </c>
      <c r="H3119">
        <f>INDEX(Limits!$B$2:$B$5,MATCH(E3119,Limits!$A$2:$A$5,0))</f>
        <v/>
      </c>
      <c r="I3119">
        <f>INDEX(Limits!$C$2:$C$5,MATCH(E3119,Limits!$A$2:$A$5,0))</f>
        <v/>
      </c>
      <c r="J3119">
        <f>IF(F3119&gt;=I3119,"Action",IF(F3119&gt;=H3119,"Alert","Pass"))</f>
        <v/>
      </c>
      <c r="K3119" s="4">
        <f>DATE(YEAR(B3119),MONTH(B3119),1)</f>
        <v/>
      </c>
    </row>
    <row r="3120">
      <c r="A3120" t="inlineStr">
        <is>
          <t>EM003119</t>
        </is>
      </c>
      <c r="B3120" s="7" t="n">
        <v>46255</v>
      </c>
      <c r="C3120" t="inlineStr">
        <is>
          <t>CR-101</t>
        </is>
      </c>
      <c r="D3120" t="inlineStr">
        <is>
          <t>ISO 7</t>
        </is>
      </c>
      <c r="E3120" t="inlineStr">
        <is>
          <t>Compressed air</t>
        </is>
      </c>
      <c r="F3120" t="n">
        <v>0</v>
      </c>
      <c r="G3120" t="inlineStr">
        <is>
          <t>Tech B</t>
        </is>
      </c>
      <c r="H3120">
        <f>INDEX(Limits!$B$2:$B$5,MATCH(E3120,Limits!$A$2:$A$5,0))</f>
        <v/>
      </c>
      <c r="I3120">
        <f>INDEX(Limits!$C$2:$C$5,MATCH(E3120,Limits!$A$2:$A$5,0))</f>
        <v/>
      </c>
      <c r="J3120">
        <f>IF(F3120&gt;=I3120,"Action",IF(F3120&gt;=H3120,"Alert","Pass"))</f>
        <v/>
      </c>
      <c r="K3120" s="4">
        <f>DATE(YEAR(B3120),MONTH(B3120),1)</f>
        <v/>
      </c>
    </row>
    <row r="3121">
      <c r="A3121" t="inlineStr">
        <is>
          <t>EM003120</t>
        </is>
      </c>
      <c r="B3121" s="7" t="n">
        <v>46255</v>
      </c>
      <c r="C3121" t="inlineStr">
        <is>
          <t>CR-101</t>
        </is>
      </c>
      <c r="D3121" t="inlineStr">
        <is>
          <t>ISO 7</t>
        </is>
      </c>
      <c r="E3121" t="inlineStr">
        <is>
          <t>Personnel glove</t>
        </is>
      </c>
      <c r="F3121" t="n">
        <v>0</v>
      </c>
      <c r="G3121" t="inlineStr">
        <is>
          <t>Tech D</t>
        </is>
      </c>
      <c r="H3121">
        <f>INDEX(Limits!$B$2:$B$5,MATCH(E3121,Limits!$A$2:$A$5,0))</f>
        <v/>
      </c>
      <c r="I3121">
        <f>INDEX(Limits!$C$2:$C$5,MATCH(E3121,Limits!$A$2:$A$5,0))</f>
        <v/>
      </c>
      <c r="J3121">
        <f>IF(F3121&gt;=I3121,"Action",IF(F3121&gt;=H3121,"Alert","Pass"))</f>
        <v/>
      </c>
      <c r="K3121" s="4">
        <f>DATE(YEAR(B3121),MONTH(B3121),1)</f>
        <v/>
      </c>
    </row>
    <row r="3122">
      <c r="A3122" t="inlineStr">
        <is>
          <t>EM003121</t>
        </is>
      </c>
      <c r="B3122" s="7" t="n">
        <v>46255</v>
      </c>
      <c r="C3122" t="inlineStr">
        <is>
          <t>CR-102</t>
        </is>
      </c>
      <c r="D3122" t="inlineStr">
        <is>
          <t>ISO 7</t>
        </is>
      </c>
      <c r="E3122" t="inlineStr">
        <is>
          <t>Active air</t>
        </is>
      </c>
      <c r="F3122" t="n">
        <v>1</v>
      </c>
      <c r="G3122" t="inlineStr">
        <is>
          <t>Tech A</t>
        </is>
      </c>
      <c r="H3122">
        <f>INDEX(Limits!$B$2:$B$5,MATCH(E3122,Limits!$A$2:$A$5,0))</f>
        <v/>
      </c>
      <c r="I3122">
        <f>INDEX(Limits!$C$2:$C$5,MATCH(E3122,Limits!$A$2:$A$5,0))</f>
        <v/>
      </c>
      <c r="J3122">
        <f>IF(F3122&gt;=I3122,"Action",IF(F3122&gt;=H3122,"Alert","Pass"))</f>
        <v/>
      </c>
      <c r="K3122" s="4">
        <f>DATE(YEAR(B3122),MONTH(B3122),1)</f>
        <v/>
      </c>
    </row>
    <row r="3123">
      <c r="A3123" t="inlineStr">
        <is>
          <t>EM003122</t>
        </is>
      </c>
      <c r="B3123" s="7" t="n">
        <v>46255</v>
      </c>
      <c r="C3123" t="inlineStr">
        <is>
          <t>CR-102</t>
        </is>
      </c>
      <c r="D3123" t="inlineStr">
        <is>
          <t>ISO 7</t>
        </is>
      </c>
      <c r="E3123" t="inlineStr">
        <is>
          <t>Surface contact</t>
        </is>
      </c>
      <c r="F3123" t="n">
        <v>1</v>
      </c>
      <c r="G3123" t="inlineStr">
        <is>
          <t>Tech B</t>
        </is>
      </c>
      <c r="H3123">
        <f>INDEX(Limits!$B$2:$B$5,MATCH(E3123,Limits!$A$2:$A$5,0))</f>
        <v/>
      </c>
      <c r="I3123">
        <f>INDEX(Limits!$C$2:$C$5,MATCH(E3123,Limits!$A$2:$A$5,0))</f>
        <v/>
      </c>
      <c r="J3123">
        <f>IF(F3123&gt;=I3123,"Action",IF(F3123&gt;=H3123,"Alert","Pass"))</f>
        <v/>
      </c>
      <c r="K3123" s="4">
        <f>DATE(YEAR(B3123),MONTH(B3123),1)</f>
        <v/>
      </c>
    </row>
    <row r="3124">
      <c r="A3124" t="inlineStr">
        <is>
          <t>EM003123</t>
        </is>
      </c>
      <c r="B3124" s="7" t="n">
        <v>46255</v>
      </c>
      <c r="C3124" t="inlineStr">
        <is>
          <t>CR-102</t>
        </is>
      </c>
      <c r="D3124" t="inlineStr">
        <is>
          <t>ISO 7</t>
        </is>
      </c>
      <c r="E3124" t="inlineStr">
        <is>
          <t>Compressed air</t>
        </is>
      </c>
      <c r="F3124" t="n">
        <v>0</v>
      </c>
      <c r="G3124" t="inlineStr">
        <is>
          <t>Tech D</t>
        </is>
      </c>
      <c r="H3124">
        <f>INDEX(Limits!$B$2:$B$5,MATCH(E3124,Limits!$A$2:$A$5,0))</f>
        <v/>
      </c>
      <c r="I3124">
        <f>INDEX(Limits!$C$2:$C$5,MATCH(E3124,Limits!$A$2:$A$5,0))</f>
        <v/>
      </c>
      <c r="J3124">
        <f>IF(F3124&gt;=I3124,"Action",IF(F3124&gt;=H3124,"Alert","Pass"))</f>
        <v/>
      </c>
      <c r="K3124" s="4">
        <f>DATE(YEAR(B3124),MONTH(B3124),1)</f>
        <v/>
      </c>
    </row>
    <row r="3125">
      <c r="A3125" t="inlineStr">
        <is>
          <t>EM003124</t>
        </is>
      </c>
      <c r="B3125" s="7" t="n">
        <v>46255</v>
      </c>
      <c r="C3125" t="inlineStr">
        <is>
          <t>CR-102</t>
        </is>
      </c>
      <c r="D3125" t="inlineStr">
        <is>
          <t>ISO 7</t>
        </is>
      </c>
      <c r="E3125" t="inlineStr">
        <is>
          <t>Personnel glove</t>
        </is>
      </c>
      <c r="F3125" t="n">
        <v>0</v>
      </c>
      <c r="G3125" t="inlineStr">
        <is>
          <t>Tech B</t>
        </is>
      </c>
      <c r="H3125">
        <f>INDEX(Limits!$B$2:$B$5,MATCH(E3125,Limits!$A$2:$A$5,0))</f>
        <v/>
      </c>
      <c r="I3125">
        <f>INDEX(Limits!$C$2:$C$5,MATCH(E3125,Limits!$A$2:$A$5,0))</f>
        <v/>
      </c>
      <c r="J3125">
        <f>IF(F3125&gt;=I3125,"Action",IF(F3125&gt;=H3125,"Alert","Pass"))</f>
        <v/>
      </c>
      <c r="K3125" s="4">
        <f>DATE(YEAR(B3125),MONTH(B3125),1)</f>
        <v/>
      </c>
    </row>
    <row r="3126">
      <c r="A3126" t="inlineStr">
        <is>
          <t>EM003125</t>
        </is>
      </c>
      <c r="B3126" s="7" t="n">
        <v>46255</v>
      </c>
      <c r="C3126" t="inlineStr">
        <is>
          <t>CR-201</t>
        </is>
      </c>
      <c r="D3126" t="inlineStr">
        <is>
          <t>ISO 8</t>
        </is>
      </c>
      <c r="E3126" t="inlineStr">
        <is>
          <t>Active air</t>
        </is>
      </c>
      <c r="F3126" t="n">
        <v>0</v>
      </c>
      <c r="G3126" t="inlineStr">
        <is>
          <t>Tech C</t>
        </is>
      </c>
      <c r="H3126">
        <f>INDEX(Limits!$B$2:$B$5,MATCH(E3126,Limits!$A$2:$A$5,0))</f>
        <v/>
      </c>
      <c r="I3126">
        <f>INDEX(Limits!$C$2:$C$5,MATCH(E3126,Limits!$A$2:$A$5,0))</f>
        <v/>
      </c>
      <c r="J3126">
        <f>IF(F3126&gt;=I3126,"Action",IF(F3126&gt;=H3126,"Alert","Pass"))</f>
        <v/>
      </c>
      <c r="K3126" s="4">
        <f>DATE(YEAR(B3126),MONTH(B3126),1)</f>
        <v/>
      </c>
    </row>
    <row r="3127">
      <c r="A3127" t="inlineStr">
        <is>
          <t>EM003126</t>
        </is>
      </c>
      <c r="B3127" s="7" t="n">
        <v>46255</v>
      </c>
      <c r="C3127" t="inlineStr">
        <is>
          <t>CR-201</t>
        </is>
      </c>
      <c r="D3127" t="inlineStr">
        <is>
          <t>ISO 8</t>
        </is>
      </c>
      <c r="E3127" t="inlineStr">
        <is>
          <t>Surface contact</t>
        </is>
      </c>
      <c r="F3127" t="n">
        <v>0</v>
      </c>
      <c r="G3127" t="inlineStr">
        <is>
          <t>Tech B</t>
        </is>
      </c>
      <c r="H3127">
        <f>INDEX(Limits!$B$2:$B$5,MATCH(E3127,Limits!$A$2:$A$5,0))</f>
        <v/>
      </c>
      <c r="I3127">
        <f>INDEX(Limits!$C$2:$C$5,MATCH(E3127,Limits!$A$2:$A$5,0))</f>
        <v/>
      </c>
      <c r="J3127">
        <f>IF(F3127&gt;=I3127,"Action",IF(F3127&gt;=H3127,"Alert","Pass"))</f>
        <v/>
      </c>
      <c r="K3127" s="4">
        <f>DATE(YEAR(B3127),MONTH(B3127),1)</f>
        <v/>
      </c>
    </row>
    <row r="3128">
      <c r="A3128" t="inlineStr">
        <is>
          <t>EM003127</t>
        </is>
      </c>
      <c r="B3128" s="7" t="n">
        <v>46255</v>
      </c>
      <c r="C3128" t="inlineStr">
        <is>
          <t>CR-201</t>
        </is>
      </c>
      <c r="D3128" t="inlineStr">
        <is>
          <t>ISO 8</t>
        </is>
      </c>
      <c r="E3128" t="inlineStr">
        <is>
          <t>Compressed air</t>
        </is>
      </c>
      <c r="F3128" t="n">
        <v>0</v>
      </c>
      <c r="G3128" t="inlineStr">
        <is>
          <t>Tech B</t>
        </is>
      </c>
      <c r="H3128">
        <f>INDEX(Limits!$B$2:$B$5,MATCH(E3128,Limits!$A$2:$A$5,0))</f>
        <v/>
      </c>
      <c r="I3128">
        <f>INDEX(Limits!$C$2:$C$5,MATCH(E3128,Limits!$A$2:$A$5,0))</f>
        <v/>
      </c>
      <c r="J3128">
        <f>IF(F3128&gt;=I3128,"Action",IF(F3128&gt;=H3128,"Alert","Pass"))</f>
        <v/>
      </c>
      <c r="K3128" s="4">
        <f>DATE(YEAR(B3128),MONTH(B3128),1)</f>
        <v/>
      </c>
    </row>
    <row r="3129">
      <c r="A3129" t="inlineStr">
        <is>
          <t>EM003128</t>
        </is>
      </c>
      <c r="B3129" s="7" t="n">
        <v>46255</v>
      </c>
      <c r="C3129" t="inlineStr">
        <is>
          <t>CR-201</t>
        </is>
      </c>
      <c r="D3129" t="inlineStr">
        <is>
          <t>ISO 8</t>
        </is>
      </c>
      <c r="E3129" t="inlineStr">
        <is>
          <t>Personnel glove</t>
        </is>
      </c>
      <c r="F3129" t="n">
        <v>0</v>
      </c>
      <c r="G3129" t="inlineStr">
        <is>
          <t>Tech C</t>
        </is>
      </c>
      <c r="H3129">
        <f>INDEX(Limits!$B$2:$B$5,MATCH(E3129,Limits!$A$2:$A$5,0))</f>
        <v/>
      </c>
      <c r="I3129">
        <f>INDEX(Limits!$C$2:$C$5,MATCH(E3129,Limits!$A$2:$A$5,0))</f>
        <v/>
      </c>
      <c r="J3129">
        <f>IF(F3129&gt;=I3129,"Action",IF(F3129&gt;=H3129,"Alert","Pass"))</f>
        <v/>
      </c>
      <c r="K3129" s="4">
        <f>DATE(YEAR(B3129),MONTH(B3129),1)</f>
        <v/>
      </c>
    </row>
    <row r="3130">
      <c r="A3130" t="inlineStr">
        <is>
          <t>EM003129</t>
        </is>
      </c>
      <c r="B3130" s="7" t="n">
        <v>46255</v>
      </c>
      <c r="C3130" t="inlineStr">
        <is>
          <t>CR-202</t>
        </is>
      </c>
      <c r="D3130" t="inlineStr">
        <is>
          <t>ISO 8</t>
        </is>
      </c>
      <c r="E3130" t="inlineStr">
        <is>
          <t>Active air</t>
        </is>
      </c>
      <c r="F3130" t="n">
        <v>2</v>
      </c>
      <c r="G3130" t="inlineStr">
        <is>
          <t>Tech A</t>
        </is>
      </c>
      <c r="H3130">
        <f>INDEX(Limits!$B$2:$B$5,MATCH(E3130,Limits!$A$2:$A$5,0))</f>
        <v/>
      </c>
      <c r="I3130">
        <f>INDEX(Limits!$C$2:$C$5,MATCH(E3130,Limits!$A$2:$A$5,0))</f>
        <v/>
      </c>
      <c r="J3130">
        <f>IF(F3130&gt;=I3130,"Action",IF(F3130&gt;=H3130,"Alert","Pass"))</f>
        <v/>
      </c>
      <c r="K3130" s="4">
        <f>DATE(YEAR(B3130),MONTH(B3130),1)</f>
        <v/>
      </c>
    </row>
    <row r="3131">
      <c r="A3131" t="inlineStr">
        <is>
          <t>EM003130</t>
        </is>
      </c>
      <c r="B3131" s="7" t="n">
        <v>46255</v>
      </c>
      <c r="C3131" t="inlineStr">
        <is>
          <t>CR-202</t>
        </is>
      </c>
      <c r="D3131" t="inlineStr">
        <is>
          <t>ISO 8</t>
        </is>
      </c>
      <c r="E3131" t="inlineStr">
        <is>
          <t>Surface contact</t>
        </is>
      </c>
      <c r="F3131" t="n">
        <v>3</v>
      </c>
      <c r="G3131" t="inlineStr">
        <is>
          <t>Tech C</t>
        </is>
      </c>
      <c r="H3131">
        <f>INDEX(Limits!$B$2:$B$5,MATCH(E3131,Limits!$A$2:$A$5,0))</f>
        <v/>
      </c>
      <c r="I3131">
        <f>INDEX(Limits!$C$2:$C$5,MATCH(E3131,Limits!$A$2:$A$5,0))</f>
        <v/>
      </c>
      <c r="J3131">
        <f>IF(F3131&gt;=I3131,"Action",IF(F3131&gt;=H3131,"Alert","Pass"))</f>
        <v/>
      </c>
      <c r="K3131" s="4">
        <f>DATE(YEAR(B3131),MONTH(B3131),1)</f>
        <v/>
      </c>
    </row>
    <row r="3132">
      <c r="A3132" t="inlineStr">
        <is>
          <t>EM003131</t>
        </is>
      </c>
      <c r="B3132" s="7" t="n">
        <v>46255</v>
      </c>
      <c r="C3132" t="inlineStr">
        <is>
          <t>CR-202</t>
        </is>
      </c>
      <c r="D3132" t="inlineStr">
        <is>
          <t>ISO 8</t>
        </is>
      </c>
      <c r="E3132" t="inlineStr">
        <is>
          <t>Compressed air</t>
        </is>
      </c>
      <c r="F3132" t="n">
        <v>0</v>
      </c>
      <c r="G3132" t="inlineStr">
        <is>
          <t>Tech A</t>
        </is>
      </c>
      <c r="H3132">
        <f>INDEX(Limits!$B$2:$B$5,MATCH(E3132,Limits!$A$2:$A$5,0))</f>
        <v/>
      </c>
      <c r="I3132">
        <f>INDEX(Limits!$C$2:$C$5,MATCH(E3132,Limits!$A$2:$A$5,0))</f>
        <v/>
      </c>
      <c r="J3132">
        <f>IF(F3132&gt;=I3132,"Action",IF(F3132&gt;=H3132,"Alert","Pass"))</f>
        <v/>
      </c>
      <c r="K3132" s="4">
        <f>DATE(YEAR(B3132),MONTH(B3132),1)</f>
        <v/>
      </c>
    </row>
    <row r="3133">
      <c r="A3133" t="inlineStr">
        <is>
          <t>EM003132</t>
        </is>
      </c>
      <c r="B3133" s="7" t="n">
        <v>46255</v>
      </c>
      <c r="C3133" t="inlineStr">
        <is>
          <t>CR-202</t>
        </is>
      </c>
      <c r="D3133" t="inlineStr">
        <is>
          <t>ISO 8</t>
        </is>
      </c>
      <c r="E3133" t="inlineStr">
        <is>
          <t>Personnel glove</t>
        </is>
      </c>
      <c r="F3133" t="n">
        <v>0</v>
      </c>
      <c r="G3133" t="inlineStr">
        <is>
          <t>Tech D</t>
        </is>
      </c>
      <c r="H3133">
        <f>INDEX(Limits!$B$2:$B$5,MATCH(E3133,Limits!$A$2:$A$5,0))</f>
        <v/>
      </c>
      <c r="I3133">
        <f>INDEX(Limits!$C$2:$C$5,MATCH(E3133,Limits!$A$2:$A$5,0))</f>
        <v/>
      </c>
      <c r="J3133">
        <f>IF(F3133&gt;=I3133,"Action",IF(F3133&gt;=H3133,"Alert","Pass"))</f>
        <v/>
      </c>
      <c r="K3133" s="4">
        <f>DATE(YEAR(B3133),MONTH(B3133),1)</f>
        <v/>
      </c>
    </row>
    <row r="3134">
      <c r="A3134" t="inlineStr">
        <is>
          <t>EM003133</t>
        </is>
      </c>
      <c r="B3134" s="7" t="n">
        <v>46255</v>
      </c>
      <c r="C3134" t="inlineStr">
        <is>
          <t>Gowning</t>
        </is>
      </c>
      <c r="D3134" t="inlineStr">
        <is>
          <t>ISO 8</t>
        </is>
      </c>
      <c r="E3134" t="inlineStr">
        <is>
          <t>Active air</t>
        </is>
      </c>
      <c r="F3134" t="n">
        <v>2</v>
      </c>
      <c r="G3134" t="inlineStr">
        <is>
          <t>Tech A</t>
        </is>
      </c>
      <c r="H3134">
        <f>INDEX(Limits!$B$2:$B$5,MATCH(E3134,Limits!$A$2:$A$5,0))</f>
        <v/>
      </c>
      <c r="I3134">
        <f>INDEX(Limits!$C$2:$C$5,MATCH(E3134,Limits!$A$2:$A$5,0))</f>
        <v/>
      </c>
      <c r="J3134">
        <f>IF(F3134&gt;=I3134,"Action",IF(F3134&gt;=H3134,"Alert","Pass"))</f>
        <v/>
      </c>
      <c r="K3134" s="4">
        <f>DATE(YEAR(B3134),MONTH(B3134),1)</f>
        <v/>
      </c>
    </row>
    <row r="3135">
      <c r="A3135" t="inlineStr">
        <is>
          <t>EM003134</t>
        </is>
      </c>
      <c r="B3135" s="7" t="n">
        <v>46255</v>
      </c>
      <c r="C3135" t="inlineStr">
        <is>
          <t>Gowning</t>
        </is>
      </c>
      <c r="D3135" t="inlineStr">
        <is>
          <t>ISO 8</t>
        </is>
      </c>
      <c r="E3135" t="inlineStr">
        <is>
          <t>Surface contact</t>
        </is>
      </c>
      <c r="F3135" t="n">
        <v>0</v>
      </c>
      <c r="G3135" t="inlineStr">
        <is>
          <t>Tech D</t>
        </is>
      </c>
      <c r="H3135">
        <f>INDEX(Limits!$B$2:$B$5,MATCH(E3135,Limits!$A$2:$A$5,0))</f>
        <v/>
      </c>
      <c r="I3135">
        <f>INDEX(Limits!$C$2:$C$5,MATCH(E3135,Limits!$A$2:$A$5,0))</f>
        <v/>
      </c>
      <c r="J3135">
        <f>IF(F3135&gt;=I3135,"Action",IF(F3135&gt;=H3135,"Alert","Pass"))</f>
        <v/>
      </c>
      <c r="K3135" s="4">
        <f>DATE(YEAR(B3135),MONTH(B3135),1)</f>
        <v/>
      </c>
    </row>
    <row r="3136">
      <c r="A3136" t="inlineStr">
        <is>
          <t>EM003135</t>
        </is>
      </c>
      <c r="B3136" s="7" t="n">
        <v>46255</v>
      </c>
      <c r="C3136" t="inlineStr">
        <is>
          <t>Gowning</t>
        </is>
      </c>
      <c r="D3136" t="inlineStr">
        <is>
          <t>ISO 8</t>
        </is>
      </c>
      <c r="E3136" t="inlineStr">
        <is>
          <t>Personnel glove</t>
        </is>
      </c>
      <c r="F3136" t="n">
        <v>0</v>
      </c>
      <c r="G3136" t="inlineStr">
        <is>
          <t>Tech A</t>
        </is>
      </c>
      <c r="H3136">
        <f>INDEX(Limits!$B$2:$B$5,MATCH(E3136,Limits!$A$2:$A$5,0))</f>
        <v/>
      </c>
      <c r="I3136">
        <f>INDEX(Limits!$C$2:$C$5,MATCH(E3136,Limits!$A$2:$A$5,0))</f>
        <v/>
      </c>
      <c r="J3136">
        <f>IF(F3136&gt;=I3136,"Action",IF(F3136&gt;=H3136,"Alert","Pass"))</f>
        <v/>
      </c>
      <c r="K3136" s="4">
        <f>DATE(YEAR(B3136),MONTH(B3136),1)</f>
        <v/>
      </c>
    </row>
    <row r="3137">
      <c r="A3137" t="inlineStr">
        <is>
          <t>EM003136</t>
        </is>
      </c>
      <c r="B3137" s="7" t="n">
        <v>46258</v>
      </c>
      <c r="C3137" t="inlineStr">
        <is>
          <t>CR-101</t>
        </is>
      </c>
      <c r="D3137" t="inlineStr">
        <is>
          <t>ISO 7</t>
        </is>
      </c>
      <c r="E3137" t="inlineStr">
        <is>
          <t>Active air</t>
        </is>
      </c>
      <c r="F3137" t="n">
        <v>3</v>
      </c>
      <c r="G3137" t="inlineStr">
        <is>
          <t>Tech C</t>
        </is>
      </c>
      <c r="H3137">
        <f>INDEX(Limits!$B$2:$B$5,MATCH(E3137,Limits!$A$2:$A$5,0))</f>
        <v/>
      </c>
      <c r="I3137">
        <f>INDEX(Limits!$C$2:$C$5,MATCH(E3137,Limits!$A$2:$A$5,0))</f>
        <v/>
      </c>
      <c r="J3137">
        <f>IF(F3137&gt;=I3137,"Action",IF(F3137&gt;=H3137,"Alert","Pass"))</f>
        <v/>
      </c>
      <c r="K3137" s="4">
        <f>DATE(YEAR(B3137),MONTH(B3137),1)</f>
        <v/>
      </c>
    </row>
    <row r="3138">
      <c r="A3138" t="inlineStr">
        <is>
          <t>EM003137</t>
        </is>
      </c>
      <c r="B3138" s="7" t="n">
        <v>46258</v>
      </c>
      <c r="C3138" t="inlineStr">
        <is>
          <t>CR-101</t>
        </is>
      </c>
      <c r="D3138" t="inlineStr">
        <is>
          <t>ISO 7</t>
        </is>
      </c>
      <c r="E3138" t="inlineStr">
        <is>
          <t>Surface contact</t>
        </is>
      </c>
      <c r="F3138" t="n">
        <v>2</v>
      </c>
      <c r="G3138" t="inlineStr">
        <is>
          <t>Tech C</t>
        </is>
      </c>
      <c r="H3138">
        <f>INDEX(Limits!$B$2:$B$5,MATCH(E3138,Limits!$A$2:$A$5,0))</f>
        <v/>
      </c>
      <c r="I3138">
        <f>INDEX(Limits!$C$2:$C$5,MATCH(E3138,Limits!$A$2:$A$5,0))</f>
        <v/>
      </c>
      <c r="J3138">
        <f>IF(F3138&gt;=I3138,"Action",IF(F3138&gt;=H3138,"Alert","Pass"))</f>
        <v/>
      </c>
      <c r="K3138" s="4">
        <f>DATE(YEAR(B3138),MONTH(B3138),1)</f>
        <v/>
      </c>
    </row>
    <row r="3139">
      <c r="A3139" t="inlineStr">
        <is>
          <t>EM003138</t>
        </is>
      </c>
      <c r="B3139" s="7" t="n">
        <v>46258</v>
      </c>
      <c r="C3139" t="inlineStr">
        <is>
          <t>CR-101</t>
        </is>
      </c>
      <c r="D3139" t="inlineStr">
        <is>
          <t>ISO 7</t>
        </is>
      </c>
      <c r="E3139" t="inlineStr">
        <is>
          <t>Compressed air</t>
        </is>
      </c>
      <c r="F3139" t="n">
        <v>0</v>
      </c>
      <c r="G3139" t="inlineStr">
        <is>
          <t>Tech C</t>
        </is>
      </c>
      <c r="H3139">
        <f>INDEX(Limits!$B$2:$B$5,MATCH(E3139,Limits!$A$2:$A$5,0))</f>
        <v/>
      </c>
      <c r="I3139">
        <f>INDEX(Limits!$C$2:$C$5,MATCH(E3139,Limits!$A$2:$A$5,0))</f>
        <v/>
      </c>
      <c r="J3139">
        <f>IF(F3139&gt;=I3139,"Action",IF(F3139&gt;=H3139,"Alert","Pass"))</f>
        <v/>
      </c>
      <c r="K3139" s="4">
        <f>DATE(YEAR(B3139),MONTH(B3139),1)</f>
        <v/>
      </c>
    </row>
    <row r="3140">
      <c r="A3140" t="inlineStr">
        <is>
          <t>EM003139</t>
        </is>
      </c>
      <c r="B3140" s="7" t="n">
        <v>46258</v>
      </c>
      <c r="C3140" t="inlineStr">
        <is>
          <t>CR-101</t>
        </is>
      </c>
      <c r="D3140" t="inlineStr">
        <is>
          <t>ISO 7</t>
        </is>
      </c>
      <c r="E3140" t="inlineStr">
        <is>
          <t>Personnel glove</t>
        </is>
      </c>
      <c r="F3140" t="n">
        <v>0</v>
      </c>
      <c r="G3140" t="inlineStr">
        <is>
          <t>Tech D</t>
        </is>
      </c>
      <c r="H3140">
        <f>INDEX(Limits!$B$2:$B$5,MATCH(E3140,Limits!$A$2:$A$5,0))</f>
        <v/>
      </c>
      <c r="I3140">
        <f>INDEX(Limits!$C$2:$C$5,MATCH(E3140,Limits!$A$2:$A$5,0))</f>
        <v/>
      </c>
      <c r="J3140">
        <f>IF(F3140&gt;=I3140,"Action",IF(F3140&gt;=H3140,"Alert","Pass"))</f>
        <v/>
      </c>
      <c r="K3140" s="4">
        <f>DATE(YEAR(B3140),MONTH(B3140),1)</f>
        <v/>
      </c>
    </row>
    <row r="3141">
      <c r="A3141" t="inlineStr">
        <is>
          <t>EM003140</t>
        </is>
      </c>
      <c r="B3141" s="7" t="n">
        <v>46258</v>
      </c>
      <c r="C3141" t="inlineStr">
        <is>
          <t>CR-102</t>
        </is>
      </c>
      <c r="D3141" t="inlineStr">
        <is>
          <t>ISO 7</t>
        </is>
      </c>
      <c r="E3141" t="inlineStr">
        <is>
          <t>Active air</t>
        </is>
      </c>
      <c r="F3141" t="n">
        <v>2</v>
      </c>
      <c r="G3141" t="inlineStr">
        <is>
          <t>Tech C</t>
        </is>
      </c>
      <c r="H3141">
        <f>INDEX(Limits!$B$2:$B$5,MATCH(E3141,Limits!$A$2:$A$5,0))</f>
        <v/>
      </c>
      <c r="I3141">
        <f>INDEX(Limits!$C$2:$C$5,MATCH(E3141,Limits!$A$2:$A$5,0))</f>
        <v/>
      </c>
      <c r="J3141">
        <f>IF(F3141&gt;=I3141,"Action",IF(F3141&gt;=H3141,"Alert","Pass"))</f>
        <v/>
      </c>
      <c r="K3141" s="4">
        <f>DATE(YEAR(B3141),MONTH(B3141),1)</f>
        <v/>
      </c>
    </row>
    <row r="3142">
      <c r="A3142" t="inlineStr">
        <is>
          <t>EM003141</t>
        </is>
      </c>
      <c r="B3142" s="7" t="n">
        <v>46258</v>
      </c>
      <c r="C3142" t="inlineStr">
        <is>
          <t>CR-102</t>
        </is>
      </c>
      <c r="D3142" t="inlineStr">
        <is>
          <t>ISO 7</t>
        </is>
      </c>
      <c r="E3142" t="inlineStr">
        <is>
          <t>Surface contact</t>
        </is>
      </c>
      <c r="F3142" t="n">
        <v>1</v>
      </c>
      <c r="G3142" t="inlineStr">
        <is>
          <t>Tech D</t>
        </is>
      </c>
      <c r="H3142">
        <f>INDEX(Limits!$B$2:$B$5,MATCH(E3142,Limits!$A$2:$A$5,0))</f>
        <v/>
      </c>
      <c r="I3142">
        <f>INDEX(Limits!$C$2:$C$5,MATCH(E3142,Limits!$A$2:$A$5,0))</f>
        <v/>
      </c>
      <c r="J3142">
        <f>IF(F3142&gt;=I3142,"Action",IF(F3142&gt;=H3142,"Alert","Pass"))</f>
        <v/>
      </c>
      <c r="K3142" s="4">
        <f>DATE(YEAR(B3142),MONTH(B3142),1)</f>
        <v/>
      </c>
    </row>
    <row r="3143">
      <c r="A3143" t="inlineStr">
        <is>
          <t>EM003142</t>
        </is>
      </c>
      <c r="B3143" s="7" t="n">
        <v>46258</v>
      </c>
      <c r="C3143" t="inlineStr">
        <is>
          <t>CR-102</t>
        </is>
      </c>
      <c r="D3143" t="inlineStr">
        <is>
          <t>ISO 7</t>
        </is>
      </c>
      <c r="E3143" t="inlineStr">
        <is>
          <t>Compressed air</t>
        </is>
      </c>
      <c r="F3143" t="n">
        <v>0</v>
      </c>
      <c r="G3143" t="inlineStr">
        <is>
          <t>Tech D</t>
        </is>
      </c>
      <c r="H3143">
        <f>INDEX(Limits!$B$2:$B$5,MATCH(E3143,Limits!$A$2:$A$5,0))</f>
        <v/>
      </c>
      <c r="I3143">
        <f>INDEX(Limits!$C$2:$C$5,MATCH(E3143,Limits!$A$2:$A$5,0))</f>
        <v/>
      </c>
      <c r="J3143">
        <f>IF(F3143&gt;=I3143,"Action",IF(F3143&gt;=H3143,"Alert","Pass"))</f>
        <v/>
      </c>
      <c r="K3143" s="4">
        <f>DATE(YEAR(B3143),MONTH(B3143),1)</f>
        <v/>
      </c>
    </row>
    <row r="3144">
      <c r="A3144" t="inlineStr">
        <is>
          <t>EM003143</t>
        </is>
      </c>
      <c r="B3144" s="7" t="n">
        <v>46258</v>
      </c>
      <c r="C3144" t="inlineStr">
        <is>
          <t>CR-102</t>
        </is>
      </c>
      <c r="D3144" t="inlineStr">
        <is>
          <t>ISO 7</t>
        </is>
      </c>
      <c r="E3144" t="inlineStr">
        <is>
          <t>Personnel glove</t>
        </is>
      </c>
      <c r="F3144" t="n">
        <v>0</v>
      </c>
      <c r="G3144" t="inlineStr">
        <is>
          <t>Tech B</t>
        </is>
      </c>
      <c r="H3144">
        <f>INDEX(Limits!$B$2:$B$5,MATCH(E3144,Limits!$A$2:$A$5,0))</f>
        <v/>
      </c>
      <c r="I3144">
        <f>INDEX(Limits!$C$2:$C$5,MATCH(E3144,Limits!$A$2:$A$5,0))</f>
        <v/>
      </c>
      <c r="J3144">
        <f>IF(F3144&gt;=I3144,"Action",IF(F3144&gt;=H3144,"Alert","Pass"))</f>
        <v/>
      </c>
      <c r="K3144" s="4">
        <f>DATE(YEAR(B3144),MONTH(B3144),1)</f>
        <v/>
      </c>
    </row>
    <row r="3145">
      <c r="A3145" t="inlineStr">
        <is>
          <t>EM003144</t>
        </is>
      </c>
      <c r="B3145" s="7" t="n">
        <v>46258</v>
      </c>
      <c r="C3145" t="inlineStr">
        <is>
          <t>CR-201</t>
        </is>
      </c>
      <c r="D3145" t="inlineStr">
        <is>
          <t>ISO 8</t>
        </is>
      </c>
      <c r="E3145" t="inlineStr">
        <is>
          <t>Active air</t>
        </is>
      </c>
      <c r="F3145" t="n">
        <v>0</v>
      </c>
      <c r="G3145" t="inlineStr">
        <is>
          <t>Tech A</t>
        </is>
      </c>
      <c r="H3145">
        <f>INDEX(Limits!$B$2:$B$5,MATCH(E3145,Limits!$A$2:$A$5,0))</f>
        <v/>
      </c>
      <c r="I3145">
        <f>INDEX(Limits!$C$2:$C$5,MATCH(E3145,Limits!$A$2:$A$5,0))</f>
        <v/>
      </c>
      <c r="J3145">
        <f>IF(F3145&gt;=I3145,"Action",IF(F3145&gt;=H3145,"Alert","Pass"))</f>
        <v/>
      </c>
      <c r="K3145" s="4">
        <f>DATE(YEAR(B3145),MONTH(B3145),1)</f>
        <v/>
      </c>
    </row>
    <row r="3146">
      <c r="A3146" t="inlineStr">
        <is>
          <t>EM003145</t>
        </is>
      </c>
      <c r="B3146" s="7" t="n">
        <v>46258</v>
      </c>
      <c r="C3146" t="inlineStr">
        <is>
          <t>CR-201</t>
        </is>
      </c>
      <c r="D3146" t="inlineStr">
        <is>
          <t>ISO 8</t>
        </is>
      </c>
      <c r="E3146" t="inlineStr">
        <is>
          <t>Surface contact</t>
        </is>
      </c>
      <c r="F3146" t="n">
        <v>1</v>
      </c>
      <c r="G3146" t="inlineStr">
        <is>
          <t>Tech A</t>
        </is>
      </c>
      <c r="H3146">
        <f>INDEX(Limits!$B$2:$B$5,MATCH(E3146,Limits!$A$2:$A$5,0))</f>
        <v/>
      </c>
      <c r="I3146">
        <f>INDEX(Limits!$C$2:$C$5,MATCH(E3146,Limits!$A$2:$A$5,0))</f>
        <v/>
      </c>
      <c r="J3146">
        <f>IF(F3146&gt;=I3146,"Action",IF(F3146&gt;=H3146,"Alert","Pass"))</f>
        <v/>
      </c>
      <c r="K3146" s="4">
        <f>DATE(YEAR(B3146),MONTH(B3146),1)</f>
        <v/>
      </c>
    </row>
    <row r="3147">
      <c r="A3147" t="inlineStr">
        <is>
          <t>EM003146</t>
        </is>
      </c>
      <c r="B3147" s="7" t="n">
        <v>46258</v>
      </c>
      <c r="C3147" t="inlineStr">
        <is>
          <t>CR-201</t>
        </is>
      </c>
      <c r="D3147" t="inlineStr">
        <is>
          <t>ISO 8</t>
        </is>
      </c>
      <c r="E3147" t="inlineStr">
        <is>
          <t>Compressed air</t>
        </is>
      </c>
      <c r="F3147" t="n">
        <v>0</v>
      </c>
      <c r="G3147" t="inlineStr">
        <is>
          <t>Tech B</t>
        </is>
      </c>
      <c r="H3147">
        <f>INDEX(Limits!$B$2:$B$5,MATCH(E3147,Limits!$A$2:$A$5,0))</f>
        <v/>
      </c>
      <c r="I3147">
        <f>INDEX(Limits!$C$2:$C$5,MATCH(E3147,Limits!$A$2:$A$5,0))</f>
        <v/>
      </c>
      <c r="J3147">
        <f>IF(F3147&gt;=I3147,"Action",IF(F3147&gt;=H3147,"Alert","Pass"))</f>
        <v/>
      </c>
      <c r="K3147" s="4">
        <f>DATE(YEAR(B3147),MONTH(B3147),1)</f>
        <v/>
      </c>
    </row>
    <row r="3148">
      <c r="A3148" t="inlineStr">
        <is>
          <t>EM003147</t>
        </is>
      </c>
      <c r="B3148" s="7" t="n">
        <v>46258</v>
      </c>
      <c r="C3148" t="inlineStr">
        <is>
          <t>CR-201</t>
        </is>
      </c>
      <c r="D3148" t="inlineStr">
        <is>
          <t>ISO 8</t>
        </is>
      </c>
      <c r="E3148" t="inlineStr">
        <is>
          <t>Personnel glove</t>
        </is>
      </c>
      <c r="F3148" t="n">
        <v>0</v>
      </c>
      <c r="G3148" t="inlineStr">
        <is>
          <t>Tech D</t>
        </is>
      </c>
      <c r="H3148">
        <f>INDEX(Limits!$B$2:$B$5,MATCH(E3148,Limits!$A$2:$A$5,0))</f>
        <v/>
      </c>
      <c r="I3148">
        <f>INDEX(Limits!$C$2:$C$5,MATCH(E3148,Limits!$A$2:$A$5,0))</f>
        <v/>
      </c>
      <c r="J3148">
        <f>IF(F3148&gt;=I3148,"Action",IF(F3148&gt;=H3148,"Alert","Pass"))</f>
        <v/>
      </c>
      <c r="K3148" s="4">
        <f>DATE(YEAR(B3148),MONTH(B3148),1)</f>
        <v/>
      </c>
    </row>
    <row r="3149">
      <c r="A3149" t="inlineStr">
        <is>
          <t>EM003148</t>
        </is>
      </c>
      <c r="B3149" s="7" t="n">
        <v>46258</v>
      </c>
      <c r="C3149" t="inlineStr">
        <is>
          <t>CR-202</t>
        </is>
      </c>
      <c r="D3149" t="inlineStr">
        <is>
          <t>ISO 8</t>
        </is>
      </c>
      <c r="E3149" t="inlineStr">
        <is>
          <t>Active air</t>
        </is>
      </c>
      <c r="F3149" t="n">
        <v>4</v>
      </c>
      <c r="G3149" t="inlineStr">
        <is>
          <t>Tech C</t>
        </is>
      </c>
      <c r="H3149">
        <f>INDEX(Limits!$B$2:$B$5,MATCH(E3149,Limits!$A$2:$A$5,0))</f>
        <v/>
      </c>
      <c r="I3149">
        <f>INDEX(Limits!$C$2:$C$5,MATCH(E3149,Limits!$A$2:$A$5,0))</f>
        <v/>
      </c>
      <c r="J3149">
        <f>IF(F3149&gt;=I3149,"Action",IF(F3149&gt;=H3149,"Alert","Pass"))</f>
        <v/>
      </c>
      <c r="K3149" s="4">
        <f>DATE(YEAR(B3149),MONTH(B3149),1)</f>
        <v/>
      </c>
    </row>
    <row r="3150">
      <c r="A3150" t="inlineStr">
        <is>
          <t>EM003149</t>
        </is>
      </c>
      <c r="B3150" s="7" t="n">
        <v>46258</v>
      </c>
      <c r="C3150" t="inlineStr">
        <is>
          <t>CR-202</t>
        </is>
      </c>
      <c r="D3150" t="inlineStr">
        <is>
          <t>ISO 8</t>
        </is>
      </c>
      <c r="E3150" t="inlineStr">
        <is>
          <t>Surface contact</t>
        </is>
      </c>
      <c r="F3150" t="n">
        <v>1</v>
      </c>
      <c r="G3150" t="inlineStr">
        <is>
          <t>Tech C</t>
        </is>
      </c>
      <c r="H3150">
        <f>INDEX(Limits!$B$2:$B$5,MATCH(E3150,Limits!$A$2:$A$5,0))</f>
        <v/>
      </c>
      <c r="I3150">
        <f>INDEX(Limits!$C$2:$C$5,MATCH(E3150,Limits!$A$2:$A$5,0))</f>
        <v/>
      </c>
      <c r="J3150">
        <f>IF(F3150&gt;=I3150,"Action",IF(F3150&gt;=H3150,"Alert","Pass"))</f>
        <v/>
      </c>
      <c r="K3150" s="4">
        <f>DATE(YEAR(B3150),MONTH(B3150),1)</f>
        <v/>
      </c>
    </row>
    <row r="3151">
      <c r="A3151" t="inlineStr">
        <is>
          <t>EM003150</t>
        </is>
      </c>
      <c r="B3151" s="7" t="n">
        <v>46258</v>
      </c>
      <c r="C3151" t="inlineStr">
        <is>
          <t>CR-202</t>
        </is>
      </c>
      <c r="D3151" t="inlineStr">
        <is>
          <t>ISO 8</t>
        </is>
      </c>
      <c r="E3151" t="inlineStr">
        <is>
          <t>Compressed air</t>
        </is>
      </c>
      <c r="F3151" t="n">
        <v>0</v>
      </c>
      <c r="G3151" t="inlineStr">
        <is>
          <t>Tech C</t>
        </is>
      </c>
      <c r="H3151">
        <f>INDEX(Limits!$B$2:$B$5,MATCH(E3151,Limits!$A$2:$A$5,0))</f>
        <v/>
      </c>
      <c r="I3151">
        <f>INDEX(Limits!$C$2:$C$5,MATCH(E3151,Limits!$A$2:$A$5,0))</f>
        <v/>
      </c>
      <c r="J3151">
        <f>IF(F3151&gt;=I3151,"Action",IF(F3151&gt;=H3151,"Alert","Pass"))</f>
        <v/>
      </c>
      <c r="K3151" s="4">
        <f>DATE(YEAR(B3151),MONTH(B3151),1)</f>
        <v/>
      </c>
    </row>
    <row r="3152">
      <c r="A3152" t="inlineStr">
        <is>
          <t>EM003151</t>
        </is>
      </c>
      <c r="B3152" s="7" t="n">
        <v>46258</v>
      </c>
      <c r="C3152" t="inlineStr">
        <is>
          <t>CR-202</t>
        </is>
      </c>
      <c r="D3152" t="inlineStr">
        <is>
          <t>ISO 8</t>
        </is>
      </c>
      <c r="E3152" t="inlineStr">
        <is>
          <t>Personnel glove</t>
        </is>
      </c>
      <c r="F3152" t="n">
        <v>0</v>
      </c>
      <c r="G3152" t="inlineStr">
        <is>
          <t>Tech D</t>
        </is>
      </c>
      <c r="H3152">
        <f>INDEX(Limits!$B$2:$B$5,MATCH(E3152,Limits!$A$2:$A$5,0))</f>
        <v/>
      </c>
      <c r="I3152">
        <f>INDEX(Limits!$C$2:$C$5,MATCH(E3152,Limits!$A$2:$A$5,0))</f>
        <v/>
      </c>
      <c r="J3152">
        <f>IF(F3152&gt;=I3152,"Action",IF(F3152&gt;=H3152,"Alert","Pass"))</f>
        <v/>
      </c>
      <c r="K3152" s="4">
        <f>DATE(YEAR(B3152),MONTH(B3152),1)</f>
        <v/>
      </c>
    </row>
    <row r="3153">
      <c r="A3153" t="inlineStr">
        <is>
          <t>EM003152</t>
        </is>
      </c>
      <c r="B3153" s="7" t="n">
        <v>46258</v>
      </c>
      <c r="C3153" t="inlineStr">
        <is>
          <t>Gowning</t>
        </is>
      </c>
      <c r="D3153" t="inlineStr">
        <is>
          <t>ISO 8</t>
        </is>
      </c>
      <c r="E3153" t="inlineStr">
        <is>
          <t>Active air</t>
        </is>
      </c>
      <c r="F3153" t="n">
        <v>3</v>
      </c>
      <c r="G3153" t="inlineStr">
        <is>
          <t>Tech D</t>
        </is>
      </c>
      <c r="H3153">
        <f>INDEX(Limits!$B$2:$B$5,MATCH(E3153,Limits!$A$2:$A$5,0))</f>
        <v/>
      </c>
      <c r="I3153">
        <f>INDEX(Limits!$C$2:$C$5,MATCH(E3153,Limits!$A$2:$A$5,0))</f>
        <v/>
      </c>
      <c r="J3153">
        <f>IF(F3153&gt;=I3153,"Action",IF(F3153&gt;=H3153,"Alert","Pass"))</f>
        <v/>
      </c>
      <c r="K3153" s="4">
        <f>DATE(YEAR(B3153),MONTH(B3153),1)</f>
        <v/>
      </c>
    </row>
    <row r="3154">
      <c r="A3154" t="inlineStr">
        <is>
          <t>EM003153</t>
        </is>
      </c>
      <c r="B3154" s="7" t="n">
        <v>46258</v>
      </c>
      <c r="C3154" t="inlineStr">
        <is>
          <t>Gowning</t>
        </is>
      </c>
      <c r="D3154" t="inlineStr">
        <is>
          <t>ISO 8</t>
        </is>
      </c>
      <c r="E3154" t="inlineStr">
        <is>
          <t>Surface contact</t>
        </is>
      </c>
      <c r="F3154" t="n">
        <v>1</v>
      </c>
      <c r="G3154" t="inlineStr">
        <is>
          <t>Tech D</t>
        </is>
      </c>
      <c r="H3154">
        <f>INDEX(Limits!$B$2:$B$5,MATCH(E3154,Limits!$A$2:$A$5,0))</f>
        <v/>
      </c>
      <c r="I3154">
        <f>INDEX(Limits!$C$2:$C$5,MATCH(E3154,Limits!$A$2:$A$5,0))</f>
        <v/>
      </c>
      <c r="J3154">
        <f>IF(F3154&gt;=I3154,"Action",IF(F3154&gt;=H3154,"Alert","Pass"))</f>
        <v/>
      </c>
      <c r="K3154" s="4">
        <f>DATE(YEAR(B3154),MONTH(B3154),1)</f>
        <v/>
      </c>
    </row>
    <row r="3155">
      <c r="A3155" t="inlineStr">
        <is>
          <t>EM003154</t>
        </is>
      </c>
      <c r="B3155" s="7" t="n">
        <v>46258</v>
      </c>
      <c r="C3155" t="inlineStr">
        <is>
          <t>Gowning</t>
        </is>
      </c>
      <c r="D3155" t="inlineStr">
        <is>
          <t>ISO 8</t>
        </is>
      </c>
      <c r="E3155" t="inlineStr">
        <is>
          <t>Personnel glove</t>
        </is>
      </c>
      <c r="F3155" t="n">
        <v>1</v>
      </c>
      <c r="G3155" t="inlineStr">
        <is>
          <t>Tech A</t>
        </is>
      </c>
      <c r="H3155">
        <f>INDEX(Limits!$B$2:$B$5,MATCH(E3155,Limits!$A$2:$A$5,0))</f>
        <v/>
      </c>
      <c r="I3155">
        <f>INDEX(Limits!$C$2:$C$5,MATCH(E3155,Limits!$A$2:$A$5,0))</f>
        <v/>
      </c>
      <c r="J3155">
        <f>IF(F3155&gt;=I3155,"Action",IF(F3155&gt;=H3155,"Alert","Pass"))</f>
        <v/>
      </c>
      <c r="K3155" s="4">
        <f>DATE(YEAR(B3155),MONTH(B3155),1)</f>
        <v/>
      </c>
    </row>
    <row r="3156">
      <c r="A3156" t="inlineStr">
        <is>
          <t>EM003155</t>
        </is>
      </c>
      <c r="B3156" s="7" t="n">
        <v>46259</v>
      </c>
      <c r="C3156" t="inlineStr">
        <is>
          <t>CR-101</t>
        </is>
      </c>
      <c r="D3156" t="inlineStr">
        <is>
          <t>ISO 7</t>
        </is>
      </c>
      <c r="E3156" t="inlineStr">
        <is>
          <t>Active air</t>
        </is>
      </c>
      <c r="F3156" t="n">
        <v>0</v>
      </c>
      <c r="G3156" t="inlineStr">
        <is>
          <t>Tech C</t>
        </is>
      </c>
      <c r="H3156">
        <f>INDEX(Limits!$B$2:$B$5,MATCH(E3156,Limits!$A$2:$A$5,0))</f>
        <v/>
      </c>
      <c r="I3156">
        <f>INDEX(Limits!$C$2:$C$5,MATCH(E3156,Limits!$A$2:$A$5,0))</f>
        <v/>
      </c>
      <c r="J3156">
        <f>IF(F3156&gt;=I3156,"Action",IF(F3156&gt;=H3156,"Alert","Pass"))</f>
        <v/>
      </c>
      <c r="K3156" s="4">
        <f>DATE(YEAR(B3156),MONTH(B3156),1)</f>
        <v/>
      </c>
    </row>
    <row r="3157">
      <c r="A3157" t="inlineStr">
        <is>
          <t>EM003156</t>
        </is>
      </c>
      <c r="B3157" s="7" t="n">
        <v>46259</v>
      </c>
      <c r="C3157" t="inlineStr">
        <is>
          <t>CR-101</t>
        </is>
      </c>
      <c r="D3157" t="inlineStr">
        <is>
          <t>ISO 7</t>
        </is>
      </c>
      <c r="E3157" t="inlineStr">
        <is>
          <t>Surface contact</t>
        </is>
      </c>
      <c r="F3157" t="n">
        <v>0</v>
      </c>
      <c r="G3157" t="inlineStr">
        <is>
          <t>Tech A</t>
        </is>
      </c>
      <c r="H3157">
        <f>INDEX(Limits!$B$2:$B$5,MATCH(E3157,Limits!$A$2:$A$5,0))</f>
        <v/>
      </c>
      <c r="I3157">
        <f>INDEX(Limits!$C$2:$C$5,MATCH(E3157,Limits!$A$2:$A$5,0))</f>
        <v/>
      </c>
      <c r="J3157">
        <f>IF(F3157&gt;=I3157,"Action",IF(F3157&gt;=H3157,"Alert","Pass"))</f>
        <v/>
      </c>
      <c r="K3157" s="4">
        <f>DATE(YEAR(B3157),MONTH(B3157),1)</f>
        <v/>
      </c>
    </row>
    <row r="3158">
      <c r="A3158" t="inlineStr">
        <is>
          <t>EM003157</t>
        </is>
      </c>
      <c r="B3158" s="7" t="n">
        <v>46259</v>
      </c>
      <c r="C3158" t="inlineStr">
        <is>
          <t>CR-101</t>
        </is>
      </c>
      <c r="D3158" t="inlineStr">
        <is>
          <t>ISO 7</t>
        </is>
      </c>
      <c r="E3158" t="inlineStr">
        <is>
          <t>Compressed air</t>
        </is>
      </c>
      <c r="F3158" t="n">
        <v>0</v>
      </c>
      <c r="G3158" t="inlineStr">
        <is>
          <t>Tech A</t>
        </is>
      </c>
      <c r="H3158">
        <f>INDEX(Limits!$B$2:$B$5,MATCH(E3158,Limits!$A$2:$A$5,0))</f>
        <v/>
      </c>
      <c r="I3158">
        <f>INDEX(Limits!$C$2:$C$5,MATCH(E3158,Limits!$A$2:$A$5,0))</f>
        <v/>
      </c>
      <c r="J3158">
        <f>IF(F3158&gt;=I3158,"Action",IF(F3158&gt;=H3158,"Alert","Pass"))</f>
        <v/>
      </c>
      <c r="K3158" s="4">
        <f>DATE(YEAR(B3158),MONTH(B3158),1)</f>
        <v/>
      </c>
    </row>
    <row r="3159">
      <c r="A3159" t="inlineStr">
        <is>
          <t>EM003158</t>
        </is>
      </c>
      <c r="B3159" s="7" t="n">
        <v>46259</v>
      </c>
      <c r="C3159" t="inlineStr">
        <is>
          <t>CR-101</t>
        </is>
      </c>
      <c r="D3159" t="inlineStr">
        <is>
          <t>ISO 7</t>
        </is>
      </c>
      <c r="E3159" t="inlineStr">
        <is>
          <t>Personnel glove</t>
        </is>
      </c>
      <c r="F3159" t="n">
        <v>0</v>
      </c>
      <c r="G3159" t="inlineStr">
        <is>
          <t>Tech C</t>
        </is>
      </c>
      <c r="H3159">
        <f>INDEX(Limits!$B$2:$B$5,MATCH(E3159,Limits!$A$2:$A$5,0))</f>
        <v/>
      </c>
      <c r="I3159">
        <f>INDEX(Limits!$C$2:$C$5,MATCH(E3159,Limits!$A$2:$A$5,0))</f>
        <v/>
      </c>
      <c r="J3159">
        <f>IF(F3159&gt;=I3159,"Action",IF(F3159&gt;=H3159,"Alert","Pass"))</f>
        <v/>
      </c>
      <c r="K3159" s="4">
        <f>DATE(YEAR(B3159),MONTH(B3159),1)</f>
        <v/>
      </c>
    </row>
    <row r="3160">
      <c r="A3160" t="inlineStr">
        <is>
          <t>EM003159</t>
        </is>
      </c>
      <c r="B3160" s="7" t="n">
        <v>46259</v>
      </c>
      <c r="C3160" t="inlineStr">
        <is>
          <t>CR-102</t>
        </is>
      </c>
      <c r="D3160" t="inlineStr">
        <is>
          <t>ISO 7</t>
        </is>
      </c>
      <c r="E3160" t="inlineStr">
        <is>
          <t>Active air</t>
        </is>
      </c>
      <c r="F3160" t="n">
        <v>3</v>
      </c>
      <c r="G3160" t="inlineStr">
        <is>
          <t>Tech D</t>
        </is>
      </c>
      <c r="H3160">
        <f>INDEX(Limits!$B$2:$B$5,MATCH(E3160,Limits!$A$2:$A$5,0))</f>
        <v/>
      </c>
      <c r="I3160">
        <f>INDEX(Limits!$C$2:$C$5,MATCH(E3160,Limits!$A$2:$A$5,0))</f>
        <v/>
      </c>
      <c r="J3160">
        <f>IF(F3160&gt;=I3160,"Action",IF(F3160&gt;=H3160,"Alert","Pass"))</f>
        <v/>
      </c>
      <c r="K3160" s="4">
        <f>DATE(YEAR(B3160),MONTH(B3160),1)</f>
        <v/>
      </c>
    </row>
    <row r="3161">
      <c r="A3161" t="inlineStr">
        <is>
          <t>EM003160</t>
        </is>
      </c>
      <c r="B3161" s="7" t="n">
        <v>46259</v>
      </c>
      <c r="C3161" t="inlineStr">
        <is>
          <t>CR-102</t>
        </is>
      </c>
      <c r="D3161" t="inlineStr">
        <is>
          <t>ISO 7</t>
        </is>
      </c>
      <c r="E3161" t="inlineStr">
        <is>
          <t>Surface contact</t>
        </is>
      </c>
      <c r="F3161" t="n">
        <v>1</v>
      </c>
      <c r="G3161" t="inlineStr">
        <is>
          <t>Tech D</t>
        </is>
      </c>
      <c r="H3161">
        <f>INDEX(Limits!$B$2:$B$5,MATCH(E3161,Limits!$A$2:$A$5,0))</f>
        <v/>
      </c>
      <c r="I3161">
        <f>INDEX(Limits!$C$2:$C$5,MATCH(E3161,Limits!$A$2:$A$5,0))</f>
        <v/>
      </c>
      <c r="J3161">
        <f>IF(F3161&gt;=I3161,"Action",IF(F3161&gt;=H3161,"Alert","Pass"))</f>
        <v/>
      </c>
      <c r="K3161" s="4">
        <f>DATE(YEAR(B3161),MONTH(B3161),1)</f>
        <v/>
      </c>
    </row>
    <row r="3162">
      <c r="A3162" t="inlineStr">
        <is>
          <t>EM003161</t>
        </is>
      </c>
      <c r="B3162" s="7" t="n">
        <v>46259</v>
      </c>
      <c r="C3162" t="inlineStr">
        <is>
          <t>CR-102</t>
        </is>
      </c>
      <c r="D3162" t="inlineStr">
        <is>
          <t>ISO 7</t>
        </is>
      </c>
      <c r="E3162" t="inlineStr">
        <is>
          <t>Compressed air</t>
        </is>
      </c>
      <c r="F3162" t="n">
        <v>0</v>
      </c>
      <c r="G3162" t="inlineStr">
        <is>
          <t>Tech D</t>
        </is>
      </c>
      <c r="H3162">
        <f>INDEX(Limits!$B$2:$B$5,MATCH(E3162,Limits!$A$2:$A$5,0))</f>
        <v/>
      </c>
      <c r="I3162">
        <f>INDEX(Limits!$C$2:$C$5,MATCH(E3162,Limits!$A$2:$A$5,0))</f>
        <v/>
      </c>
      <c r="J3162">
        <f>IF(F3162&gt;=I3162,"Action",IF(F3162&gt;=H3162,"Alert","Pass"))</f>
        <v/>
      </c>
      <c r="K3162" s="4">
        <f>DATE(YEAR(B3162),MONTH(B3162),1)</f>
        <v/>
      </c>
    </row>
    <row r="3163">
      <c r="A3163" t="inlineStr">
        <is>
          <t>EM003162</t>
        </is>
      </c>
      <c r="B3163" s="7" t="n">
        <v>46259</v>
      </c>
      <c r="C3163" t="inlineStr">
        <is>
          <t>CR-102</t>
        </is>
      </c>
      <c r="D3163" t="inlineStr">
        <is>
          <t>ISO 7</t>
        </is>
      </c>
      <c r="E3163" t="inlineStr">
        <is>
          <t>Personnel glove</t>
        </is>
      </c>
      <c r="F3163" t="n">
        <v>0</v>
      </c>
      <c r="G3163" t="inlineStr">
        <is>
          <t>Tech C</t>
        </is>
      </c>
      <c r="H3163">
        <f>INDEX(Limits!$B$2:$B$5,MATCH(E3163,Limits!$A$2:$A$5,0))</f>
        <v/>
      </c>
      <c r="I3163">
        <f>INDEX(Limits!$C$2:$C$5,MATCH(E3163,Limits!$A$2:$A$5,0))</f>
        <v/>
      </c>
      <c r="J3163">
        <f>IF(F3163&gt;=I3163,"Action",IF(F3163&gt;=H3163,"Alert","Pass"))</f>
        <v/>
      </c>
      <c r="K3163" s="4">
        <f>DATE(YEAR(B3163),MONTH(B3163),1)</f>
        <v/>
      </c>
    </row>
    <row r="3164">
      <c r="A3164" t="inlineStr">
        <is>
          <t>EM003163</t>
        </is>
      </c>
      <c r="B3164" s="7" t="n">
        <v>46259</v>
      </c>
      <c r="C3164" t="inlineStr">
        <is>
          <t>CR-201</t>
        </is>
      </c>
      <c r="D3164" t="inlineStr">
        <is>
          <t>ISO 8</t>
        </is>
      </c>
      <c r="E3164" t="inlineStr">
        <is>
          <t>Active air</t>
        </is>
      </c>
      <c r="F3164" t="n">
        <v>1</v>
      </c>
      <c r="G3164" t="inlineStr">
        <is>
          <t>Tech A</t>
        </is>
      </c>
      <c r="H3164">
        <f>INDEX(Limits!$B$2:$B$5,MATCH(E3164,Limits!$A$2:$A$5,0))</f>
        <v/>
      </c>
      <c r="I3164">
        <f>INDEX(Limits!$C$2:$C$5,MATCH(E3164,Limits!$A$2:$A$5,0))</f>
        <v/>
      </c>
      <c r="J3164">
        <f>IF(F3164&gt;=I3164,"Action",IF(F3164&gt;=H3164,"Alert","Pass"))</f>
        <v/>
      </c>
      <c r="K3164" s="4">
        <f>DATE(YEAR(B3164),MONTH(B3164),1)</f>
        <v/>
      </c>
    </row>
    <row r="3165">
      <c r="A3165" t="inlineStr">
        <is>
          <t>EM003164</t>
        </is>
      </c>
      <c r="B3165" s="7" t="n">
        <v>46259</v>
      </c>
      <c r="C3165" t="inlineStr">
        <is>
          <t>CR-201</t>
        </is>
      </c>
      <c r="D3165" t="inlineStr">
        <is>
          <t>ISO 8</t>
        </is>
      </c>
      <c r="E3165" t="inlineStr">
        <is>
          <t>Surface contact</t>
        </is>
      </c>
      <c r="F3165" t="n">
        <v>1</v>
      </c>
      <c r="G3165" t="inlineStr">
        <is>
          <t>Tech D</t>
        </is>
      </c>
      <c r="H3165">
        <f>INDEX(Limits!$B$2:$B$5,MATCH(E3165,Limits!$A$2:$A$5,0))</f>
        <v/>
      </c>
      <c r="I3165">
        <f>INDEX(Limits!$C$2:$C$5,MATCH(E3165,Limits!$A$2:$A$5,0))</f>
        <v/>
      </c>
      <c r="J3165">
        <f>IF(F3165&gt;=I3165,"Action",IF(F3165&gt;=H3165,"Alert","Pass"))</f>
        <v/>
      </c>
      <c r="K3165" s="4">
        <f>DATE(YEAR(B3165),MONTH(B3165),1)</f>
        <v/>
      </c>
    </row>
    <row r="3166">
      <c r="A3166" t="inlineStr">
        <is>
          <t>EM003165</t>
        </is>
      </c>
      <c r="B3166" s="7" t="n">
        <v>46259</v>
      </c>
      <c r="C3166" t="inlineStr">
        <is>
          <t>CR-201</t>
        </is>
      </c>
      <c r="D3166" t="inlineStr">
        <is>
          <t>ISO 8</t>
        </is>
      </c>
      <c r="E3166" t="inlineStr">
        <is>
          <t>Compressed air</t>
        </is>
      </c>
      <c r="F3166" t="n">
        <v>0</v>
      </c>
      <c r="G3166" t="inlineStr">
        <is>
          <t>Tech C</t>
        </is>
      </c>
      <c r="H3166">
        <f>INDEX(Limits!$B$2:$B$5,MATCH(E3166,Limits!$A$2:$A$5,0))</f>
        <v/>
      </c>
      <c r="I3166">
        <f>INDEX(Limits!$C$2:$C$5,MATCH(E3166,Limits!$A$2:$A$5,0))</f>
        <v/>
      </c>
      <c r="J3166">
        <f>IF(F3166&gt;=I3166,"Action",IF(F3166&gt;=H3166,"Alert","Pass"))</f>
        <v/>
      </c>
      <c r="K3166" s="4">
        <f>DATE(YEAR(B3166),MONTH(B3166),1)</f>
        <v/>
      </c>
    </row>
    <row r="3167">
      <c r="A3167" t="inlineStr">
        <is>
          <t>EM003166</t>
        </is>
      </c>
      <c r="B3167" s="7" t="n">
        <v>46259</v>
      </c>
      <c r="C3167" t="inlineStr">
        <is>
          <t>CR-201</t>
        </is>
      </c>
      <c r="D3167" t="inlineStr">
        <is>
          <t>ISO 8</t>
        </is>
      </c>
      <c r="E3167" t="inlineStr">
        <is>
          <t>Personnel glove</t>
        </is>
      </c>
      <c r="F3167" t="n">
        <v>0</v>
      </c>
      <c r="G3167" t="inlineStr">
        <is>
          <t>Tech D</t>
        </is>
      </c>
      <c r="H3167">
        <f>INDEX(Limits!$B$2:$B$5,MATCH(E3167,Limits!$A$2:$A$5,0))</f>
        <v/>
      </c>
      <c r="I3167">
        <f>INDEX(Limits!$C$2:$C$5,MATCH(E3167,Limits!$A$2:$A$5,0))</f>
        <v/>
      </c>
      <c r="J3167">
        <f>IF(F3167&gt;=I3167,"Action",IF(F3167&gt;=H3167,"Alert","Pass"))</f>
        <v/>
      </c>
      <c r="K3167" s="4">
        <f>DATE(YEAR(B3167),MONTH(B3167),1)</f>
        <v/>
      </c>
    </row>
    <row r="3168">
      <c r="A3168" t="inlineStr">
        <is>
          <t>EM003167</t>
        </is>
      </c>
      <c r="B3168" s="7" t="n">
        <v>46259</v>
      </c>
      <c r="C3168" t="inlineStr">
        <is>
          <t>CR-202</t>
        </is>
      </c>
      <c r="D3168" t="inlineStr">
        <is>
          <t>ISO 8</t>
        </is>
      </c>
      <c r="E3168" t="inlineStr">
        <is>
          <t>Active air</t>
        </is>
      </c>
      <c r="F3168" t="n">
        <v>3</v>
      </c>
      <c r="G3168" t="inlineStr">
        <is>
          <t>Tech D</t>
        </is>
      </c>
      <c r="H3168">
        <f>INDEX(Limits!$B$2:$B$5,MATCH(E3168,Limits!$A$2:$A$5,0))</f>
        <v/>
      </c>
      <c r="I3168">
        <f>INDEX(Limits!$C$2:$C$5,MATCH(E3168,Limits!$A$2:$A$5,0))</f>
        <v/>
      </c>
      <c r="J3168">
        <f>IF(F3168&gt;=I3168,"Action",IF(F3168&gt;=H3168,"Alert","Pass"))</f>
        <v/>
      </c>
      <c r="K3168" s="4">
        <f>DATE(YEAR(B3168),MONTH(B3168),1)</f>
        <v/>
      </c>
    </row>
    <row r="3169">
      <c r="A3169" t="inlineStr">
        <is>
          <t>EM003168</t>
        </is>
      </c>
      <c r="B3169" s="7" t="n">
        <v>46259</v>
      </c>
      <c r="C3169" t="inlineStr">
        <is>
          <t>CR-202</t>
        </is>
      </c>
      <c r="D3169" t="inlineStr">
        <is>
          <t>ISO 8</t>
        </is>
      </c>
      <c r="E3169" t="inlineStr">
        <is>
          <t>Surface contact</t>
        </is>
      </c>
      <c r="F3169" t="n">
        <v>1</v>
      </c>
      <c r="G3169" t="inlineStr">
        <is>
          <t>Tech A</t>
        </is>
      </c>
      <c r="H3169">
        <f>INDEX(Limits!$B$2:$B$5,MATCH(E3169,Limits!$A$2:$A$5,0))</f>
        <v/>
      </c>
      <c r="I3169">
        <f>INDEX(Limits!$C$2:$C$5,MATCH(E3169,Limits!$A$2:$A$5,0))</f>
        <v/>
      </c>
      <c r="J3169">
        <f>IF(F3169&gt;=I3169,"Action",IF(F3169&gt;=H3169,"Alert","Pass"))</f>
        <v/>
      </c>
      <c r="K3169" s="4">
        <f>DATE(YEAR(B3169),MONTH(B3169),1)</f>
        <v/>
      </c>
    </row>
    <row r="3170">
      <c r="A3170" t="inlineStr">
        <is>
          <t>EM003169</t>
        </is>
      </c>
      <c r="B3170" s="7" t="n">
        <v>46259</v>
      </c>
      <c r="C3170" t="inlineStr">
        <is>
          <t>CR-202</t>
        </is>
      </c>
      <c r="D3170" t="inlineStr">
        <is>
          <t>ISO 8</t>
        </is>
      </c>
      <c r="E3170" t="inlineStr">
        <is>
          <t>Compressed air</t>
        </is>
      </c>
      <c r="F3170" t="n">
        <v>0</v>
      </c>
      <c r="G3170" t="inlineStr">
        <is>
          <t>Tech A</t>
        </is>
      </c>
      <c r="H3170">
        <f>INDEX(Limits!$B$2:$B$5,MATCH(E3170,Limits!$A$2:$A$5,0))</f>
        <v/>
      </c>
      <c r="I3170">
        <f>INDEX(Limits!$C$2:$C$5,MATCH(E3170,Limits!$A$2:$A$5,0))</f>
        <v/>
      </c>
      <c r="J3170">
        <f>IF(F3170&gt;=I3170,"Action",IF(F3170&gt;=H3170,"Alert","Pass"))</f>
        <v/>
      </c>
      <c r="K3170" s="4">
        <f>DATE(YEAR(B3170),MONTH(B3170),1)</f>
        <v/>
      </c>
    </row>
    <row r="3171">
      <c r="A3171" t="inlineStr">
        <is>
          <t>EM003170</t>
        </is>
      </c>
      <c r="B3171" s="7" t="n">
        <v>46259</v>
      </c>
      <c r="C3171" t="inlineStr">
        <is>
          <t>CR-202</t>
        </is>
      </c>
      <c r="D3171" t="inlineStr">
        <is>
          <t>ISO 8</t>
        </is>
      </c>
      <c r="E3171" t="inlineStr">
        <is>
          <t>Personnel glove</t>
        </is>
      </c>
      <c r="F3171" t="n">
        <v>1</v>
      </c>
      <c r="G3171" t="inlineStr">
        <is>
          <t>Tech A</t>
        </is>
      </c>
      <c r="H3171">
        <f>INDEX(Limits!$B$2:$B$5,MATCH(E3171,Limits!$A$2:$A$5,0))</f>
        <v/>
      </c>
      <c r="I3171">
        <f>INDEX(Limits!$C$2:$C$5,MATCH(E3171,Limits!$A$2:$A$5,0))</f>
        <v/>
      </c>
      <c r="J3171">
        <f>IF(F3171&gt;=I3171,"Action",IF(F3171&gt;=H3171,"Alert","Pass"))</f>
        <v/>
      </c>
      <c r="K3171" s="4">
        <f>DATE(YEAR(B3171),MONTH(B3171),1)</f>
        <v/>
      </c>
    </row>
    <row r="3172">
      <c r="A3172" t="inlineStr">
        <is>
          <t>EM003171</t>
        </is>
      </c>
      <c r="B3172" s="7" t="n">
        <v>46259</v>
      </c>
      <c r="C3172" t="inlineStr">
        <is>
          <t>Gowning</t>
        </is>
      </c>
      <c r="D3172" t="inlineStr">
        <is>
          <t>ISO 8</t>
        </is>
      </c>
      <c r="E3172" t="inlineStr">
        <is>
          <t>Active air</t>
        </is>
      </c>
      <c r="F3172" t="n">
        <v>1</v>
      </c>
      <c r="G3172" t="inlineStr">
        <is>
          <t>Tech D</t>
        </is>
      </c>
      <c r="H3172">
        <f>INDEX(Limits!$B$2:$B$5,MATCH(E3172,Limits!$A$2:$A$5,0))</f>
        <v/>
      </c>
      <c r="I3172">
        <f>INDEX(Limits!$C$2:$C$5,MATCH(E3172,Limits!$A$2:$A$5,0))</f>
        <v/>
      </c>
      <c r="J3172">
        <f>IF(F3172&gt;=I3172,"Action",IF(F3172&gt;=H3172,"Alert","Pass"))</f>
        <v/>
      </c>
      <c r="K3172" s="4">
        <f>DATE(YEAR(B3172),MONTH(B3172),1)</f>
        <v/>
      </c>
    </row>
    <row r="3173">
      <c r="A3173" t="inlineStr">
        <is>
          <t>EM003172</t>
        </is>
      </c>
      <c r="B3173" s="7" t="n">
        <v>46259</v>
      </c>
      <c r="C3173" t="inlineStr">
        <is>
          <t>Gowning</t>
        </is>
      </c>
      <c r="D3173" t="inlineStr">
        <is>
          <t>ISO 8</t>
        </is>
      </c>
      <c r="E3173" t="inlineStr">
        <is>
          <t>Surface contact</t>
        </is>
      </c>
      <c r="F3173" t="n">
        <v>0</v>
      </c>
      <c r="G3173" t="inlineStr">
        <is>
          <t>Tech A</t>
        </is>
      </c>
      <c r="H3173">
        <f>INDEX(Limits!$B$2:$B$5,MATCH(E3173,Limits!$A$2:$A$5,0))</f>
        <v/>
      </c>
      <c r="I3173">
        <f>INDEX(Limits!$C$2:$C$5,MATCH(E3173,Limits!$A$2:$A$5,0))</f>
        <v/>
      </c>
      <c r="J3173">
        <f>IF(F3173&gt;=I3173,"Action",IF(F3173&gt;=H3173,"Alert","Pass"))</f>
        <v/>
      </c>
      <c r="K3173" s="4">
        <f>DATE(YEAR(B3173),MONTH(B3173),1)</f>
        <v/>
      </c>
    </row>
    <row r="3174">
      <c r="A3174" t="inlineStr">
        <is>
          <t>EM003173</t>
        </is>
      </c>
      <c r="B3174" s="7" t="n">
        <v>46259</v>
      </c>
      <c r="C3174" t="inlineStr">
        <is>
          <t>Gowning</t>
        </is>
      </c>
      <c r="D3174" t="inlineStr">
        <is>
          <t>ISO 8</t>
        </is>
      </c>
      <c r="E3174" t="inlineStr">
        <is>
          <t>Personnel glove</t>
        </is>
      </c>
      <c r="F3174" t="n">
        <v>0</v>
      </c>
      <c r="G3174" t="inlineStr">
        <is>
          <t>Tech B</t>
        </is>
      </c>
      <c r="H3174">
        <f>INDEX(Limits!$B$2:$B$5,MATCH(E3174,Limits!$A$2:$A$5,0))</f>
        <v/>
      </c>
      <c r="I3174">
        <f>INDEX(Limits!$C$2:$C$5,MATCH(E3174,Limits!$A$2:$A$5,0))</f>
        <v/>
      </c>
      <c r="J3174">
        <f>IF(F3174&gt;=I3174,"Action",IF(F3174&gt;=H3174,"Alert","Pass"))</f>
        <v/>
      </c>
      <c r="K3174" s="4">
        <f>DATE(YEAR(B3174),MONTH(B3174),1)</f>
        <v/>
      </c>
    </row>
    <row r="3175">
      <c r="A3175" t="inlineStr">
        <is>
          <t>EM003174</t>
        </is>
      </c>
      <c r="B3175" s="7" t="n">
        <v>46260</v>
      </c>
      <c r="C3175" t="inlineStr">
        <is>
          <t>CR-101</t>
        </is>
      </c>
      <c r="D3175" t="inlineStr">
        <is>
          <t>ISO 7</t>
        </is>
      </c>
      <c r="E3175" t="inlineStr">
        <is>
          <t>Active air</t>
        </is>
      </c>
      <c r="F3175" t="n">
        <v>0</v>
      </c>
      <c r="G3175" t="inlineStr">
        <is>
          <t>Tech B</t>
        </is>
      </c>
      <c r="H3175">
        <f>INDEX(Limits!$B$2:$B$5,MATCH(E3175,Limits!$A$2:$A$5,0))</f>
        <v/>
      </c>
      <c r="I3175">
        <f>INDEX(Limits!$C$2:$C$5,MATCH(E3175,Limits!$A$2:$A$5,0))</f>
        <v/>
      </c>
      <c r="J3175">
        <f>IF(F3175&gt;=I3175,"Action",IF(F3175&gt;=H3175,"Alert","Pass"))</f>
        <v/>
      </c>
      <c r="K3175" s="4">
        <f>DATE(YEAR(B3175),MONTH(B3175),1)</f>
        <v/>
      </c>
    </row>
    <row r="3176">
      <c r="A3176" t="inlineStr">
        <is>
          <t>EM003175</t>
        </is>
      </c>
      <c r="B3176" s="7" t="n">
        <v>46260</v>
      </c>
      <c r="C3176" t="inlineStr">
        <is>
          <t>CR-101</t>
        </is>
      </c>
      <c r="D3176" t="inlineStr">
        <is>
          <t>ISO 7</t>
        </is>
      </c>
      <c r="E3176" t="inlineStr">
        <is>
          <t>Surface contact</t>
        </is>
      </c>
      <c r="F3176" t="n">
        <v>0</v>
      </c>
      <c r="G3176" t="inlineStr">
        <is>
          <t>Tech A</t>
        </is>
      </c>
      <c r="H3176">
        <f>INDEX(Limits!$B$2:$B$5,MATCH(E3176,Limits!$A$2:$A$5,0))</f>
        <v/>
      </c>
      <c r="I3176">
        <f>INDEX(Limits!$C$2:$C$5,MATCH(E3176,Limits!$A$2:$A$5,0))</f>
        <v/>
      </c>
      <c r="J3176">
        <f>IF(F3176&gt;=I3176,"Action",IF(F3176&gt;=H3176,"Alert","Pass"))</f>
        <v/>
      </c>
      <c r="K3176" s="4">
        <f>DATE(YEAR(B3176),MONTH(B3176),1)</f>
        <v/>
      </c>
    </row>
    <row r="3177">
      <c r="A3177" t="inlineStr">
        <is>
          <t>EM003176</t>
        </is>
      </c>
      <c r="B3177" s="7" t="n">
        <v>46260</v>
      </c>
      <c r="C3177" t="inlineStr">
        <is>
          <t>CR-101</t>
        </is>
      </c>
      <c r="D3177" t="inlineStr">
        <is>
          <t>ISO 7</t>
        </is>
      </c>
      <c r="E3177" t="inlineStr">
        <is>
          <t>Compressed air</t>
        </is>
      </c>
      <c r="F3177" t="n">
        <v>0</v>
      </c>
      <c r="G3177" t="inlineStr">
        <is>
          <t>Tech A</t>
        </is>
      </c>
      <c r="H3177">
        <f>INDEX(Limits!$B$2:$B$5,MATCH(E3177,Limits!$A$2:$A$5,0))</f>
        <v/>
      </c>
      <c r="I3177">
        <f>INDEX(Limits!$C$2:$C$5,MATCH(E3177,Limits!$A$2:$A$5,0))</f>
        <v/>
      </c>
      <c r="J3177">
        <f>IF(F3177&gt;=I3177,"Action",IF(F3177&gt;=H3177,"Alert","Pass"))</f>
        <v/>
      </c>
      <c r="K3177" s="4">
        <f>DATE(YEAR(B3177),MONTH(B3177),1)</f>
        <v/>
      </c>
    </row>
    <row r="3178">
      <c r="A3178" t="inlineStr">
        <is>
          <t>EM003177</t>
        </is>
      </c>
      <c r="B3178" s="7" t="n">
        <v>46260</v>
      </c>
      <c r="C3178" t="inlineStr">
        <is>
          <t>CR-101</t>
        </is>
      </c>
      <c r="D3178" t="inlineStr">
        <is>
          <t>ISO 7</t>
        </is>
      </c>
      <c r="E3178" t="inlineStr">
        <is>
          <t>Personnel glove</t>
        </is>
      </c>
      <c r="F3178" t="n">
        <v>0</v>
      </c>
      <c r="G3178" t="inlineStr">
        <is>
          <t>Tech C</t>
        </is>
      </c>
      <c r="H3178">
        <f>INDEX(Limits!$B$2:$B$5,MATCH(E3178,Limits!$A$2:$A$5,0))</f>
        <v/>
      </c>
      <c r="I3178">
        <f>INDEX(Limits!$C$2:$C$5,MATCH(E3178,Limits!$A$2:$A$5,0))</f>
        <v/>
      </c>
      <c r="J3178">
        <f>IF(F3178&gt;=I3178,"Action",IF(F3178&gt;=H3178,"Alert","Pass"))</f>
        <v/>
      </c>
      <c r="K3178" s="4">
        <f>DATE(YEAR(B3178),MONTH(B3178),1)</f>
        <v/>
      </c>
    </row>
    <row r="3179">
      <c r="A3179" t="inlineStr">
        <is>
          <t>EM003178</t>
        </is>
      </c>
      <c r="B3179" s="7" t="n">
        <v>46260</v>
      </c>
      <c r="C3179" t="inlineStr">
        <is>
          <t>CR-102</t>
        </is>
      </c>
      <c r="D3179" t="inlineStr">
        <is>
          <t>ISO 7</t>
        </is>
      </c>
      <c r="E3179" t="inlineStr">
        <is>
          <t>Active air</t>
        </is>
      </c>
      <c r="F3179" t="n">
        <v>2</v>
      </c>
      <c r="G3179" t="inlineStr">
        <is>
          <t>Tech C</t>
        </is>
      </c>
      <c r="H3179">
        <f>INDEX(Limits!$B$2:$B$5,MATCH(E3179,Limits!$A$2:$A$5,0))</f>
        <v/>
      </c>
      <c r="I3179">
        <f>INDEX(Limits!$C$2:$C$5,MATCH(E3179,Limits!$A$2:$A$5,0))</f>
        <v/>
      </c>
      <c r="J3179">
        <f>IF(F3179&gt;=I3179,"Action",IF(F3179&gt;=H3179,"Alert","Pass"))</f>
        <v/>
      </c>
      <c r="K3179" s="4">
        <f>DATE(YEAR(B3179),MONTH(B3179),1)</f>
        <v/>
      </c>
    </row>
    <row r="3180">
      <c r="A3180" t="inlineStr">
        <is>
          <t>EM003179</t>
        </is>
      </c>
      <c r="B3180" s="7" t="n">
        <v>46260</v>
      </c>
      <c r="C3180" t="inlineStr">
        <is>
          <t>CR-102</t>
        </is>
      </c>
      <c r="D3180" t="inlineStr">
        <is>
          <t>ISO 7</t>
        </is>
      </c>
      <c r="E3180" t="inlineStr">
        <is>
          <t>Surface contact</t>
        </is>
      </c>
      <c r="F3180" t="n">
        <v>2</v>
      </c>
      <c r="G3180" t="inlineStr">
        <is>
          <t>Tech A</t>
        </is>
      </c>
      <c r="H3180">
        <f>INDEX(Limits!$B$2:$B$5,MATCH(E3180,Limits!$A$2:$A$5,0))</f>
        <v/>
      </c>
      <c r="I3180">
        <f>INDEX(Limits!$C$2:$C$5,MATCH(E3180,Limits!$A$2:$A$5,0))</f>
        <v/>
      </c>
      <c r="J3180">
        <f>IF(F3180&gt;=I3180,"Action",IF(F3180&gt;=H3180,"Alert","Pass"))</f>
        <v/>
      </c>
      <c r="K3180" s="4">
        <f>DATE(YEAR(B3180),MONTH(B3180),1)</f>
        <v/>
      </c>
    </row>
    <row r="3181">
      <c r="A3181" t="inlineStr">
        <is>
          <t>EM003180</t>
        </is>
      </c>
      <c r="B3181" s="7" t="n">
        <v>46260</v>
      </c>
      <c r="C3181" t="inlineStr">
        <is>
          <t>CR-102</t>
        </is>
      </c>
      <c r="D3181" t="inlineStr">
        <is>
          <t>ISO 7</t>
        </is>
      </c>
      <c r="E3181" t="inlineStr">
        <is>
          <t>Compressed air</t>
        </is>
      </c>
      <c r="F3181" t="n">
        <v>0</v>
      </c>
      <c r="G3181" t="inlineStr">
        <is>
          <t>Tech D</t>
        </is>
      </c>
      <c r="H3181">
        <f>INDEX(Limits!$B$2:$B$5,MATCH(E3181,Limits!$A$2:$A$5,0))</f>
        <v/>
      </c>
      <c r="I3181">
        <f>INDEX(Limits!$C$2:$C$5,MATCH(E3181,Limits!$A$2:$A$5,0))</f>
        <v/>
      </c>
      <c r="J3181">
        <f>IF(F3181&gt;=I3181,"Action",IF(F3181&gt;=H3181,"Alert","Pass"))</f>
        <v/>
      </c>
      <c r="K3181" s="4">
        <f>DATE(YEAR(B3181),MONTH(B3181),1)</f>
        <v/>
      </c>
    </row>
    <row r="3182">
      <c r="A3182" t="inlineStr">
        <is>
          <t>EM003181</t>
        </is>
      </c>
      <c r="B3182" s="7" t="n">
        <v>46260</v>
      </c>
      <c r="C3182" t="inlineStr">
        <is>
          <t>CR-102</t>
        </is>
      </c>
      <c r="D3182" t="inlineStr">
        <is>
          <t>ISO 7</t>
        </is>
      </c>
      <c r="E3182" t="inlineStr">
        <is>
          <t>Personnel glove</t>
        </is>
      </c>
      <c r="F3182" t="n">
        <v>0</v>
      </c>
      <c r="G3182" t="inlineStr">
        <is>
          <t>Tech C</t>
        </is>
      </c>
      <c r="H3182">
        <f>INDEX(Limits!$B$2:$B$5,MATCH(E3182,Limits!$A$2:$A$5,0))</f>
        <v/>
      </c>
      <c r="I3182">
        <f>INDEX(Limits!$C$2:$C$5,MATCH(E3182,Limits!$A$2:$A$5,0))</f>
        <v/>
      </c>
      <c r="J3182">
        <f>IF(F3182&gt;=I3182,"Action",IF(F3182&gt;=H3182,"Alert","Pass"))</f>
        <v/>
      </c>
      <c r="K3182" s="4">
        <f>DATE(YEAR(B3182),MONTH(B3182),1)</f>
        <v/>
      </c>
    </row>
    <row r="3183">
      <c r="A3183" t="inlineStr">
        <is>
          <t>EM003182</t>
        </is>
      </c>
      <c r="B3183" s="7" t="n">
        <v>46260</v>
      </c>
      <c r="C3183" t="inlineStr">
        <is>
          <t>CR-201</t>
        </is>
      </c>
      <c r="D3183" t="inlineStr">
        <is>
          <t>ISO 8</t>
        </is>
      </c>
      <c r="E3183" t="inlineStr">
        <is>
          <t>Active air</t>
        </is>
      </c>
      <c r="F3183" t="n">
        <v>3</v>
      </c>
      <c r="G3183" t="inlineStr">
        <is>
          <t>Tech D</t>
        </is>
      </c>
      <c r="H3183">
        <f>INDEX(Limits!$B$2:$B$5,MATCH(E3183,Limits!$A$2:$A$5,0))</f>
        <v/>
      </c>
      <c r="I3183">
        <f>INDEX(Limits!$C$2:$C$5,MATCH(E3183,Limits!$A$2:$A$5,0))</f>
        <v/>
      </c>
      <c r="J3183">
        <f>IF(F3183&gt;=I3183,"Action",IF(F3183&gt;=H3183,"Alert","Pass"))</f>
        <v/>
      </c>
      <c r="K3183" s="4">
        <f>DATE(YEAR(B3183),MONTH(B3183),1)</f>
        <v/>
      </c>
    </row>
    <row r="3184">
      <c r="A3184" t="inlineStr">
        <is>
          <t>EM003183</t>
        </is>
      </c>
      <c r="B3184" s="7" t="n">
        <v>46260</v>
      </c>
      <c r="C3184" t="inlineStr">
        <is>
          <t>CR-201</t>
        </is>
      </c>
      <c r="D3184" t="inlineStr">
        <is>
          <t>ISO 8</t>
        </is>
      </c>
      <c r="E3184" t="inlineStr">
        <is>
          <t>Surface contact</t>
        </is>
      </c>
      <c r="F3184" t="n">
        <v>1</v>
      </c>
      <c r="G3184" t="inlineStr">
        <is>
          <t>Tech D</t>
        </is>
      </c>
      <c r="H3184">
        <f>INDEX(Limits!$B$2:$B$5,MATCH(E3184,Limits!$A$2:$A$5,0))</f>
        <v/>
      </c>
      <c r="I3184">
        <f>INDEX(Limits!$C$2:$C$5,MATCH(E3184,Limits!$A$2:$A$5,0))</f>
        <v/>
      </c>
      <c r="J3184">
        <f>IF(F3184&gt;=I3184,"Action",IF(F3184&gt;=H3184,"Alert","Pass"))</f>
        <v/>
      </c>
      <c r="K3184" s="4">
        <f>DATE(YEAR(B3184),MONTH(B3184),1)</f>
        <v/>
      </c>
    </row>
    <row r="3185">
      <c r="A3185" t="inlineStr">
        <is>
          <t>EM003184</t>
        </is>
      </c>
      <c r="B3185" s="7" t="n">
        <v>46260</v>
      </c>
      <c r="C3185" t="inlineStr">
        <is>
          <t>CR-201</t>
        </is>
      </c>
      <c r="D3185" t="inlineStr">
        <is>
          <t>ISO 8</t>
        </is>
      </c>
      <c r="E3185" t="inlineStr">
        <is>
          <t>Compressed air</t>
        </is>
      </c>
      <c r="F3185" t="n">
        <v>0</v>
      </c>
      <c r="G3185" t="inlineStr">
        <is>
          <t>Tech C</t>
        </is>
      </c>
      <c r="H3185">
        <f>INDEX(Limits!$B$2:$B$5,MATCH(E3185,Limits!$A$2:$A$5,0))</f>
        <v/>
      </c>
      <c r="I3185">
        <f>INDEX(Limits!$C$2:$C$5,MATCH(E3185,Limits!$A$2:$A$5,0))</f>
        <v/>
      </c>
      <c r="J3185">
        <f>IF(F3185&gt;=I3185,"Action",IF(F3185&gt;=H3185,"Alert","Pass"))</f>
        <v/>
      </c>
      <c r="K3185" s="4">
        <f>DATE(YEAR(B3185),MONTH(B3185),1)</f>
        <v/>
      </c>
    </row>
    <row r="3186">
      <c r="A3186" t="inlineStr">
        <is>
          <t>EM003185</t>
        </is>
      </c>
      <c r="B3186" s="7" t="n">
        <v>46260</v>
      </c>
      <c r="C3186" t="inlineStr">
        <is>
          <t>CR-201</t>
        </is>
      </c>
      <c r="D3186" t="inlineStr">
        <is>
          <t>ISO 8</t>
        </is>
      </c>
      <c r="E3186" t="inlineStr">
        <is>
          <t>Personnel glove</t>
        </is>
      </c>
      <c r="F3186" t="n">
        <v>0</v>
      </c>
      <c r="G3186" t="inlineStr">
        <is>
          <t>Tech B</t>
        </is>
      </c>
      <c r="H3186">
        <f>INDEX(Limits!$B$2:$B$5,MATCH(E3186,Limits!$A$2:$A$5,0))</f>
        <v/>
      </c>
      <c r="I3186">
        <f>INDEX(Limits!$C$2:$C$5,MATCH(E3186,Limits!$A$2:$A$5,0))</f>
        <v/>
      </c>
      <c r="J3186">
        <f>IF(F3186&gt;=I3186,"Action",IF(F3186&gt;=H3186,"Alert","Pass"))</f>
        <v/>
      </c>
      <c r="K3186" s="4">
        <f>DATE(YEAR(B3186),MONTH(B3186),1)</f>
        <v/>
      </c>
    </row>
    <row r="3187">
      <c r="A3187" t="inlineStr">
        <is>
          <t>EM003186</t>
        </is>
      </c>
      <c r="B3187" s="7" t="n">
        <v>46260</v>
      </c>
      <c r="C3187" t="inlineStr">
        <is>
          <t>CR-202</t>
        </is>
      </c>
      <c r="D3187" t="inlineStr">
        <is>
          <t>ISO 8</t>
        </is>
      </c>
      <c r="E3187" t="inlineStr">
        <is>
          <t>Active air</t>
        </is>
      </c>
      <c r="F3187" t="n">
        <v>2</v>
      </c>
      <c r="G3187" t="inlineStr">
        <is>
          <t>Tech A</t>
        </is>
      </c>
      <c r="H3187">
        <f>INDEX(Limits!$B$2:$B$5,MATCH(E3187,Limits!$A$2:$A$5,0))</f>
        <v/>
      </c>
      <c r="I3187">
        <f>INDEX(Limits!$C$2:$C$5,MATCH(E3187,Limits!$A$2:$A$5,0))</f>
        <v/>
      </c>
      <c r="J3187">
        <f>IF(F3187&gt;=I3187,"Action",IF(F3187&gt;=H3187,"Alert","Pass"))</f>
        <v/>
      </c>
      <c r="K3187" s="4">
        <f>DATE(YEAR(B3187),MONTH(B3187),1)</f>
        <v/>
      </c>
    </row>
    <row r="3188">
      <c r="A3188" t="inlineStr">
        <is>
          <t>EM003187</t>
        </is>
      </c>
      <c r="B3188" s="7" t="n">
        <v>46260</v>
      </c>
      <c r="C3188" t="inlineStr">
        <is>
          <t>CR-202</t>
        </is>
      </c>
      <c r="D3188" t="inlineStr">
        <is>
          <t>ISO 8</t>
        </is>
      </c>
      <c r="E3188" t="inlineStr">
        <is>
          <t>Surface contact</t>
        </is>
      </c>
      <c r="F3188" t="n">
        <v>0</v>
      </c>
      <c r="G3188" t="inlineStr">
        <is>
          <t>Tech A</t>
        </is>
      </c>
      <c r="H3188">
        <f>INDEX(Limits!$B$2:$B$5,MATCH(E3188,Limits!$A$2:$A$5,0))</f>
        <v/>
      </c>
      <c r="I3188">
        <f>INDEX(Limits!$C$2:$C$5,MATCH(E3188,Limits!$A$2:$A$5,0))</f>
        <v/>
      </c>
      <c r="J3188">
        <f>IF(F3188&gt;=I3188,"Action",IF(F3188&gt;=H3188,"Alert","Pass"))</f>
        <v/>
      </c>
      <c r="K3188" s="4">
        <f>DATE(YEAR(B3188),MONTH(B3188),1)</f>
        <v/>
      </c>
    </row>
    <row r="3189">
      <c r="A3189" t="inlineStr">
        <is>
          <t>EM003188</t>
        </is>
      </c>
      <c r="B3189" s="7" t="n">
        <v>46260</v>
      </c>
      <c r="C3189" t="inlineStr">
        <is>
          <t>CR-202</t>
        </is>
      </c>
      <c r="D3189" t="inlineStr">
        <is>
          <t>ISO 8</t>
        </is>
      </c>
      <c r="E3189" t="inlineStr">
        <is>
          <t>Compressed air</t>
        </is>
      </c>
      <c r="F3189" t="n">
        <v>0</v>
      </c>
      <c r="G3189" t="inlineStr">
        <is>
          <t>Tech A</t>
        </is>
      </c>
      <c r="H3189">
        <f>INDEX(Limits!$B$2:$B$5,MATCH(E3189,Limits!$A$2:$A$5,0))</f>
        <v/>
      </c>
      <c r="I3189">
        <f>INDEX(Limits!$C$2:$C$5,MATCH(E3189,Limits!$A$2:$A$5,0))</f>
        <v/>
      </c>
      <c r="J3189">
        <f>IF(F3189&gt;=I3189,"Action",IF(F3189&gt;=H3189,"Alert","Pass"))</f>
        <v/>
      </c>
      <c r="K3189" s="4">
        <f>DATE(YEAR(B3189),MONTH(B3189),1)</f>
        <v/>
      </c>
    </row>
    <row r="3190">
      <c r="A3190" t="inlineStr">
        <is>
          <t>EM003189</t>
        </is>
      </c>
      <c r="B3190" s="7" t="n">
        <v>46260</v>
      </c>
      <c r="C3190" t="inlineStr">
        <is>
          <t>CR-202</t>
        </is>
      </c>
      <c r="D3190" t="inlineStr">
        <is>
          <t>ISO 8</t>
        </is>
      </c>
      <c r="E3190" t="inlineStr">
        <is>
          <t>Personnel glove</t>
        </is>
      </c>
      <c r="F3190" t="n">
        <v>0</v>
      </c>
      <c r="G3190" t="inlineStr">
        <is>
          <t>Tech C</t>
        </is>
      </c>
      <c r="H3190">
        <f>INDEX(Limits!$B$2:$B$5,MATCH(E3190,Limits!$A$2:$A$5,0))</f>
        <v/>
      </c>
      <c r="I3190">
        <f>INDEX(Limits!$C$2:$C$5,MATCH(E3190,Limits!$A$2:$A$5,0))</f>
        <v/>
      </c>
      <c r="J3190">
        <f>IF(F3190&gt;=I3190,"Action",IF(F3190&gt;=H3190,"Alert","Pass"))</f>
        <v/>
      </c>
      <c r="K3190" s="4">
        <f>DATE(YEAR(B3190),MONTH(B3190),1)</f>
        <v/>
      </c>
    </row>
    <row r="3191">
      <c r="A3191" t="inlineStr">
        <is>
          <t>EM003190</t>
        </is>
      </c>
      <c r="B3191" s="7" t="n">
        <v>46260</v>
      </c>
      <c r="C3191" t="inlineStr">
        <is>
          <t>Gowning</t>
        </is>
      </c>
      <c r="D3191" t="inlineStr">
        <is>
          <t>ISO 8</t>
        </is>
      </c>
      <c r="E3191" t="inlineStr">
        <is>
          <t>Active air</t>
        </is>
      </c>
      <c r="F3191" t="n">
        <v>3</v>
      </c>
      <c r="G3191" t="inlineStr">
        <is>
          <t>Tech B</t>
        </is>
      </c>
      <c r="H3191">
        <f>INDEX(Limits!$B$2:$B$5,MATCH(E3191,Limits!$A$2:$A$5,0))</f>
        <v/>
      </c>
      <c r="I3191">
        <f>INDEX(Limits!$C$2:$C$5,MATCH(E3191,Limits!$A$2:$A$5,0))</f>
        <v/>
      </c>
      <c r="J3191">
        <f>IF(F3191&gt;=I3191,"Action",IF(F3191&gt;=H3191,"Alert","Pass"))</f>
        <v/>
      </c>
      <c r="K3191" s="4">
        <f>DATE(YEAR(B3191),MONTH(B3191),1)</f>
        <v/>
      </c>
    </row>
    <row r="3192">
      <c r="A3192" t="inlineStr">
        <is>
          <t>EM003191</t>
        </is>
      </c>
      <c r="B3192" s="7" t="n">
        <v>46260</v>
      </c>
      <c r="C3192" t="inlineStr">
        <is>
          <t>Gowning</t>
        </is>
      </c>
      <c r="D3192" t="inlineStr">
        <is>
          <t>ISO 8</t>
        </is>
      </c>
      <c r="E3192" t="inlineStr">
        <is>
          <t>Surface contact</t>
        </is>
      </c>
      <c r="F3192" t="n">
        <v>1</v>
      </c>
      <c r="G3192" t="inlineStr">
        <is>
          <t>Tech B</t>
        </is>
      </c>
      <c r="H3192">
        <f>INDEX(Limits!$B$2:$B$5,MATCH(E3192,Limits!$A$2:$A$5,0))</f>
        <v/>
      </c>
      <c r="I3192">
        <f>INDEX(Limits!$C$2:$C$5,MATCH(E3192,Limits!$A$2:$A$5,0))</f>
        <v/>
      </c>
      <c r="J3192">
        <f>IF(F3192&gt;=I3192,"Action",IF(F3192&gt;=H3192,"Alert","Pass"))</f>
        <v/>
      </c>
      <c r="K3192" s="4">
        <f>DATE(YEAR(B3192),MONTH(B3192),1)</f>
        <v/>
      </c>
    </row>
    <row r="3193">
      <c r="A3193" t="inlineStr">
        <is>
          <t>EM003192</t>
        </is>
      </c>
      <c r="B3193" s="7" t="n">
        <v>46260</v>
      </c>
      <c r="C3193" t="inlineStr">
        <is>
          <t>Gowning</t>
        </is>
      </c>
      <c r="D3193" t="inlineStr">
        <is>
          <t>ISO 8</t>
        </is>
      </c>
      <c r="E3193" t="inlineStr">
        <is>
          <t>Personnel glove</t>
        </is>
      </c>
      <c r="F3193" t="n">
        <v>0</v>
      </c>
      <c r="G3193" t="inlineStr">
        <is>
          <t>Tech A</t>
        </is>
      </c>
      <c r="H3193">
        <f>INDEX(Limits!$B$2:$B$5,MATCH(E3193,Limits!$A$2:$A$5,0))</f>
        <v/>
      </c>
      <c r="I3193">
        <f>INDEX(Limits!$C$2:$C$5,MATCH(E3193,Limits!$A$2:$A$5,0))</f>
        <v/>
      </c>
      <c r="J3193">
        <f>IF(F3193&gt;=I3193,"Action",IF(F3193&gt;=H3193,"Alert","Pass"))</f>
        <v/>
      </c>
      <c r="K3193" s="4">
        <f>DATE(YEAR(B3193),MONTH(B3193),1)</f>
        <v/>
      </c>
    </row>
    <row r="3194">
      <c r="A3194" t="inlineStr">
        <is>
          <t>EM003193</t>
        </is>
      </c>
      <c r="B3194" s="7" t="n">
        <v>46261</v>
      </c>
      <c r="C3194" t="inlineStr">
        <is>
          <t>CR-101</t>
        </is>
      </c>
      <c r="D3194" t="inlineStr">
        <is>
          <t>ISO 7</t>
        </is>
      </c>
      <c r="E3194" t="inlineStr">
        <is>
          <t>Active air</t>
        </is>
      </c>
      <c r="F3194" t="n">
        <v>0</v>
      </c>
      <c r="G3194" t="inlineStr">
        <is>
          <t>Tech A</t>
        </is>
      </c>
      <c r="H3194">
        <f>INDEX(Limits!$B$2:$B$5,MATCH(E3194,Limits!$A$2:$A$5,0))</f>
        <v/>
      </c>
      <c r="I3194">
        <f>INDEX(Limits!$C$2:$C$5,MATCH(E3194,Limits!$A$2:$A$5,0))</f>
        <v/>
      </c>
      <c r="J3194">
        <f>IF(F3194&gt;=I3194,"Action",IF(F3194&gt;=H3194,"Alert","Pass"))</f>
        <v/>
      </c>
      <c r="K3194" s="4">
        <f>DATE(YEAR(B3194),MONTH(B3194),1)</f>
        <v/>
      </c>
    </row>
    <row r="3195">
      <c r="A3195" t="inlineStr">
        <is>
          <t>EM003194</t>
        </is>
      </c>
      <c r="B3195" s="7" t="n">
        <v>46261</v>
      </c>
      <c r="C3195" t="inlineStr">
        <is>
          <t>CR-101</t>
        </is>
      </c>
      <c r="D3195" t="inlineStr">
        <is>
          <t>ISO 7</t>
        </is>
      </c>
      <c r="E3195" t="inlineStr">
        <is>
          <t>Surface contact</t>
        </is>
      </c>
      <c r="F3195" t="n">
        <v>1</v>
      </c>
      <c r="G3195" t="inlineStr">
        <is>
          <t>Tech C</t>
        </is>
      </c>
      <c r="H3195">
        <f>INDEX(Limits!$B$2:$B$5,MATCH(E3195,Limits!$A$2:$A$5,0))</f>
        <v/>
      </c>
      <c r="I3195">
        <f>INDEX(Limits!$C$2:$C$5,MATCH(E3195,Limits!$A$2:$A$5,0))</f>
        <v/>
      </c>
      <c r="J3195">
        <f>IF(F3195&gt;=I3195,"Action",IF(F3195&gt;=H3195,"Alert","Pass"))</f>
        <v/>
      </c>
      <c r="K3195" s="4">
        <f>DATE(YEAR(B3195),MONTH(B3195),1)</f>
        <v/>
      </c>
    </row>
    <row r="3196">
      <c r="A3196" t="inlineStr">
        <is>
          <t>EM003195</t>
        </is>
      </c>
      <c r="B3196" s="7" t="n">
        <v>46261</v>
      </c>
      <c r="C3196" t="inlineStr">
        <is>
          <t>CR-101</t>
        </is>
      </c>
      <c r="D3196" t="inlineStr">
        <is>
          <t>ISO 7</t>
        </is>
      </c>
      <c r="E3196" t="inlineStr">
        <is>
          <t>Compressed air</t>
        </is>
      </c>
      <c r="F3196" t="n">
        <v>0</v>
      </c>
      <c r="G3196" t="inlineStr">
        <is>
          <t>Tech B</t>
        </is>
      </c>
      <c r="H3196">
        <f>INDEX(Limits!$B$2:$B$5,MATCH(E3196,Limits!$A$2:$A$5,0))</f>
        <v/>
      </c>
      <c r="I3196">
        <f>INDEX(Limits!$C$2:$C$5,MATCH(E3196,Limits!$A$2:$A$5,0))</f>
        <v/>
      </c>
      <c r="J3196">
        <f>IF(F3196&gt;=I3196,"Action",IF(F3196&gt;=H3196,"Alert","Pass"))</f>
        <v/>
      </c>
      <c r="K3196" s="4">
        <f>DATE(YEAR(B3196),MONTH(B3196),1)</f>
        <v/>
      </c>
    </row>
    <row r="3197">
      <c r="A3197" t="inlineStr">
        <is>
          <t>EM003196</t>
        </is>
      </c>
      <c r="B3197" s="7" t="n">
        <v>46261</v>
      </c>
      <c r="C3197" t="inlineStr">
        <is>
          <t>CR-101</t>
        </is>
      </c>
      <c r="D3197" t="inlineStr">
        <is>
          <t>ISO 7</t>
        </is>
      </c>
      <c r="E3197" t="inlineStr">
        <is>
          <t>Personnel glove</t>
        </is>
      </c>
      <c r="F3197" t="n">
        <v>0</v>
      </c>
      <c r="G3197" t="inlineStr">
        <is>
          <t>Tech A</t>
        </is>
      </c>
      <c r="H3197">
        <f>INDEX(Limits!$B$2:$B$5,MATCH(E3197,Limits!$A$2:$A$5,0))</f>
        <v/>
      </c>
      <c r="I3197">
        <f>INDEX(Limits!$C$2:$C$5,MATCH(E3197,Limits!$A$2:$A$5,0))</f>
        <v/>
      </c>
      <c r="J3197">
        <f>IF(F3197&gt;=I3197,"Action",IF(F3197&gt;=H3197,"Alert","Pass"))</f>
        <v/>
      </c>
      <c r="K3197" s="4">
        <f>DATE(YEAR(B3197),MONTH(B3197),1)</f>
        <v/>
      </c>
    </row>
    <row r="3198">
      <c r="A3198" t="inlineStr">
        <is>
          <t>EM003197</t>
        </is>
      </c>
      <c r="B3198" s="7" t="n">
        <v>46261</v>
      </c>
      <c r="C3198" t="inlineStr">
        <is>
          <t>CR-102</t>
        </is>
      </c>
      <c r="D3198" t="inlineStr">
        <is>
          <t>ISO 7</t>
        </is>
      </c>
      <c r="E3198" t="inlineStr">
        <is>
          <t>Active air</t>
        </is>
      </c>
      <c r="F3198" t="n">
        <v>1</v>
      </c>
      <c r="G3198" t="inlineStr">
        <is>
          <t>Tech A</t>
        </is>
      </c>
      <c r="H3198">
        <f>INDEX(Limits!$B$2:$B$5,MATCH(E3198,Limits!$A$2:$A$5,0))</f>
        <v/>
      </c>
      <c r="I3198">
        <f>INDEX(Limits!$C$2:$C$5,MATCH(E3198,Limits!$A$2:$A$5,0))</f>
        <v/>
      </c>
      <c r="J3198">
        <f>IF(F3198&gt;=I3198,"Action",IF(F3198&gt;=H3198,"Alert","Pass"))</f>
        <v/>
      </c>
      <c r="K3198" s="4">
        <f>DATE(YEAR(B3198),MONTH(B3198),1)</f>
        <v/>
      </c>
    </row>
    <row r="3199">
      <c r="A3199" t="inlineStr">
        <is>
          <t>EM003198</t>
        </is>
      </c>
      <c r="B3199" s="7" t="n">
        <v>46261</v>
      </c>
      <c r="C3199" t="inlineStr">
        <is>
          <t>CR-102</t>
        </is>
      </c>
      <c r="D3199" t="inlineStr">
        <is>
          <t>ISO 7</t>
        </is>
      </c>
      <c r="E3199" t="inlineStr">
        <is>
          <t>Surface contact</t>
        </is>
      </c>
      <c r="F3199" t="n">
        <v>2</v>
      </c>
      <c r="G3199" t="inlineStr">
        <is>
          <t>Tech A</t>
        </is>
      </c>
      <c r="H3199">
        <f>INDEX(Limits!$B$2:$B$5,MATCH(E3199,Limits!$A$2:$A$5,0))</f>
        <v/>
      </c>
      <c r="I3199">
        <f>INDEX(Limits!$C$2:$C$5,MATCH(E3199,Limits!$A$2:$A$5,0))</f>
        <v/>
      </c>
      <c r="J3199">
        <f>IF(F3199&gt;=I3199,"Action",IF(F3199&gt;=H3199,"Alert","Pass"))</f>
        <v/>
      </c>
      <c r="K3199" s="4">
        <f>DATE(YEAR(B3199),MONTH(B3199),1)</f>
        <v/>
      </c>
    </row>
    <row r="3200">
      <c r="A3200" t="inlineStr">
        <is>
          <t>EM003199</t>
        </is>
      </c>
      <c r="B3200" s="7" t="n">
        <v>46261</v>
      </c>
      <c r="C3200" t="inlineStr">
        <is>
          <t>CR-102</t>
        </is>
      </c>
      <c r="D3200" t="inlineStr">
        <is>
          <t>ISO 7</t>
        </is>
      </c>
      <c r="E3200" t="inlineStr">
        <is>
          <t>Compressed air</t>
        </is>
      </c>
      <c r="F3200" t="n">
        <v>0</v>
      </c>
      <c r="G3200" t="inlineStr">
        <is>
          <t>Tech D</t>
        </is>
      </c>
      <c r="H3200">
        <f>INDEX(Limits!$B$2:$B$5,MATCH(E3200,Limits!$A$2:$A$5,0))</f>
        <v/>
      </c>
      <c r="I3200">
        <f>INDEX(Limits!$C$2:$C$5,MATCH(E3200,Limits!$A$2:$A$5,0))</f>
        <v/>
      </c>
      <c r="J3200">
        <f>IF(F3200&gt;=I3200,"Action",IF(F3200&gt;=H3200,"Alert","Pass"))</f>
        <v/>
      </c>
      <c r="K3200" s="4">
        <f>DATE(YEAR(B3200),MONTH(B3200),1)</f>
        <v/>
      </c>
    </row>
    <row r="3201">
      <c r="A3201" t="inlineStr">
        <is>
          <t>EM003200</t>
        </is>
      </c>
      <c r="B3201" s="7" t="n">
        <v>46261</v>
      </c>
      <c r="C3201" t="inlineStr">
        <is>
          <t>CR-102</t>
        </is>
      </c>
      <c r="D3201" t="inlineStr">
        <is>
          <t>ISO 7</t>
        </is>
      </c>
      <c r="E3201" t="inlineStr">
        <is>
          <t>Personnel glove</t>
        </is>
      </c>
      <c r="F3201" t="n">
        <v>0</v>
      </c>
      <c r="G3201" t="inlineStr">
        <is>
          <t>Tech D</t>
        </is>
      </c>
      <c r="H3201">
        <f>INDEX(Limits!$B$2:$B$5,MATCH(E3201,Limits!$A$2:$A$5,0))</f>
        <v/>
      </c>
      <c r="I3201">
        <f>INDEX(Limits!$C$2:$C$5,MATCH(E3201,Limits!$A$2:$A$5,0))</f>
        <v/>
      </c>
      <c r="J3201">
        <f>IF(F3201&gt;=I3201,"Action",IF(F3201&gt;=H3201,"Alert","Pass"))</f>
        <v/>
      </c>
      <c r="K3201" s="4">
        <f>DATE(YEAR(B3201),MONTH(B3201),1)</f>
        <v/>
      </c>
    </row>
    <row r="3202">
      <c r="A3202" t="inlineStr">
        <is>
          <t>EM003201</t>
        </is>
      </c>
      <c r="B3202" s="7" t="n">
        <v>46261</v>
      </c>
      <c r="C3202" t="inlineStr">
        <is>
          <t>CR-201</t>
        </is>
      </c>
      <c r="D3202" t="inlineStr">
        <is>
          <t>ISO 8</t>
        </is>
      </c>
      <c r="E3202" t="inlineStr">
        <is>
          <t>Active air</t>
        </is>
      </c>
      <c r="F3202" t="n">
        <v>2</v>
      </c>
      <c r="G3202" t="inlineStr">
        <is>
          <t>Tech C</t>
        </is>
      </c>
      <c r="H3202">
        <f>INDEX(Limits!$B$2:$B$5,MATCH(E3202,Limits!$A$2:$A$5,0))</f>
        <v/>
      </c>
      <c r="I3202">
        <f>INDEX(Limits!$C$2:$C$5,MATCH(E3202,Limits!$A$2:$A$5,0))</f>
        <v/>
      </c>
      <c r="J3202">
        <f>IF(F3202&gt;=I3202,"Action",IF(F3202&gt;=H3202,"Alert","Pass"))</f>
        <v/>
      </c>
      <c r="K3202" s="4">
        <f>DATE(YEAR(B3202),MONTH(B3202),1)</f>
        <v/>
      </c>
    </row>
    <row r="3203">
      <c r="A3203" t="inlineStr">
        <is>
          <t>EM003202</t>
        </is>
      </c>
      <c r="B3203" s="7" t="n">
        <v>46261</v>
      </c>
      <c r="C3203" t="inlineStr">
        <is>
          <t>CR-201</t>
        </is>
      </c>
      <c r="D3203" t="inlineStr">
        <is>
          <t>ISO 8</t>
        </is>
      </c>
      <c r="E3203" t="inlineStr">
        <is>
          <t>Surface contact</t>
        </is>
      </c>
      <c r="F3203" t="n">
        <v>2</v>
      </c>
      <c r="G3203" t="inlineStr">
        <is>
          <t>Tech C</t>
        </is>
      </c>
      <c r="H3203">
        <f>INDEX(Limits!$B$2:$B$5,MATCH(E3203,Limits!$A$2:$A$5,0))</f>
        <v/>
      </c>
      <c r="I3203">
        <f>INDEX(Limits!$C$2:$C$5,MATCH(E3203,Limits!$A$2:$A$5,0))</f>
        <v/>
      </c>
      <c r="J3203">
        <f>IF(F3203&gt;=I3203,"Action",IF(F3203&gt;=H3203,"Alert","Pass"))</f>
        <v/>
      </c>
      <c r="K3203" s="4">
        <f>DATE(YEAR(B3203),MONTH(B3203),1)</f>
        <v/>
      </c>
    </row>
    <row r="3204">
      <c r="A3204" t="inlineStr">
        <is>
          <t>EM003203</t>
        </is>
      </c>
      <c r="B3204" s="7" t="n">
        <v>46261</v>
      </c>
      <c r="C3204" t="inlineStr">
        <is>
          <t>CR-201</t>
        </is>
      </c>
      <c r="D3204" t="inlineStr">
        <is>
          <t>ISO 8</t>
        </is>
      </c>
      <c r="E3204" t="inlineStr">
        <is>
          <t>Compressed air</t>
        </is>
      </c>
      <c r="F3204" t="n">
        <v>0</v>
      </c>
      <c r="G3204" t="inlineStr">
        <is>
          <t>Tech A</t>
        </is>
      </c>
      <c r="H3204">
        <f>INDEX(Limits!$B$2:$B$5,MATCH(E3204,Limits!$A$2:$A$5,0))</f>
        <v/>
      </c>
      <c r="I3204">
        <f>INDEX(Limits!$C$2:$C$5,MATCH(E3204,Limits!$A$2:$A$5,0))</f>
        <v/>
      </c>
      <c r="J3204">
        <f>IF(F3204&gt;=I3204,"Action",IF(F3204&gt;=H3204,"Alert","Pass"))</f>
        <v/>
      </c>
      <c r="K3204" s="4">
        <f>DATE(YEAR(B3204),MONTH(B3204),1)</f>
        <v/>
      </c>
    </row>
    <row r="3205">
      <c r="A3205" t="inlineStr">
        <is>
          <t>EM003204</t>
        </is>
      </c>
      <c r="B3205" s="7" t="n">
        <v>46261</v>
      </c>
      <c r="C3205" t="inlineStr">
        <is>
          <t>CR-201</t>
        </is>
      </c>
      <c r="D3205" t="inlineStr">
        <is>
          <t>ISO 8</t>
        </is>
      </c>
      <c r="E3205" t="inlineStr">
        <is>
          <t>Personnel glove</t>
        </is>
      </c>
      <c r="F3205" t="n">
        <v>0</v>
      </c>
      <c r="G3205" t="inlineStr">
        <is>
          <t>Tech A</t>
        </is>
      </c>
      <c r="H3205">
        <f>INDEX(Limits!$B$2:$B$5,MATCH(E3205,Limits!$A$2:$A$5,0))</f>
        <v/>
      </c>
      <c r="I3205">
        <f>INDEX(Limits!$C$2:$C$5,MATCH(E3205,Limits!$A$2:$A$5,0))</f>
        <v/>
      </c>
      <c r="J3205">
        <f>IF(F3205&gt;=I3205,"Action",IF(F3205&gt;=H3205,"Alert","Pass"))</f>
        <v/>
      </c>
      <c r="K3205" s="4">
        <f>DATE(YEAR(B3205),MONTH(B3205),1)</f>
        <v/>
      </c>
    </row>
    <row r="3206">
      <c r="A3206" t="inlineStr">
        <is>
          <t>EM003205</t>
        </is>
      </c>
      <c r="B3206" s="7" t="n">
        <v>46261</v>
      </c>
      <c r="C3206" t="inlineStr">
        <is>
          <t>CR-202</t>
        </is>
      </c>
      <c r="D3206" t="inlineStr">
        <is>
          <t>ISO 8</t>
        </is>
      </c>
      <c r="E3206" t="inlineStr">
        <is>
          <t>Active air</t>
        </is>
      </c>
      <c r="F3206" t="n">
        <v>2</v>
      </c>
      <c r="G3206" t="inlineStr">
        <is>
          <t>Tech D</t>
        </is>
      </c>
      <c r="H3206">
        <f>INDEX(Limits!$B$2:$B$5,MATCH(E3206,Limits!$A$2:$A$5,0))</f>
        <v/>
      </c>
      <c r="I3206">
        <f>INDEX(Limits!$C$2:$C$5,MATCH(E3206,Limits!$A$2:$A$5,0))</f>
        <v/>
      </c>
      <c r="J3206">
        <f>IF(F3206&gt;=I3206,"Action",IF(F3206&gt;=H3206,"Alert","Pass"))</f>
        <v/>
      </c>
      <c r="K3206" s="4">
        <f>DATE(YEAR(B3206),MONTH(B3206),1)</f>
        <v/>
      </c>
    </row>
    <row r="3207">
      <c r="A3207" t="inlineStr">
        <is>
          <t>EM003206</t>
        </is>
      </c>
      <c r="B3207" s="7" t="n">
        <v>46261</v>
      </c>
      <c r="C3207" t="inlineStr">
        <is>
          <t>CR-202</t>
        </is>
      </c>
      <c r="D3207" t="inlineStr">
        <is>
          <t>ISO 8</t>
        </is>
      </c>
      <c r="E3207" t="inlineStr">
        <is>
          <t>Surface contact</t>
        </is>
      </c>
      <c r="F3207" t="n">
        <v>1</v>
      </c>
      <c r="G3207" t="inlineStr">
        <is>
          <t>Tech D</t>
        </is>
      </c>
      <c r="H3207">
        <f>INDEX(Limits!$B$2:$B$5,MATCH(E3207,Limits!$A$2:$A$5,0))</f>
        <v/>
      </c>
      <c r="I3207">
        <f>INDEX(Limits!$C$2:$C$5,MATCH(E3207,Limits!$A$2:$A$5,0))</f>
        <v/>
      </c>
      <c r="J3207">
        <f>IF(F3207&gt;=I3207,"Action",IF(F3207&gt;=H3207,"Alert","Pass"))</f>
        <v/>
      </c>
      <c r="K3207" s="4">
        <f>DATE(YEAR(B3207),MONTH(B3207),1)</f>
        <v/>
      </c>
    </row>
    <row r="3208">
      <c r="A3208" t="inlineStr">
        <is>
          <t>EM003207</t>
        </is>
      </c>
      <c r="B3208" s="7" t="n">
        <v>46261</v>
      </c>
      <c r="C3208" t="inlineStr">
        <is>
          <t>CR-202</t>
        </is>
      </c>
      <c r="D3208" t="inlineStr">
        <is>
          <t>ISO 8</t>
        </is>
      </c>
      <c r="E3208" t="inlineStr">
        <is>
          <t>Compressed air</t>
        </is>
      </c>
      <c r="F3208" t="n">
        <v>0</v>
      </c>
      <c r="G3208" t="inlineStr">
        <is>
          <t>Tech C</t>
        </is>
      </c>
      <c r="H3208">
        <f>INDEX(Limits!$B$2:$B$5,MATCH(E3208,Limits!$A$2:$A$5,0))</f>
        <v/>
      </c>
      <c r="I3208">
        <f>INDEX(Limits!$C$2:$C$5,MATCH(E3208,Limits!$A$2:$A$5,0))</f>
        <v/>
      </c>
      <c r="J3208">
        <f>IF(F3208&gt;=I3208,"Action",IF(F3208&gt;=H3208,"Alert","Pass"))</f>
        <v/>
      </c>
      <c r="K3208" s="4">
        <f>DATE(YEAR(B3208),MONTH(B3208),1)</f>
        <v/>
      </c>
    </row>
    <row r="3209">
      <c r="A3209" t="inlineStr">
        <is>
          <t>EM003208</t>
        </is>
      </c>
      <c r="B3209" s="7" t="n">
        <v>46261</v>
      </c>
      <c r="C3209" t="inlineStr">
        <is>
          <t>CR-202</t>
        </is>
      </c>
      <c r="D3209" t="inlineStr">
        <is>
          <t>ISO 8</t>
        </is>
      </c>
      <c r="E3209" t="inlineStr">
        <is>
          <t>Personnel glove</t>
        </is>
      </c>
      <c r="F3209" t="n">
        <v>0</v>
      </c>
      <c r="G3209" t="inlineStr">
        <is>
          <t>Tech B</t>
        </is>
      </c>
      <c r="H3209">
        <f>INDEX(Limits!$B$2:$B$5,MATCH(E3209,Limits!$A$2:$A$5,0))</f>
        <v/>
      </c>
      <c r="I3209">
        <f>INDEX(Limits!$C$2:$C$5,MATCH(E3209,Limits!$A$2:$A$5,0))</f>
        <v/>
      </c>
      <c r="J3209">
        <f>IF(F3209&gt;=I3209,"Action",IF(F3209&gt;=H3209,"Alert","Pass"))</f>
        <v/>
      </c>
      <c r="K3209" s="4">
        <f>DATE(YEAR(B3209),MONTH(B3209),1)</f>
        <v/>
      </c>
    </row>
    <row r="3210">
      <c r="A3210" t="inlineStr">
        <is>
          <t>EM003209</t>
        </is>
      </c>
      <c r="B3210" s="7" t="n">
        <v>46261</v>
      </c>
      <c r="C3210" t="inlineStr">
        <is>
          <t>Gowning</t>
        </is>
      </c>
      <c r="D3210" t="inlineStr">
        <is>
          <t>ISO 8</t>
        </is>
      </c>
      <c r="E3210" t="inlineStr">
        <is>
          <t>Active air</t>
        </is>
      </c>
      <c r="F3210" t="n">
        <v>2</v>
      </c>
      <c r="G3210" t="inlineStr">
        <is>
          <t>Tech D</t>
        </is>
      </c>
      <c r="H3210">
        <f>INDEX(Limits!$B$2:$B$5,MATCH(E3210,Limits!$A$2:$A$5,0))</f>
        <v/>
      </c>
      <c r="I3210">
        <f>INDEX(Limits!$C$2:$C$5,MATCH(E3210,Limits!$A$2:$A$5,0))</f>
        <v/>
      </c>
      <c r="J3210">
        <f>IF(F3210&gt;=I3210,"Action",IF(F3210&gt;=H3210,"Alert","Pass"))</f>
        <v/>
      </c>
      <c r="K3210" s="4">
        <f>DATE(YEAR(B3210),MONTH(B3210),1)</f>
        <v/>
      </c>
    </row>
    <row r="3211">
      <c r="A3211" t="inlineStr">
        <is>
          <t>EM003210</t>
        </is>
      </c>
      <c r="B3211" s="7" t="n">
        <v>46261</v>
      </c>
      <c r="C3211" t="inlineStr">
        <is>
          <t>Gowning</t>
        </is>
      </c>
      <c r="D3211" t="inlineStr">
        <is>
          <t>ISO 8</t>
        </is>
      </c>
      <c r="E3211" t="inlineStr">
        <is>
          <t>Surface contact</t>
        </is>
      </c>
      <c r="F3211" t="n">
        <v>1</v>
      </c>
      <c r="G3211" t="inlineStr">
        <is>
          <t>Tech A</t>
        </is>
      </c>
      <c r="H3211">
        <f>INDEX(Limits!$B$2:$B$5,MATCH(E3211,Limits!$A$2:$A$5,0))</f>
        <v/>
      </c>
      <c r="I3211">
        <f>INDEX(Limits!$C$2:$C$5,MATCH(E3211,Limits!$A$2:$A$5,0))</f>
        <v/>
      </c>
      <c r="J3211">
        <f>IF(F3211&gt;=I3211,"Action",IF(F3211&gt;=H3211,"Alert","Pass"))</f>
        <v/>
      </c>
      <c r="K3211" s="4">
        <f>DATE(YEAR(B3211),MONTH(B3211),1)</f>
        <v/>
      </c>
    </row>
    <row r="3212">
      <c r="A3212" t="inlineStr">
        <is>
          <t>EM003211</t>
        </is>
      </c>
      <c r="B3212" s="7" t="n">
        <v>46261</v>
      </c>
      <c r="C3212" t="inlineStr">
        <is>
          <t>Gowning</t>
        </is>
      </c>
      <c r="D3212" t="inlineStr">
        <is>
          <t>ISO 8</t>
        </is>
      </c>
      <c r="E3212" t="inlineStr">
        <is>
          <t>Personnel glove</t>
        </is>
      </c>
      <c r="F3212" t="n">
        <v>0</v>
      </c>
      <c r="G3212" t="inlineStr">
        <is>
          <t>Tech A</t>
        </is>
      </c>
      <c r="H3212">
        <f>INDEX(Limits!$B$2:$B$5,MATCH(E3212,Limits!$A$2:$A$5,0))</f>
        <v/>
      </c>
      <c r="I3212">
        <f>INDEX(Limits!$C$2:$C$5,MATCH(E3212,Limits!$A$2:$A$5,0))</f>
        <v/>
      </c>
      <c r="J3212">
        <f>IF(F3212&gt;=I3212,"Action",IF(F3212&gt;=H3212,"Alert","Pass"))</f>
        <v/>
      </c>
      <c r="K3212" s="4">
        <f>DATE(YEAR(B3212),MONTH(B3212),1)</f>
        <v/>
      </c>
    </row>
    <row r="3213">
      <c r="A3213" t="inlineStr">
        <is>
          <t>EM003212</t>
        </is>
      </c>
      <c r="B3213" s="7" t="n">
        <v>46262</v>
      </c>
      <c r="C3213" t="inlineStr">
        <is>
          <t>CR-101</t>
        </is>
      </c>
      <c r="D3213" t="inlineStr">
        <is>
          <t>ISO 7</t>
        </is>
      </c>
      <c r="E3213" t="inlineStr">
        <is>
          <t>Active air</t>
        </is>
      </c>
      <c r="F3213" t="n">
        <v>1</v>
      </c>
      <c r="G3213" t="inlineStr">
        <is>
          <t>Tech A</t>
        </is>
      </c>
      <c r="H3213">
        <f>INDEX(Limits!$B$2:$B$5,MATCH(E3213,Limits!$A$2:$A$5,0))</f>
        <v/>
      </c>
      <c r="I3213">
        <f>INDEX(Limits!$C$2:$C$5,MATCH(E3213,Limits!$A$2:$A$5,0))</f>
        <v/>
      </c>
      <c r="J3213">
        <f>IF(F3213&gt;=I3213,"Action",IF(F3213&gt;=H3213,"Alert","Pass"))</f>
        <v/>
      </c>
      <c r="K3213" s="4">
        <f>DATE(YEAR(B3213),MONTH(B3213),1)</f>
        <v/>
      </c>
    </row>
    <row r="3214">
      <c r="A3214" t="inlineStr">
        <is>
          <t>EM003213</t>
        </is>
      </c>
      <c r="B3214" s="7" t="n">
        <v>46262</v>
      </c>
      <c r="C3214" t="inlineStr">
        <is>
          <t>CR-101</t>
        </is>
      </c>
      <c r="D3214" t="inlineStr">
        <is>
          <t>ISO 7</t>
        </is>
      </c>
      <c r="E3214" t="inlineStr">
        <is>
          <t>Surface contact</t>
        </is>
      </c>
      <c r="F3214" t="n">
        <v>0</v>
      </c>
      <c r="G3214" t="inlineStr">
        <is>
          <t>Tech C</t>
        </is>
      </c>
      <c r="H3214">
        <f>INDEX(Limits!$B$2:$B$5,MATCH(E3214,Limits!$A$2:$A$5,0))</f>
        <v/>
      </c>
      <c r="I3214">
        <f>INDEX(Limits!$C$2:$C$5,MATCH(E3214,Limits!$A$2:$A$5,0))</f>
        <v/>
      </c>
      <c r="J3214">
        <f>IF(F3214&gt;=I3214,"Action",IF(F3214&gt;=H3214,"Alert","Pass"))</f>
        <v/>
      </c>
      <c r="K3214" s="4">
        <f>DATE(YEAR(B3214),MONTH(B3214),1)</f>
        <v/>
      </c>
    </row>
    <row r="3215">
      <c r="A3215" t="inlineStr">
        <is>
          <t>EM003214</t>
        </is>
      </c>
      <c r="B3215" s="7" t="n">
        <v>46262</v>
      </c>
      <c r="C3215" t="inlineStr">
        <is>
          <t>CR-101</t>
        </is>
      </c>
      <c r="D3215" t="inlineStr">
        <is>
          <t>ISO 7</t>
        </is>
      </c>
      <c r="E3215" t="inlineStr">
        <is>
          <t>Compressed air</t>
        </is>
      </c>
      <c r="F3215" t="n">
        <v>0</v>
      </c>
      <c r="G3215" t="inlineStr">
        <is>
          <t>Tech D</t>
        </is>
      </c>
      <c r="H3215">
        <f>INDEX(Limits!$B$2:$B$5,MATCH(E3215,Limits!$A$2:$A$5,0))</f>
        <v/>
      </c>
      <c r="I3215">
        <f>INDEX(Limits!$C$2:$C$5,MATCH(E3215,Limits!$A$2:$A$5,0))</f>
        <v/>
      </c>
      <c r="J3215">
        <f>IF(F3215&gt;=I3215,"Action",IF(F3215&gt;=H3215,"Alert","Pass"))</f>
        <v/>
      </c>
      <c r="K3215" s="4">
        <f>DATE(YEAR(B3215),MONTH(B3215),1)</f>
        <v/>
      </c>
    </row>
    <row r="3216">
      <c r="A3216" t="inlineStr">
        <is>
          <t>EM003215</t>
        </is>
      </c>
      <c r="B3216" s="7" t="n">
        <v>46262</v>
      </c>
      <c r="C3216" t="inlineStr">
        <is>
          <t>CR-101</t>
        </is>
      </c>
      <c r="D3216" t="inlineStr">
        <is>
          <t>ISO 7</t>
        </is>
      </c>
      <c r="E3216" t="inlineStr">
        <is>
          <t>Personnel glove</t>
        </is>
      </c>
      <c r="F3216" t="n">
        <v>0</v>
      </c>
      <c r="G3216" t="inlineStr">
        <is>
          <t>Tech C</t>
        </is>
      </c>
      <c r="H3216">
        <f>INDEX(Limits!$B$2:$B$5,MATCH(E3216,Limits!$A$2:$A$5,0))</f>
        <v/>
      </c>
      <c r="I3216">
        <f>INDEX(Limits!$C$2:$C$5,MATCH(E3216,Limits!$A$2:$A$5,0))</f>
        <v/>
      </c>
      <c r="J3216">
        <f>IF(F3216&gt;=I3216,"Action",IF(F3216&gt;=H3216,"Alert","Pass"))</f>
        <v/>
      </c>
      <c r="K3216" s="4">
        <f>DATE(YEAR(B3216),MONTH(B3216),1)</f>
        <v/>
      </c>
    </row>
    <row r="3217">
      <c r="A3217" t="inlineStr">
        <is>
          <t>EM003216</t>
        </is>
      </c>
      <c r="B3217" s="7" t="n">
        <v>46262</v>
      </c>
      <c r="C3217" t="inlineStr">
        <is>
          <t>CR-102</t>
        </is>
      </c>
      <c r="D3217" t="inlineStr">
        <is>
          <t>ISO 7</t>
        </is>
      </c>
      <c r="E3217" t="inlineStr">
        <is>
          <t>Active air</t>
        </is>
      </c>
      <c r="F3217" t="n">
        <v>2</v>
      </c>
      <c r="G3217" t="inlineStr">
        <is>
          <t>Tech D</t>
        </is>
      </c>
      <c r="H3217">
        <f>INDEX(Limits!$B$2:$B$5,MATCH(E3217,Limits!$A$2:$A$5,0))</f>
        <v/>
      </c>
      <c r="I3217">
        <f>INDEX(Limits!$C$2:$C$5,MATCH(E3217,Limits!$A$2:$A$5,0))</f>
        <v/>
      </c>
      <c r="J3217">
        <f>IF(F3217&gt;=I3217,"Action",IF(F3217&gt;=H3217,"Alert","Pass"))</f>
        <v/>
      </c>
      <c r="K3217" s="4">
        <f>DATE(YEAR(B3217),MONTH(B3217),1)</f>
        <v/>
      </c>
    </row>
    <row r="3218">
      <c r="A3218" t="inlineStr">
        <is>
          <t>EM003217</t>
        </is>
      </c>
      <c r="B3218" s="7" t="n">
        <v>46262</v>
      </c>
      <c r="C3218" t="inlineStr">
        <is>
          <t>CR-102</t>
        </is>
      </c>
      <c r="D3218" t="inlineStr">
        <is>
          <t>ISO 7</t>
        </is>
      </c>
      <c r="E3218" t="inlineStr">
        <is>
          <t>Surface contact</t>
        </is>
      </c>
      <c r="F3218" t="n">
        <v>0</v>
      </c>
      <c r="G3218" t="inlineStr">
        <is>
          <t>Tech D</t>
        </is>
      </c>
      <c r="H3218">
        <f>INDEX(Limits!$B$2:$B$5,MATCH(E3218,Limits!$A$2:$A$5,0))</f>
        <v/>
      </c>
      <c r="I3218">
        <f>INDEX(Limits!$C$2:$C$5,MATCH(E3218,Limits!$A$2:$A$5,0))</f>
        <v/>
      </c>
      <c r="J3218">
        <f>IF(F3218&gt;=I3218,"Action",IF(F3218&gt;=H3218,"Alert","Pass"))</f>
        <v/>
      </c>
      <c r="K3218" s="4">
        <f>DATE(YEAR(B3218),MONTH(B3218),1)</f>
        <v/>
      </c>
    </row>
    <row r="3219">
      <c r="A3219" t="inlineStr">
        <is>
          <t>EM003218</t>
        </is>
      </c>
      <c r="B3219" s="7" t="n">
        <v>46262</v>
      </c>
      <c r="C3219" t="inlineStr">
        <is>
          <t>CR-102</t>
        </is>
      </c>
      <c r="D3219" t="inlineStr">
        <is>
          <t>ISO 7</t>
        </is>
      </c>
      <c r="E3219" t="inlineStr">
        <is>
          <t>Compressed air</t>
        </is>
      </c>
      <c r="F3219" t="n">
        <v>0</v>
      </c>
      <c r="G3219" t="inlineStr">
        <is>
          <t>Tech D</t>
        </is>
      </c>
      <c r="H3219">
        <f>INDEX(Limits!$B$2:$B$5,MATCH(E3219,Limits!$A$2:$A$5,0))</f>
        <v/>
      </c>
      <c r="I3219">
        <f>INDEX(Limits!$C$2:$C$5,MATCH(E3219,Limits!$A$2:$A$5,0))</f>
        <v/>
      </c>
      <c r="J3219">
        <f>IF(F3219&gt;=I3219,"Action",IF(F3219&gt;=H3219,"Alert","Pass"))</f>
        <v/>
      </c>
      <c r="K3219" s="4">
        <f>DATE(YEAR(B3219),MONTH(B3219),1)</f>
        <v/>
      </c>
    </row>
    <row r="3220">
      <c r="A3220" t="inlineStr">
        <is>
          <t>EM003219</t>
        </is>
      </c>
      <c r="B3220" s="7" t="n">
        <v>46262</v>
      </c>
      <c r="C3220" t="inlineStr">
        <is>
          <t>CR-102</t>
        </is>
      </c>
      <c r="D3220" t="inlineStr">
        <is>
          <t>ISO 7</t>
        </is>
      </c>
      <c r="E3220" t="inlineStr">
        <is>
          <t>Personnel glove</t>
        </is>
      </c>
      <c r="F3220" t="n">
        <v>0</v>
      </c>
      <c r="G3220" t="inlineStr">
        <is>
          <t>Tech A</t>
        </is>
      </c>
      <c r="H3220">
        <f>INDEX(Limits!$B$2:$B$5,MATCH(E3220,Limits!$A$2:$A$5,0))</f>
        <v/>
      </c>
      <c r="I3220">
        <f>INDEX(Limits!$C$2:$C$5,MATCH(E3220,Limits!$A$2:$A$5,0))</f>
        <v/>
      </c>
      <c r="J3220">
        <f>IF(F3220&gt;=I3220,"Action",IF(F3220&gt;=H3220,"Alert","Pass"))</f>
        <v/>
      </c>
      <c r="K3220" s="4">
        <f>DATE(YEAR(B3220),MONTH(B3220),1)</f>
        <v/>
      </c>
    </row>
    <row r="3221">
      <c r="A3221" t="inlineStr">
        <is>
          <t>EM003220</t>
        </is>
      </c>
      <c r="B3221" s="7" t="n">
        <v>46262</v>
      </c>
      <c r="C3221" t="inlineStr">
        <is>
          <t>CR-201</t>
        </is>
      </c>
      <c r="D3221" t="inlineStr">
        <is>
          <t>ISO 8</t>
        </is>
      </c>
      <c r="E3221" t="inlineStr">
        <is>
          <t>Active air</t>
        </is>
      </c>
      <c r="F3221" t="n">
        <v>0</v>
      </c>
      <c r="G3221" t="inlineStr">
        <is>
          <t>Tech D</t>
        </is>
      </c>
      <c r="H3221">
        <f>INDEX(Limits!$B$2:$B$5,MATCH(E3221,Limits!$A$2:$A$5,0))</f>
        <v/>
      </c>
      <c r="I3221">
        <f>INDEX(Limits!$C$2:$C$5,MATCH(E3221,Limits!$A$2:$A$5,0))</f>
        <v/>
      </c>
      <c r="J3221">
        <f>IF(F3221&gt;=I3221,"Action",IF(F3221&gt;=H3221,"Alert","Pass"))</f>
        <v/>
      </c>
      <c r="K3221" s="4">
        <f>DATE(YEAR(B3221),MONTH(B3221),1)</f>
        <v/>
      </c>
    </row>
    <row r="3222">
      <c r="A3222" t="inlineStr">
        <is>
          <t>EM003221</t>
        </is>
      </c>
      <c r="B3222" s="7" t="n">
        <v>46262</v>
      </c>
      <c r="C3222" t="inlineStr">
        <is>
          <t>CR-201</t>
        </is>
      </c>
      <c r="D3222" t="inlineStr">
        <is>
          <t>ISO 8</t>
        </is>
      </c>
      <c r="E3222" t="inlineStr">
        <is>
          <t>Surface contact</t>
        </is>
      </c>
      <c r="F3222" t="n">
        <v>1</v>
      </c>
      <c r="G3222" t="inlineStr">
        <is>
          <t>Tech A</t>
        </is>
      </c>
      <c r="H3222">
        <f>INDEX(Limits!$B$2:$B$5,MATCH(E3222,Limits!$A$2:$A$5,0))</f>
        <v/>
      </c>
      <c r="I3222">
        <f>INDEX(Limits!$C$2:$C$5,MATCH(E3222,Limits!$A$2:$A$5,0))</f>
        <v/>
      </c>
      <c r="J3222">
        <f>IF(F3222&gt;=I3222,"Action",IF(F3222&gt;=H3222,"Alert","Pass"))</f>
        <v/>
      </c>
      <c r="K3222" s="4">
        <f>DATE(YEAR(B3222),MONTH(B3222),1)</f>
        <v/>
      </c>
    </row>
    <row r="3223">
      <c r="A3223" t="inlineStr">
        <is>
          <t>EM003222</t>
        </is>
      </c>
      <c r="B3223" s="7" t="n">
        <v>46262</v>
      </c>
      <c r="C3223" t="inlineStr">
        <is>
          <t>CR-201</t>
        </is>
      </c>
      <c r="D3223" t="inlineStr">
        <is>
          <t>ISO 8</t>
        </is>
      </c>
      <c r="E3223" t="inlineStr">
        <is>
          <t>Compressed air</t>
        </is>
      </c>
      <c r="F3223" t="n">
        <v>1</v>
      </c>
      <c r="G3223" t="inlineStr">
        <is>
          <t>Tech C</t>
        </is>
      </c>
      <c r="H3223">
        <f>INDEX(Limits!$B$2:$B$5,MATCH(E3223,Limits!$A$2:$A$5,0))</f>
        <v/>
      </c>
      <c r="I3223">
        <f>INDEX(Limits!$C$2:$C$5,MATCH(E3223,Limits!$A$2:$A$5,0))</f>
        <v/>
      </c>
      <c r="J3223">
        <f>IF(F3223&gt;=I3223,"Action",IF(F3223&gt;=H3223,"Alert","Pass"))</f>
        <v/>
      </c>
      <c r="K3223" s="4">
        <f>DATE(YEAR(B3223),MONTH(B3223),1)</f>
        <v/>
      </c>
    </row>
    <row r="3224">
      <c r="A3224" t="inlineStr">
        <is>
          <t>EM003223</t>
        </is>
      </c>
      <c r="B3224" s="7" t="n">
        <v>46262</v>
      </c>
      <c r="C3224" t="inlineStr">
        <is>
          <t>CR-201</t>
        </is>
      </c>
      <c r="D3224" t="inlineStr">
        <is>
          <t>ISO 8</t>
        </is>
      </c>
      <c r="E3224" t="inlineStr">
        <is>
          <t>Personnel glove</t>
        </is>
      </c>
      <c r="F3224" t="n">
        <v>0</v>
      </c>
      <c r="G3224" t="inlineStr">
        <is>
          <t>Tech A</t>
        </is>
      </c>
      <c r="H3224">
        <f>INDEX(Limits!$B$2:$B$5,MATCH(E3224,Limits!$A$2:$A$5,0))</f>
        <v/>
      </c>
      <c r="I3224">
        <f>INDEX(Limits!$C$2:$C$5,MATCH(E3224,Limits!$A$2:$A$5,0))</f>
        <v/>
      </c>
      <c r="J3224">
        <f>IF(F3224&gt;=I3224,"Action",IF(F3224&gt;=H3224,"Alert","Pass"))</f>
        <v/>
      </c>
      <c r="K3224" s="4">
        <f>DATE(YEAR(B3224),MONTH(B3224),1)</f>
        <v/>
      </c>
    </row>
    <row r="3225">
      <c r="A3225" t="inlineStr">
        <is>
          <t>EM003224</t>
        </is>
      </c>
      <c r="B3225" s="7" t="n">
        <v>46262</v>
      </c>
      <c r="C3225" t="inlineStr">
        <is>
          <t>CR-202</t>
        </is>
      </c>
      <c r="D3225" t="inlineStr">
        <is>
          <t>ISO 8</t>
        </is>
      </c>
      <c r="E3225" t="inlineStr">
        <is>
          <t>Active air</t>
        </is>
      </c>
      <c r="F3225" t="n">
        <v>3</v>
      </c>
      <c r="G3225" t="inlineStr">
        <is>
          <t>Tech B</t>
        </is>
      </c>
      <c r="H3225">
        <f>INDEX(Limits!$B$2:$B$5,MATCH(E3225,Limits!$A$2:$A$5,0))</f>
        <v/>
      </c>
      <c r="I3225">
        <f>INDEX(Limits!$C$2:$C$5,MATCH(E3225,Limits!$A$2:$A$5,0))</f>
        <v/>
      </c>
      <c r="J3225">
        <f>IF(F3225&gt;=I3225,"Action",IF(F3225&gt;=H3225,"Alert","Pass"))</f>
        <v/>
      </c>
      <c r="K3225" s="4">
        <f>DATE(YEAR(B3225),MONTH(B3225),1)</f>
        <v/>
      </c>
    </row>
    <row r="3226">
      <c r="A3226" t="inlineStr">
        <is>
          <t>EM003225</t>
        </is>
      </c>
      <c r="B3226" s="7" t="n">
        <v>46262</v>
      </c>
      <c r="C3226" t="inlineStr">
        <is>
          <t>CR-202</t>
        </is>
      </c>
      <c r="D3226" t="inlineStr">
        <is>
          <t>ISO 8</t>
        </is>
      </c>
      <c r="E3226" t="inlineStr">
        <is>
          <t>Surface contact</t>
        </is>
      </c>
      <c r="F3226" t="n">
        <v>2</v>
      </c>
      <c r="G3226" t="inlineStr">
        <is>
          <t>Tech D</t>
        </is>
      </c>
      <c r="H3226">
        <f>INDEX(Limits!$B$2:$B$5,MATCH(E3226,Limits!$A$2:$A$5,0))</f>
        <v/>
      </c>
      <c r="I3226">
        <f>INDEX(Limits!$C$2:$C$5,MATCH(E3226,Limits!$A$2:$A$5,0))</f>
        <v/>
      </c>
      <c r="J3226">
        <f>IF(F3226&gt;=I3226,"Action",IF(F3226&gt;=H3226,"Alert","Pass"))</f>
        <v/>
      </c>
      <c r="K3226" s="4">
        <f>DATE(YEAR(B3226),MONTH(B3226),1)</f>
        <v/>
      </c>
    </row>
    <row r="3227">
      <c r="A3227" t="inlineStr">
        <is>
          <t>EM003226</t>
        </is>
      </c>
      <c r="B3227" s="7" t="n">
        <v>46262</v>
      </c>
      <c r="C3227" t="inlineStr">
        <is>
          <t>CR-202</t>
        </is>
      </c>
      <c r="D3227" t="inlineStr">
        <is>
          <t>ISO 8</t>
        </is>
      </c>
      <c r="E3227" t="inlineStr">
        <is>
          <t>Compressed air</t>
        </is>
      </c>
      <c r="F3227" t="n">
        <v>0</v>
      </c>
      <c r="G3227" t="inlineStr">
        <is>
          <t>Tech C</t>
        </is>
      </c>
      <c r="H3227">
        <f>INDEX(Limits!$B$2:$B$5,MATCH(E3227,Limits!$A$2:$A$5,0))</f>
        <v/>
      </c>
      <c r="I3227">
        <f>INDEX(Limits!$C$2:$C$5,MATCH(E3227,Limits!$A$2:$A$5,0))</f>
        <v/>
      </c>
      <c r="J3227">
        <f>IF(F3227&gt;=I3227,"Action",IF(F3227&gt;=H3227,"Alert","Pass"))</f>
        <v/>
      </c>
      <c r="K3227" s="4">
        <f>DATE(YEAR(B3227),MONTH(B3227),1)</f>
        <v/>
      </c>
    </row>
    <row r="3228">
      <c r="A3228" t="inlineStr">
        <is>
          <t>EM003227</t>
        </is>
      </c>
      <c r="B3228" s="7" t="n">
        <v>46262</v>
      </c>
      <c r="C3228" t="inlineStr">
        <is>
          <t>CR-202</t>
        </is>
      </c>
      <c r="D3228" t="inlineStr">
        <is>
          <t>ISO 8</t>
        </is>
      </c>
      <c r="E3228" t="inlineStr">
        <is>
          <t>Personnel glove</t>
        </is>
      </c>
      <c r="F3228" t="n">
        <v>0</v>
      </c>
      <c r="G3228" t="inlineStr">
        <is>
          <t>Tech B</t>
        </is>
      </c>
      <c r="H3228">
        <f>INDEX(Limits!$B$2:$B$5,MATCH(E3228,Limits!$A$2:$A$5,0))</f>
        <v/>
      </c>
      <c r="I3228">
        <f>INDEX(Limits!$C$2:$C$5,MATCH(E3228,Limits!$A$2:$A$5,0))</f>
        <v/>
      </c>
      <c r="J3228">
        <f>IF(F3228&gt;=I3228,"Action",IF(F3228&gt;=H3228,"Alert","Pass"))</f>
        <v/>
      </c>
      <c r="K3228" s="4">
        <f>DATE(YEAR(B3228),MONTH(B3228),1)</f>
        <v/>
      </c>
    </row>
    <row r="3229">
      <c r="A3229" t="inlineStr">
        <is>
          <t>EM003228</t>
        </is>
      </c>
      <c r="B3229" s="7" t="n">
        <v>46262</v>
      </c>
      <c r="C3229" t="inlineStr">
        <is>
          <t>Gowning</t>
        </is>
      </c>
      <c r="D3229" t="inlineStr">
        <is>
          <t>ISO 8</t>
        </is>
      </c>
      <c r="E3229" t="inlineStr">
        <is>
          <t>Active air</t>
        </is>
      </c>
      <c r="F3229" t="n">
        <v>0</v>
      </c>
      <c r="G3229" t="inlineStr">
        <is>
          <t>Tech B</t>
        </is>
      </c>
      <c r="H3229">
        <f>INDEX(Limits!$B$2:$B$5,MATCH(E3229,Limits!$A$2:$A$5,0))</f>
        <v/>
      </c>
      <c r="I3229">
        <f>INDEX(Limits!$C$2:$C$5,MATCH(E3229,Limits!$A$2:$A$5,0))</f>
        <v/>
      </c>
      <c r="J3229">
        <f>IF(F3229&gt;=I3229,"Action",IF(F3229&gt;=H3229,"Alert","Pass"))</f>
        <v/>
      </c>
      <c r="K3229" s="4">
        <f>DATE(YEAR(B3229),MONTH(B3229),1)</f>
        <v/>
      </c>
    </row>
    <row r="3230">
      <c r="A3230" t="inlineStr">
        <is>
          <t>EM003229</t>
        </is>
      </c>
      <c r="B3230" s="7" t="n">
        <v>46262</v>
      </c>
      <c r="C3230" t="inlineStr">
        <is>
          <t>Gowning</t>
        </is>
      </c>
      <c r="D3230" t="inlineStr">
        <is>
          <t>ISO 8</t>
        </is>
      </c>
      <c r="E3230" t="inlineStr">
        <is>
          <t>Surface contact</t>
        </is>
      </c>
      <c r="F3230" t="n">
        <v>1</v>
      </c>
      <c r="G3230" t="inlineStr">
        <is>
          <t>Tech B</t>
        </is>
      </c>
      <c r="H3230">
        <f>INDEX(Limits!$B$2:$B$5,MATCH(E3230,Limits!$A$2:$A$5,0))</f>
        <v/>
      </c>
      <c r="I3230">
        <f>INDEX(Limits!$C$2:$C$5,MATCH(E3230,Limits!$A$2:$A$5,0))</f>
        <v/>
      </c>
      <c r="J3230">
        <f>IF(F3230&gt;=I3230,"Action",IF(F3230&gt;=H3230,"Alert","Pass"))</f>
        <v/>
      </c>
      <c r="K3230" s="4">
        <f>DATE(YEAR(B3230),MONTH(B3230),1)</f>
        <v/>
      </c>
    </row>
    <row r="3231">
      <c r="A3231" t="inlineStr">
        <is>
          <t>EM003230</t>
        </is>
      </c>
      <c r="B3231" s="7" t="n">
        <v>46262</v>
      </c>
      <c r="C3231" t="inlineStr">
        <is>
          <t>Gowning</t>
        </is>
      </c>
      <c r="D3231" t="inlineStr">
        <is>
          <t>ISO 8</t>
        </is>
      </c>
      <c r="E3231" t="inlineStr">
        <is>
          <t>Personnel glove</t>
        </is>
      </c>
      <c r="F3231" t="n">
        <v>0</v>
      </c>
      <c r="G3231" t="inlineStr">
        <is>
          <t>Tech B</t>
        </is>
      </c>
      <c r="H3231">
        <f>INDEX(Limits!$B$2:$B$5,MATCH(E3231,Limits!$A$2:$A$5,0))</f>
        <v/>
      </c>
      <c r="I3231">
        <f>INDEX(Limits!$C$2:$C$5,MATCH(E3231,Limits!$A$2:$A$5,0))</f>
        <v/>
      </c>
      <c r="J3231">
        <f>IF(F3231&gt;=I3231,"Action",IF(F3231&gt;=H3231,"Alert","Pass"))</f>
        <v/>
      </c>
      <c r="K3231" s="4">
        <f>DATE(YEAR(B3231),MONTH(B3231),1)</f>
        <v/>
      </c>
    </row>
    <row r="3232">
      <c r="A3232" t="inlineStr">
        <is>
          <t>EM003231</t>
        </is>
      </c>
      <c r="B3232" s="7" t="n">
        <v>46265</v>
      </c>
      <c r="C3232" t="inlineStr">
        <is>
          <t>CR-101</t>
        </is>
      </c>
      <c r="D3232" t="inlineStr">
        <is>
          <t>ISO 7</t>
        </is>
      </c>
      <c r="E3232" t="inlineStr">
        <is>
          <t>Active air</t>
        </is>
      </c>
      <c r="F3232" t="n">
        <v>1</v>
      </c>
      <c r="G3232" t="inlineStr">
        <is>
          <t>Tech D</t>
        </is>
      </c>
      <c r="H3232">
        <f>INDEX(Limits!$B$2:$B$5,MATCH(E3232,Limits!$A$2:$A$5,0))</f>
        <v/>
      </c>
      <c r="I3232">
        <f>INDEX(Limits!$C$2:$C$5,MATCH(E3232,Limits!$A$2:$A$5,0))</f>
        <v/>
      </c>
      <c r="J3232">
        <f>IF(F3232&gt;=I3232,"Action",IF(F3232&gt;=H3232,"Alert","Pass"))</f>
        <v/>
      </c>
      <c r="K3232" s="4">
        <f>DATE(YEAR(B3232),MONTH(B3232),1)</f>
        <v/>
      </c>
    </row>
    <row r="3233">
      <c r="A3233" t="inlineStr">
        <is>
          <t>EM003232</t>
        </is>
      </c>
      <c r="B3233" s="7" t="n">
        <v>46265</v>
      </c>
      <c r="C3233" t="inlineStr">
        <is>
          <t>CR-101</t>
        </is>
      </c>
      <c r="D3233" t="inlineStr">
        <is>
          <t>ISO 7</t>
        </is>
      </c>
      <c r="E3233" t="inlineStr">
        <is>
          <t>Surface contact</t>
        </is>
      </c>
      <c r="F3233" t="n">
        <v>1</v>
      </c>
      <c r="G3233" t="inlineStr">
        <is>
          <t>Tech B</t>
        </is>
      </c>
      <c r="H3233">
        <f>INDEX(Limits!$B$2:$B$5,MATCH(E3233,Limits!$A$2:$A$5,0))</f>
        <v/>
      </c>
      <c r="I3233">
        <f>INDEX(Limits!$C$2:$C$5,MATCH(E3233,Limits!$A$2:$A$5,0))</f>
        <v/>
      </c>
      <c r="J3233">
        <f>IF(F3233&gt;=I3233,"Action",IF(F3233&gt;=H3233,"Alert","Pass"))</f>
        <v/>
      </c>
      <c r="K3233" s="4">
        <f>DATE(YEAR(B3233),MONTH(B3233),1)</f>
        <v/>
      </c>
    </row>
    <row r="3234">
      <c r="A3234" t="inlineStr">
        <is>
          <t>EM003233</t>
        </is>
      </c>
      <c r="B3234" s="7" t="n">
        <v>46265</v>
      </c>
      <c r="C3234" t="inlineStr">
        <is>
          <t>CR-101</t>
        </is>
      </c>
      <c r="D3234" t="inlineStr">
        <is>
          <t>ISO 7</t>
        </is>
      </c>
      <c r="E3234" t="inlineStr">
        <is>
          <t>Compressed air</t>
        </is>
      </c>
      <c r="F3234" t="n">
        <v>0</v>
      </c>
      <c r="G3234" t="inlineStr">
        <is>
          <t>Tech B</t>
        </is>
      </c>
      <c r="H3234">
        <f>INDEX(Limits!$B$2:$B$5,MATCH(E3234,Limits!$A$2:$A$5,0))</f>
        <v/>
      </c>
      <c r="I3234">
        <f>INDEX(Limits!$C$2:$C$5,MATCH(E3234,Limits!$A$2:$A$5,0))</f>
        <v/>
      </c>
      <c r="J3234">
        <f>IF(F3234&gt;=I3234,"Action",IF(F3234&gt;=H3234,"Alert","Pass"))</f>
        <v/>
      </c>
      <c r="K3234" s="4">
        <f>DATE(YEAR(B3234),MONTH(B3234),1)</f>
        <v/>
      </c>
    </row>
    <row r="3235">
      <c r="A3235" t="inlineStr">
        <is>
          <t>EM003234</t>
        </is>
      </c>
      <c r="B3235" s="7" t="n">
        <v>46265</v>
      </c>
      <c r="C3235" t="inlineStr">
        <is>
          <t>CR-101</t>
        </is>
      </c>
      <c r="D3235" t="inlineStr">
        <is>
          <t>ISO 7</t>
        </is>
      </c>
      <c r="E3235" t="inlineStr">
        <is>
          <t>Personnel glove</t>
        </is>
      </c>
      <c r="F3235" t="n">
        <v>0</v>
      </c>
      <c r="G3235" t="inlineStr">
        <is>
          <t>Tech A</t>
        </is>
      </c>
      <c r="H3235">
        <f>INDEX(Limits!$B$2:$B$5,MATCH(E3235,Limits!$A$2:$A$5,0))</f>
        <v/>
      </c>
      <c r="I3235">
        <f>INDEX(Limits!$C$2:$C$5,MATCH(E3235,Limits!$A$2:$A$5,0))</f>
        <v/>
      </c>
      <c r="J3235">
        <f>IF(F3235&gt;=I3235,"Action",IF(F3235&gt;=H3235,"Alert","Pass"))</f>
        <v/>
      </c>
      <c r="K3235" s="4">
        <f>DATE(YEAR(B3235),MONTH(B3235),1)</f>
        <v/>
      </c>
    </row>
    <row r="3236">
      <c r="A3236" t="inlineStr">
        <is>
          <t>EM003235</t>
        </is>
      </c>
      <c r="B3236" s="7" t="n">
        <v>46265</v>
      </c>
      <c r="C3236" t="inlineStr">
        <is>
          <t>CR-102</t>
        </is>
      </c>
      <c r="D3236" t="inlineStr">
        <is>
          <t>ISO 7</t>
        </is>
      </c>
      <c r="E3236" t="inlineStr">
        <is>
          <t>Active air</t>
        </is>
      </c>
      <c r="F3236" t="n">
        <v>4</v>
      </c>
      <c r="G3236" t="inlineStr">
        <is>
          <t>Tech B</t>
        </is>
      </c>
      <c r="H3236">
        <f>INDEX(Limits!$B$2:$B$5,MATCH(E3236,Limits!$A$2:$A$5,0))</f>
        <v/>
      </c>
      <c r="I3236">
        <f>INDEX(Limits!$C$2:$C$5,MATCH(E3236,Limits!$A$2:$A$5,0))</f>
        <v/>
      </c>
      <c r="J3236">
        <f>IF(F3236&gt;=I3236,"Action",IF(F3236&gt;=H3236,"Alert","Pass"))</f>
        <v/>
      </c>
      <c r="K3236" s="4">
        <f>DATE(YEAR(B3236),MONTH(B3236),1)</f>
        <v/>
      </c>
    </row>
    <row r="3237">
      <c r="A3237" t="inlineStr">
        <is>
          <t>EM003236</t>
        </is>
      </c>
      <c r="B3237" s="7" t="n">
        <v>46265</v>
      </c>
      <c r="C3237" t="inlineStr">
        <is>
          <t>CR-102</t>
        </is>
      </c>
      <c r="D3237" t="inlineStr">
        <is>
          <t>ISO 7</t>
        </is>
      </c>
      <c r="E3237" t="inlineStr">
        <is>
          <t>Surface contact</t>
        </is>
      </c>
      <c r="F3237" t="n">
        <v>0</v>
      </c>
      <c r="G3237" t="inlineStr">
        <is>
          <t>Tech D</t>
        </is>
      </c>
      <c r="H3237">
        <f>INDEX(Limits!$B$2:$B$5,MATCH(E3237,Limits!$A$2:$A$5,0))</f>
        <v/>
      </c>
      <c r="I3237">
        <f>INDEX(Limits!$C$2:$C$5,MATCH(E3237,Limits!$A$2:$A$5,0))</f>
        <v/>
      </c>
      <c r="J3237">
        <f>IF(F3237&gt;=I3237,"Action",IF(F3237&gt;=H3237,"Alert","Pass"))</f>
        <v/>
      </c>
      <c r="K3237" s="4">
        <f>DATE(YEAR(B3237),MONTH(B3237),1)</f>
        <v/>
      </c>
    </row>
    <row r="3238">
      <c r="A3238" t="inlineStr">
        <is>
          <t>EM003237</t>
        </is>
      </c>
      <c r="B3238" s="7" t="n">
        <v>46265</v>
      </c>
      <c r="C3238" t="inlineStr">
        <is>
          <t>CR-102</t>
        </is>
      </c>
      <c r="D3238" t="inlineStr">
        <is>
          <t>ISO 7</t>
        </is>
      </c>
      <c r="E3238" t="inlineStr">
        <is>
          <t>Compressed air</t>
        </is>
      </c>
      <c r="F3238" t="n">
        <v>0</v>
      </c>
      <c r="G3238" t="inlineStr">
        <is>
          <t>Tech C</t>
        </is>
      </c>
      <c r="H3238">
        <f>INDEX(Limits!$B$2:$B$5,MATCH(E3238,Limits!$A$2:$A$5,0))</f>
        <v/>
      </c>
      <c r="I3238">
        <f>INDEX(Limits!$C$2:$C$5,MATCH(E3238,Limits!$A$2:$A$5,0))</f>
        <v/>
      </c>
      <c r="J3238">
        <f>IF(F3238&gt;=I3238,"Action",IF(F3238&gt;=H3238,"Alert","Pass"))</f>
        <v/>
      </c>
      <c r="K3238" s="4">
        <f>DATE(YEAR(B3238),MONTH(B3238),1)</f>
        <v/>
      </c>
    </row>
    <row r="3239">
      <c r="A3239" t="inlineStr">
        <is>
          <t>EM003238</t>
        </is>
      </c>
      <c r="B3239" s="7" t="n">
        <v>46265</v>
      </c>
      <c r="C3239" t="inlineStr">
        <is>
          <t>CR-102</t>
        </is>
      </c>
      <c r="D3239" t="inlineStr">
        <is>
          <t>ISO 7</t>
        </is>
      </c>
      <c r="E3239" t="inlineStr">
        <is>
          <t>Personnel glove</t>
        </is>
      </c>
      <c r="F3239" t="n">
        <v>0</v>
      </c>
      <c r="G3239" t="inlineStr">
        <is>
          <t>Tech D</t>
        </is>
      </c>
      <c r="H3239">
        <f>INDEX(Limits!$B$2:$B$5,MATCH(E3239,Limits!$A$2:$A$5,0))</f>
        <v/>
      </c>
      <c r="I3239">
        <f>INDEX(Limits!$C$2:$C$5,MATCH(E3239,Limits!$A$2:$A$5,0))</f>
        <v/>
      </c>
      <c r="J3239">
        <f>IF(F3239&gt;=I3239,"Action",IF(F3239&gt;=H3239,"Alert","Pass"))</f>
        <v/>
      </c>
      <c r="K3239" s="4">
        <f>DATE(YEAR(B3239),MONTH(B3239),1)</f>
        <v/>
      </c>
    </row>
    <row r="3240">
      <c r="A3240" t="inlineStr">
        <is>
          <t>EM003239</t>
        </is>
      </c>
      <c r="B3240" s="7" t="n">
        <v>46265</v>
      </c>
      <c r="C3240" t="inlineStr">
        <is>
          <t>CR-201</t>
        </is>
      </c>
      <c r="D3240" t="inlineStr">
        <is>
          <t>ISO 8</t>
        </is>
      </c>
      <c r="E3240" t="inlineStr">
        <is>
          <t>Active air</t>
        </is>
      </c>
      <c r="F3240" t="n">
        <v>1</v>
      </c>
      <c r="G3240" t="inlineStr">
        <is>
          <t>Tech B</t>
        </is>
      </c>
      <c r="H3240">
        <f>INDEX(Limits!$B$2:$B$5,MATCH(E3240,Limits!$A$2:$A$5,0))</f>
        <v/>
      </c>
      <c r="I3240">
        <f>INDEX(Limits!$C$2:$C$5,MATCH(E3240,Limits!$A$2:$A$5,0))</f>
        <v/>
      </c>
      <c r="J3240">
        <f>IF(F3240&gt;=I3240,"Action",IF(F3240&gt;=H3240,"Alert","Pass"))</f>
        <v/>
      </c>
      <c r="K3240" s="4">
        <f>DATE(YEAR(B3240),MONTH(B3240),1)</f>
        <v/>
      </c>
    </row>
    <row r="3241">
      <c r="A3241" t="inlineStr">
        <is>
          <t>EM003240</t>
        </is>
      </c>
      <c r="B3241" s="7" t="n">
        <v>46265</v>
      </c>
      <c r="C3241" t="inlineStr">
        <is>
          <t>CR-201</t>
        </is>
      </c>
      <c r="D3241" t="inlineStr">
        <is>
          <t>ISO 8</t>
        </is>
      </c>
      <c r="E3241" t="inlineStr">
        <is>
          <t>Surface contact</t>
        </is>
      </c>
      <c r="F3241" t="n">
        <v>1</v>
      </c>
      <c r="G3241" t="inlineStr">
        <is>
          <t>Tech D</t>
        </is>
      </c>
      <c r="H3241">
        <f>INDEX(Limits!$B$2:$B$5,MATCH(E3241,Limits!$A$2:$A$5,0))</f>
        <v/>
      </c>
      <c r="I3241">
        <f>INDEX(Limits!$C$2:$C$5,MATCH(E3241,Limits!$A$2:$A$5,0))</f>
        <v/>
      </c>
      <c r="J3241">
        <f>IF(F3241&gt;=I3241,"Action",IF(F3241&gt;=H3241,"Alert","Pass"))</f>
        <v/>
      </c>
      <c r="K3241" s="4">
        <f>DATE(YEAR(B3241),MONTH(B3241),1)</f>
        <v/>
      </c>
    </row>
    <row r="3242">
      <c r="A3242" t="inlineStr">
        <is>
          <t>EM003241</t>
        </is>
      </c>
      <c r="B3242" s="7" t="n">
        <v>46265</v>
      </c>
      <c r="C3242" t="inlineStr">
        <is>
          <t>CR-201</t>
        </is>
      </c>
      <c r="D3242" t="inlineStr">
        <is>
          <t>ISO 8</t>
        </is>
      </c>
      <c r="E3242" t="inlineStr">
        <is>
          <t>Compressed air</t>
        </is>
      </c>
      <c r="F3242" t="n">
        <v>0</v>
      </c>
      <c r="G3242" t="inlineStr">
        <is>
          <t>Tech D</t>
        </is>
      </c>
      <c r="H3242">
        <f>INDEX(Limits!$B$2:$B$5,MATCH(E3242,Limits!$A$2:$A$5,0))</f>
        <v/>
      </c>
      <c r="I3242">
        <f>INDEX(Limits!$C$2:$C$5,MATCH(E3242,Limits!$A$2:$A$5,0))</f>
        <v/>
      </c>
      <c r="J3242">
        <f>IF(F3242&gt;=I3242,"Action",IF(F3242&gt;=H3242,"Alert","Pass"))</f>
        <v/>
      </c>
      <c r="K3242" s="4">
        <f>DATE(YEAR(B3242),MONTH(B3242),1)</f>
        <v/>
      </c>
    </row>
    <row r="3243">
      <c r="A3243" t="inlineStr">
        <is>
          <t>EM003242</t>
        </is>
      </c>
      <c r="B3243" s="7" t="n">
        <v>46265</v>
      </c>
      <c r="C3243" t="inlineStr">
        <is>
          <t>CR-201</t>
        </is>
      </c>
      <c r="D3243" t="inlineStr">
        <is>
          <t>ISO 8</t>
        </is>
      </c>
      <c r="E3243" t="inlineStr">
        <is>
          <t>Personnel glove</t>
        </is>
      </c>
      <c r="F3243" t="n">
        <v>0</v>
      </c>
      <c r="G3243" t="inlineStr">
        <is>
          <t>Tech D</t>
        </is>
      </c>
      <c r="H3243">
        <f>INDEX(Limits!$B$2:$B$5,MATCH(E3243,Limits!$A$2:$A$5,0))</f>
        <v/>
      </c>
      <c r="I3243">
        <f>INDEX(Limits!$C$2:$C$5,MATCH(E3243,Limits!$A$2:$A$5,0))</f>
        <v/>
      </c>
      <c r="J3243">
        <f>IF(F3243&gt;=I3243,"Action",IF(F3243&gt;=H3243,"Alert","Pass"))</f>
        <v/>
      </c>
      <c r="K3243" s="4">
        <f>DATE(YEAR(B3243),MONTH(B3243),1)</f>
        <v/>
      </c>
    </row>
    <row r="3244">
      <c r="A3244" t="inlineStr">
        <is>
          <t>EM003243</t>
        </is>
      </c>
      <c r="B3244" s="7" t="n">
        <v>46265</v>
      </c>
      <c r="C3244" t="inlineStr">
        <is>
          <t>CR-202</t>
        </is>
      </c>
      <c r="D3244" t="inlineStr">
        <is>
          <t>ISO 8</t>
        </is>
      </c>
      <c r="E3244" t="inlineStr">
        <is>
          <t>Active air</t>
        </is>
      </c>
      <c r="F3244" t="n">
        <v>1</v>
      </c>
      <c r="G3244" t="inlineStr">
        <is>
          <t>Tech A</t>
        </is>
      </c>
      <c r="H3244">
        <f>INDEX(Limits!$B$2:$B$5,MATCH(E3244,Limits!$A$2:$A$5,0))</f>
        <v/>
      </c>
      <c r="I3244">
        <f>INDEX(Limits!$C$2:$C$5,MATCH(E3244,Limits!$A$2:$A$5,0))</f>
        <v/>
      </c>
      <c r="J3244">
        <f>IF(F3244&gt;=I3244,"Action",IF(F3244&gt;=H3244,"Alert","Pass"))</f>
        <v/>
      </c>
      <c r="K3244" s="4">
        <f>DATE(YEAR(B3244),MONTH(B3244),1)</f>
        <v/>
      </c>
    </row>
    <row r="3245">
      <c r="A3245" t="inlineStr">
        <is>
          <t>EM003244</t>
        </is>
      </c>
      <c r="B3245" s="7" t="n">
        <v>46265</v>
      </c>
      <c r="C3245" t="inlineStr">
        <is>
          <t>CR-202</t>
        </is>
      </c>
      <c r="D3245" t="inlineStr">
        <is>
          <t>ISO 8</t>
        </is>
      </c>
      <c r="E3245" t="inlineStr">
        <is>
          <t>Surface contact</t>
        </is>
      </c>
      <c r="F3245" t="n">
        <v>0</v>
      </c>
      <c r="G3245" t="inlineStr">
        <is>
          <t>Tech A</t>
        </is>
      </c>
      <c r="H3245">
        <f>INDEX(Limits!$B$2:$B$5,MATCH(E3245,Limits!$A$2:$A$5,0))</f>
        <v/>
      </c>
      <c r="I3245">
        <f>INDEX(Limits!$C$2:$C$5,MATCH(E3245,Limits!$A$2:$A$5,0))</f>
        <v/>
      </c>
      <c r="J3245">
        <f>IF(F3245&gt;=I3245,"Action",IF(F3245&gt;=H3245,"Alert","Pass"))</f>
        <v/>
      </c>
      <c r="K3245" s="4">
        <f>DATE(YEAR(B3245),MONTH(B3245),1)</f>
        <v/>
      </c>
    </row>
    <row r="3246">
      <c r="A3246" t="inlineStr">
        <is>
          <t>EM003245</t>
        </is>
      </c>
      <c r="B3246" s="7" t="n">
        <v>46265</v>
      </c>
      <c r="C3246" t="inlineStr">
        <is>
          <t>CR-202</t>
        </is>
      </c>
      <c r="D3246" t="inlineStr">
        <is>
          <t>ISO 8</t>
        </is>
      </c>
      <c r="E3246" t="inlineStr">
        <is>
          <t>Compressed air</t>
        </is>
      </c>
      <c r="F3246" t="n">
        <v>0</v>
      </c>
      <c r="G3246" t="inlineStr">
        <is>
          <t>Tech A</t>
        </is>
      </c>
      <c r="H3246">
        <f>INDEX(Limits!$B$2:$B$5,MATCH(E3246,Limits!$A$2:$A$5,0))</f>
        <v/>
      </c>
      <c r="I3246">
        <f>INDEX(Limits!$C$2:$C$5,MATCH(E3246,Limits!$A$2:$A$5,0))</f>
        <v/>
      </c>
      <c r="J3246">
        <f>IF(F3246&gt;=I3246,"Action",IF(F3246&gt;=H3246,"Alert","Pass"))</f>
        <v/>
      </c>
      <c r="K3246" s="4">
        <f>DATE(YEAR(B3246),MONTH(B3246),1)</f>
        <v/>
      </c>
    </row>
    <row r="3247">
      <c r="A3247" t="inlineStr">
        <is>
          <t>EM003246</t>
        </is>
      </c>
      <c r="B3247" s="7" t="n">
        <v>46265</v>
      </c>
      <c r="C3247" t="inlineStr">
        <is>
          <t>CR-202</t>
        </is>
      </c>
      <c r="D3247" t="inlineStr">
        <is>
          <t>ISO 8</t>
        </is>
      </c>
      <c r="E3247" t="inlineStr">
        <is>
          <t>Personnel glove</t>
        </is>
      </c>
      <c r="F3247" t="n">
        <v>0</v>
      </c>
      <c r="G3247" t="inlineStr">
        <is>
          <t>Tech A</t>
        </is>
      </c>
      <c r="H3247">
        <f>INDEX(Limits!$B$2:$B$5,MATCH(E3247,Limits!$A$2:$A$5,0))</f>
        <v/>
      </c>
      <c r="I3247">
        <f>INDEX(Limits!$C$2:$C$5,MATCH(E3247,Limits!$A$2:$A$5,0))</f>
        <v/>
      </c>
      <c r="J3247">
        <f>IF(F3247&gt;=I3247,"Action",IF(F3247&gt;=H3247,"Alert","Pass"))</f>
        <v/>
      </c>
      <c r="K3247" s="4">
        <f>DATE(YEAR(B3247),MONTH(B3247),1)</f>
        <v/>
      </c>
    </row>
    <row r="3248">
      <c r="A3248" t="inlineStr">
        <is>
          <t>EM003247</t>
        </is>
      </c>
      <c r="B3248" s="7" t="n">
        <v>46265</v>
      </c>
      <c r="C3248" t="inlineStr">
        <is>
          <t>Gowning</t>
        </is>
      </c>
      <c r="D3248" t="inlineStr">
        <is>
          <t>ISO 8</t>
        </is>
      </c>
      <c r="E3248" t="inlineStr">
        <is>
          <t>Active air</t>
        </is>
      </c>
      <c r="F3248" t="n">
        <v>0</v>
      </c>
      <c r="G3248" t="inlineStr">
        <is>
          <t>Tech D</t>
        </is>
      </c>
      <c r="H3248">
        <f>INDEX(Limits!$B$2:$B$5,MATCH(E3248,Limits!$A$2:$A$5,0))</f>
        <v/>
      </c>
      <c r="I3248">
        <f>INDEX(Limits!$C$2:$C$5,MATCH(E3248,Limits!$A$2:$A$5,0))</f>
        <v/>
      </c>
      <c r="J3248">
        <f>IF(F3248&gt;=I3248,"Action",IF(F3248&gt;=H3248,"Alert","Pass"))</f>
        <v/>
      </c>
      <c r="K3248" s="4">
        <f>DATE(YEAR(B3248),MONTH(B3248),1)</f>
        <v/>
      </c>
    </row>
    <row r="3249">
      <c r="A3249" t="inlineStr">
        <is>
          <t>EM003248</t>
        </is>
      </c>
      <c r="B3249" s="7" t="n">
        <v>46265</v>
      </c>
      <c r="C3249" t="inlineStr">
        <is>
          <t>Gowning</t>
        </is>
      </c>
      <c r="D3249" t="inlineStr">
        <is>
          <t>ISO 8</t>
        </is>
      </c>
      <c r="E3249" t="inlineStr">
        <is>
          <t>Surface contact</t>
        </is>
      </c>
      <c r="F3249" t="n">
        <v>2</v>
      </c>
      <c r="G3249" t="inlineStr">
        <is>
          <t>Tech A</t>
        </is>
      </c>
      <c r="H3249">
        <f>INDEX(Limits!$B$2:$B$5,MATCH(E3249,Limits!$A$2:$A$5,0))</f>
        <v/>
      </c>
      <c r="I3249">
        <f>INDEX(Limits!$C$2:$C$5,MATCH(E3249,Limits!$A$2:$A$5,0))</f>
        <v/>
      </c>
      <c r="J3249">
        <f>IF(F3249&gt;=I3249,"Action",IF(F3249&gt;=H3249,"Alert","Pass"))</f>
        <v/>
      </c>
      <c r="K3249" s="4">
        <f>DATE(YEAR(B3249),MONTH(B3249),1)</f>
        <v/>
      </c>
    </row>
    <row r="3250">
      <c r="A3250" t="inlineStr">
        <is>
          <t>EM003249</t>
        </is>
      </c>
      <c r="B3250" s="7" t="n">
        <v>46265</v>
      </c>
      <c r="C3250" t="inlineStr">
        <is>
          <t>Gowning</t>
        </is>
      </c>
      <c r="D3250" t="inlineStr">
        <is>
          <t>ISO 8</t>
        </is>
      </c>
      <c r="E3250" t="inlineStr">
        <is>
          <t>Personnel glove</t>
        </is>
      </c>
      <c r="F3250" t="n">
        <v>1</v>
      </c>
      <c r="G3250" t="inlineStr">
        <is>
          <t>Tech B</t>
        </is>
      </c>
      <c r="H3250">
        <f>INDEX(Limits!$B$2:$B$5,MATCH(E3250,Limits!$A$2:$A$5,0))</f>
        <v/>
      </c>
      <c r="I3250">
        <f>INDEX(Limits!$C$2:$C$5,MATCH(E3250,Limits!$A$2:$A$5,0))</f>
        <v/>
      </c>
      <c r="J3250">
        <f>IF(F3250&gt;=I3250,"Action",IF(F3250&gt;=H3250,"Alert","Pass"))</f>
        <v/>
      </c>
      <c r="K3250" s="4">
        <f>DATE(YEAR(B3250),MONTH(B3250),1)</f>
        <v/>
      </c>
    </row>
    <row r="3251">
      <c r="A3251" t="inlineStr">
        <is>
          <t>EM003250</t>
        </is>
      </c>
      <c r="B3251" s="7" t="n">
        <v>46266</v>
      </c>
      <c r="C3251" t="inlineStr">
        <is>
          <t>CR-101</t>
        </is>
      </c>
      <c r="D3251" t="inlineStr">
        <is>
          <t>ISO 7</t>
        </is>
      </c>
      <c r="E3251" t="inlineStr">
        <is>
          <t>Active air</t>
        </is>
      </c>
      <c r="F3251" t="n">
        <v>1</v>
      </c>
      <c r="G3251" t="inlineStr">
        <is>
          <t>Tech B</t>
        </is>
      </c>
      <c r="H3251">
        <f>INDEX(Limits!$B$2:$B$5,MATCH(E3251,Limits!$A$2:$A$5,0))</f>
        <v/>
      </c>
      <c r="I3251">
        <f>INDEX(Limits!$C$2:$C$5,MATCH(E3251,Limits!$A$2:$A$5,0))</f>
        <v/>
      </c>
      <c r="J3251">
        <f>IF(F3251&gt;=I3251,"Action",IF(F3251&gt;=H3251,"Alert","Pass"))</f>
        <v/>
      </c>
      <c r="K3251" s="4">
        <f>DATE(YEAR(B3251),MONTH(B3251),1)</f>
        <v/>
      </c>
    </row>
    <row r="3252">
      <c r="A3252" t="inlineStr">
        <is>
          <t>EM003251</t>
        </is>
      </c>
      <c r="B3252" s="7" t="n">
        <v>46266</v>
      </c>
      <c r="C3252" t="inlineStr">
        <is>
          <t>CR-101</t>
        </is>
      </c>
      <c r="D3252" t="inlineStr">
        <is>
          <t>ISO 7</t>
        </is>
      </c>
      <c r="E3252" t="inlineStr">
        <is>
          <t>Surface contact</t>
        </is>
      </c>
      <c r="F3252" t="n">
        <v>0</v>
      </c>
      <c r="G3252" t="inlineStr">
        <is>
          <t>Tech B</t>
        </is>
      </c>
      <c r="H3252">
        <f>INDEX(Limits!$B$2:$B$5,MATCH(E3252,Limits!$A$2:$A$5,0))</f>
        <v/>
      </c>
      <c r="I3252">
        <f>INDEX(Limits!$C$2:$C$5,MATCH(E3252,Limits!$A$2:$A$5,0))</f>
        <v/>
      </c>
      <c r="J3252">
        <f>IF(F3252&gt;=I3252,"Action",IF(F3252&gt;=H3252,"Alert","Pass"))</f>
        <v/>
      </c>
      <c r="K3252" s="4">
        <f>DATE(YEAR(B3252),MONTH(B3252),1)</f>
        <v/>
      </c>
    </row>
    <row r="3253">
      <c r="A3253" t="inlineStr">
        <is>
          <t>EM003252</t>
        </is>
      </c>
      <c r="B3253" s="7" t="n">
        <v>46266</v>
      </c>
      <c r="C3253" t="inlineStr">
        <is>
          <t>CR-101</t>
        </is>
      </c>
      <c r="D3253" t="inlineStr">
        <is>
          <t>ISO 7</t>
        </is>
      </c>
      <c r="E3253" t="inlineStr">
        <is>
          <t>Compressed air</t>
        </is>
      </c>
      <c r="F3253" t="n">
        <v>0</v>
      </c>
      <c r="G3253" t="inlineStr">
        <is>
          <t>Tech B</t>
        </is>
      </c>
      <c r="H3253">
        <f>INDEX(Limits!$B$2:$B$5,MATCH(E3253,Limits!$A$2:$A$5,0))</f>
        <v/>
      </c>
      <c r="I3253">
        <f>INDEX(Limits!$C$2:$C$5,MATCH(E3253,Limits!$A$2:$A$5,0))</f>
        <v/>
      </c>
      <c r="J3253">
        <f>IF(F3253&gt;=I3253,"Action",IF(F3253&gt;=H3253,"Alert","Pass"))</f>
        <v/>
      </c>
      <c r="K3253" s="4">
        <f>DATE(YEAR(B3253),MONTH(B3253),1)</f>
        <v/>
      </c>
    </row>
    <row r="3254">
      <c r="A3254" t="inlineStr">
        <is>
          <t>EM003253</t>
        </is>
      </c>
      <c r="B3254" s="7" t="n">
        <v>46266</v>
      </c>
      <c r="C3254" t="inlineStr">
        <is>
          <t>CR-101</t>
        </is>
      </c>
      <c r="D3254" t="inlineStr">
        <is>
          <t>ISO 7</t>
        </is>
      </c>
      <c r="E3254" t="inlineStr">
        <is>
          <t>Personnel glove</t>
        </is>
      </c>
      <c r="F3254" t="n">
        <v>1</v>
      </c>
      <c r="G3254" t="inlineStr">
        <is>
          <t>Tech D</t>
        </is>
      </c>
      <c r="H3254">
        <f>INDEX(Limits!$B$2:$B$5,MATCH(E3254,Limits!$A$2:$A$5,0))</f>
        <v/>
      </c>
      <c r="I3254">
        <f>INDEX(Limits!$C$2:$C$5,MATCH(E3254,Limits!$A$2:$A$5,0))</f>
        <v/>
      </c>
      <c r="J3254">
        <f>IF(F3254&gt;=I3254,"Action",IF(F3254&gt;=H3254,"Alert","Pass"))</f>
        <v/>
      </c>
      <c r="K3254" s="4">
        <f>DATE(YEAR(B3254),MONTH(B3254),1)</f>
        <v/>
      </c>
    </row>
    <row r="3255">
      <c r="A3255" t="inlineStr">
        <is>
          <t>EM003254</t>
        </is>
      </c>
      <c r="B3255" s="7" t="n">
        <v>46266</v>
      </c>
      <c r="C3255" t="inlineStr">
        <is>
          <t>CR-102</t>
        </is>
      </c>
      <c r="D3255" t="inlineStr">
        <is>
          <t>ISO 7</t>
        </is>
      </c>
      <c r="E3255" t="inlineStr">
        <is>
          <t>Active air</t>
        </is>
      </c>
      <c r="F3255" t="n">
        <v>1</v>
      </c>
      <c r="G3255" t="inlineStr">
        <is>
          <t>Tech C</t>
        </is>
      </c>
      <c r="H3255">
        <f>INDEX(Limits!$B$2:$B$5,MATCH(E3255,Limits!$A$2:$A$5,0))</f>
        <v/>
      </c>
      <c r="I3255">
        <f>INDEX(Limits!$C$2:$C$5,MATCH(E3255,Limits!$A$2:$A$5,0))</f>
        <v/>
      </c>
      <c r="J3255">
        <f>IF(F3255&gt;=I3255,"Action",IF(F3255&gt;=H3255,"Alert","Pass"))</f>
        <v/>
      </c>
      <c r="K3255" s="4">
        <f>DATE(YEAR(B3255),MONTH(B3255),1)</f>
        <v/>
      </c>
    </row>
    <row r="3256">
      <c r="A3256" t="inlineStr">
        <is>
          <t>EM003255</t>
        </is>
      </c>
      <c r="B3256" s="7" t="n">
        <v>46266</v>
      </c>
      <c r="C3256" t="inlineStr">
        <is>
          <t>CR-102</t>
        </is>
      </c>
      <c r="D3256" t="inlineStr">
        <is>
          <t>ISO 7</t>
        </is>
      </c>
      <c r="E3256" t="inlineStr">
        <is>
          <t>Surface contact</t>
        </is>
      </c>
      <c r="F3256" t="n">
        <v>0</v>
      </c>
      <c r="G3256" t="inlineStr">
        <is>
          <t>Tech C</t>
        </is>
      </c>
      <c r="H3256">
        <f>INDEX(Limits!$B$2:$B$5,MATCH(E3256,Limits!$A$2:$A$5,0))</f>
        <v/>
      </c>
      <c r="I3256">
        <f>INDEX(Limits!$C$2:$C$5,MATCH(E3256,Limits!$A$2:$A$5,0))</f>
        <v/>
      </c>
      <c r="J3256">
        <f>IF(F3256&gt;=I3256,"Action",IF(F3256&gt;=H3256,"Alert","Pass"))</f>
        <v/>
      </c>
      <c r="K3256" s="4">
        <f>DATE(YEAR(B3256),MONTH(B3256),1)</f>
        <v/>
      </c>
    </row>
    <row r="3257">
      <c r="A3257" t="inlineStr">
        <is>
          <t>EM003256</t>
        </is>
      </c>
      <c r="B3257" s="7" t="n">
        <v>46266</v>
      </c>
      <c r="C3257" t="inlineStr">
        <is>
          <t>CR-102</t>
        </is>
      </c>
      <c r="D3257" t="inlineStr">
        <is>
          <t>ISO 7</t>
        </is>
      </c>
      <c r="E3257" t="inlineStr">
        <is>
          <t>Compressed air</t>
        </is>
      </c>
      <c r="F3257" t="n">
        <v>0</v>
      </c>
      <c r="G3257" t="inlineStr">
        <is>
          <t>Tech B</t>
        </is>
      </c>
      <c r="H3257">
        <f>INDEX(Limits!$B$2:$B$5,MATCH(E3257,Limits!$A$2:$A$5,0))</f>
        <v/>
      </c>
      <c r="I3257">
        <f>INDEX(Limits!$C$2:$C$5,MATCH(E3257,Limits!$A$2:$A$5,0))</f>
        <v/>
      </c>
      <c r="J3257">
        <f>IF(F3257&gt;=I3257,"Action",IF(F3257&gt;=H3257,"Alert","Pass"))</f>
        <v/>
      </c>
      <c r="K3257" s="4">
        <f>DATE(YEAR(B3257),MONTH(B3257),1)</f>
        <v/>
      </c>
    </row>
    <row r="3258">
      <c r="A3258" t="inlineStr">
        <is>
          <t>EM003257</t>
        </is>
      </c>
      <c r="B3258" s="7" t="n">
        <v>46266</v>
      </c>
      <c r="C3258" t="inlineStr">
        <is>
          <t>CR-102</t>
        </is>
      </c>
      <c r="D3258" t="inlineStr">
        <is>
          <t>ISO 7</t>
        </is>
      </c>
      <c r="E3258" t="inlineStr">
        <is>
          <t>Personnel glove</t>
        </is>
      </c>
      <c r="F3258" t="n">
        <v>0</v>
      </c>
      <c r="G3258" t="inlineStr">
        <is>
          <t>Tech A</t>
        </is>
      </c>
      <c r="H3258">
        <f>INDEX(Limits!$B$2:$B$5,MATCH(E3258,Limits!$A$2:$A$5,0))</f>
        <v/>
      </c>
      <c r="I3258">
        <f>INDEX(Limits!$C$2:$C$5,MATCH(E3258,Limits!$A$2:$A$5,0))</f>
        <v/>
      </c>
      <c r="J3258">
        <f>IF(F3258&gt;=I3258,"Action",IF(F3258&gt;=H3258,"Alert","Pass"))</f>
        <v/>
      </c>
      <c r="K3258" s="4">
        <f>DATE(YEAR(B3258),MONTH(B3258),1)</f>
        <v/>
      </c>
    </row>
    <row r="3259">
      <c r="A3259" t="inlineStr">
        <is>
          <t>EM003258</t>
        </is>
      </c>
      <c r="B3259" s="7" t="n">
        <v>46266</v>
      </c>
      <c r="C3259" t="inlineStr">
        <is>
          <t>CR-201</t>
        </is>
      </c>
      <c r="D3259" t="inlineStr">
        <is>
          <t>ISO 8</t>
        </is>
      </c>
      <c r="E3259" t="inlineStr">
        <is>
          <t>Active air</t>
        </is>
      </c>
      <c r="F3259" t="n">
        <v>1</v>
      </c>
      <c r="G3259" t="inlineStr">
        <is>
          <t>Tech C</t>
        </is>
      </c>
      <c r="H3259">
        <f>INDEX(Limits!$B$2:$B$5,MATCH(E3259,Limits!$A$2:$A$5,0))</f>
        <v/>
      </c>
      <c r="I3259">
        <f>INDEX(Limits!$C$2:$C$5,MATCH(E3259,Limits!$A$2:$A$5,0))</f>
        <v/>
      </c>
      <c r="J3259">
        <f>IF(F3259&gt;=I3259,"Action",IF(F3259&gt;=H3259,"Alert","Pass"))</f>
        <v/>
      </c>
      <c r="K3259" s="4">
        <f>DATE(YEAR(B3259),MONTH(B3259),1)</f>
        <v/>
      </c>
    </row>
    <row r="3260">
      <c r="A3260" t="inlineStr">
        <is>
          <t>EM003259</t>
        </is>
      </c>
      <c r="B3260" s="7" t="n">
        <v>46266</v>
      </c>
      <c r="C3260" t="inlineStr">
        <is>
          <t>CR-201</t>
        </is>
      </c>
      <c r="D3260" t="inlineStr">
        <is>
          <t>ISO 8</t>
        </is>
      </c>
      <c r="E3260" t="inlineStr">
        <is>
          <t>Surface contact</t>
        </is>
      </c>
      <c r="F3260" t="n">
        <v>1</v>
      </c>
      <c r="G3260" t="inlineStr">
        <is>
          <t>Tech C</t>
        </is>
      </c>
      <c r="H3260">
        <f>INDEX(Limits!$B$2:$B$5,MATCH(E3260,Limits!$A$2:$A$5,0))</f>
        <v/>
      </c>
      <c r="I3260">
        <f>INDEX(Limits!$C$2:$C$5,MATCH(E3260,Limits!$A$2:$A$5,0))</f>
        <v/>
      </c>
      <c r="J3260">
        <f>IF(F3260&gt;=I3260,"Action",IF(F3260&gt;=H3260,"Alert","Pass"))</f>
        <v/>
      </c>
      <c r="K3260" s="4">
        <f>DATE(YEAR(B3260),MONTH(B3260),1)</f>
        <v/>
      </c>
    </row>
    <row r="3261">
      <c r="A3261" t="inlineStr">
        <is>
          <t>EM003260</t>
        </is>
      </c>
      <c r="B3261" s="7" t="n">
        <v>46266</v>
      </c>
      <c r="C3261" t="inlineStr">
        <is>
          <t>CR-201</t>
        </is>
      </c>
      <c r="D3261" t="inlineStr">
        <is>
          <t>ISO 8</t>
        </is>
      </c>
      <c r="E3261" t="inlineStr">
        <is>
          <t>Compressed air</t>
        </is>
      </c>
      <c r="F3261" t="n">
        <v>0</v>
      </c>
      <c r="G3261" t="inlineStr">
        <is>
          <t>Tech D</t>
        </is>
      </c>
      <c r="H3261">
        <f>INDEX(Limits!$B$2:$B$5,MATCH(E3261,Limits!$A$2:$A$5,0))</f>
        <v/>
      </c>
      <c r="I3261">
        <f>INDEX(Limits!$C$2:$C$5,MATCH(E3261,Limits!$A$2:$A$5,0))</f>
        <v/>
      </c>
      <c r="J3261">
        <f>IF(F3261&gt;=I3261,"Action",IF(F3261&gt;=H3261,"Alert","Pass"))</f>
        <v/>
      </c>
      <c r="K3261" s="4">
        <f>DATE(YEAR(B3261),MONTH(B3261),1)</f>
        <v/>
      </c>
    </row>
    <row r="3262">
      <c r="A3262" t="inlineStr">
        <is>
          <t>EM003261</t>
        </is>
      </c>
      <c r="B3262" s="7" t="n">
        <v>46266</v>
      </c>
      <c r="C3262" t="inlineStr">
        <is>
          <t>CR-201</t>
        </is>
      </c>
      <c r="D3262" t="inlineStr">
        <is>
          <t>ISO 8</t>
        </is>
      </c>
      <c r="E3262" t="inlineStr">
        <is>
          <t>Personnel glove</t>
        </is>
      </c>
      <c r="F3262" t="n">
        <v>0</v>
      </c>
      <c r="G3262" t="inlineStr">
        <is>
          <t>Tech D</t>
        </is>
      </c>
      <c r="H3262">
        <f>INDEX(Limits!$B$2:$B$5,MATCH(E3262,Limits!$A$2:$A$5,0))</f>
        <v/>
      </c>
      <c r="I3262">
        <f>INDEX(Limits!$C$2:$C$5,MATCH(E3262,Limits!$A$2:$A$5,0))</f>
        <v/>
      </c>
      <c r="J3262">
        <f>IF(F3262&gt;=I3262,"Action",IF(F3262&gt;=H3262,"Alert","Pass"))</f>
        <v/>
      </c>
      <c r="K3262" s="4">
        <f>DATE(YEAR(B3262),MONTH(B3262),1)</f>
        <v/>
      </c>
    </row>
    <row r="3263">
      <c r="A3263" t="inlineStr">
        <is>
          <t>EM003262</t>
        </is>
      </c>
      <c r="B3263" s="7" t="n">
        <v>46266</v>
      </c>
      <c r="C3263" t="inlineStr">
        <is>
          <t>CR-202</t>
        </is>
      </c>
      <c r="D3263" t="inlineStr">
        <is>
          <t>ISO 8</t>
        </is>
      </c>
      <c r="E3263" t="inlineStr">
        <is>
          <t>Active air</t>
        </is>
      </c>
      <c r="F3263" t="n">
        <v>1</v>
      </c>
      <c r="G3263" t="inlineStr">
        <is>
          <t>Tech C</t>
        </is>
      </c>
      <c r="H3263">
        <f>INDEX(Limits!$B$2:$B$5,MATCH(E3263,Limits!$A$2:$A$5,0))</f>
        <v/>
      </c>
      <c r="I3263">
        <f>INDEX(Limits!$C$2:$C$5,MATCH(E3263,Limits!$A$2:$A$5,0))</f>
        <v/>
      </c>
      <c r="J3263">
        <f>IF(F3263&gt;=I3263,"Action",IF(F3263&gt;=H3263,"Alert","Pass"))</f>
        <v/>
      </c>
      <c r="K3263" s="4">
        <f>DATE(YEAR(B3263),MONTH(B3263),1)</f>
        <v/>
      </c>
    </row>
    <row r="3264">
      <c r="A3264" t="inlineStr">
        <is>
          <t>EM003263</t>
        </is>
      </c>
      <c r="B3264" s="7" t="n">
        <v>46266</v>
      </c>
      <c r="C3264" t="inlineStr">
        <is>
          <t>CR-202</t>
        </is>
      </c>
      <c r="D3264" t="inlineStr">
        <is>
          <t>ISO 8</t>
        </is>
      </c>
      <c r="E3264" t="inlineStr">
        <is>
          <t>Surface contact</t>
        </is>
      </c>
      <c r="F3264" t="n">
        <v>1</v>
      </c>
      <c r="G3264" t="inlineStr">
        <is>
          <t>Tech D</t>
        </is>
      </c>
      <c r="H3264">
        <f>INDEX(Limits!$B$2:$B$5,MATCH(E3264,Limits!$A$2:$A$5,0))</f>
        <v/>
      </c>
      <c r="I3264">
        <f>INDEX(Limits!$C$2:$C$5,MATCH(E3264,Limits!$A$2:$A$5,0))</f>
        <v/>
      </c>
      <c r="J3264">
        <f>IF(F3264&gt;=I3264,"Action",IF(F3264&gt;=H3264,"Alert","Pass"))</f>
        <v/>
      </c>
      <c r="K3264" s="4">
        <f>DATE(YEAR(B3264),MONTH(B3264),1)</f>
        <v/>
      </c>
    </row>
    <row r="3265">
      <c r="A3265" t="inlineStr">
        <is>
          <t>EM003264</t>
        </is>
      </c>
      <c r="B3265" s="7" t="n">
        <v>46266</v>
      </c>
      <c r="C3265" t="inlineStr">
        <is>
          <t>CR-202</t>
        </is>
      </c>
      <c r="D3265" t="inlineStr">
        <is>
          <t>ISO 8</t>
        </is>
      </c>
      <c r="E3265" t="inlineStr">
        <is>
          <t>Compressed air</t>
        </is>
      </c>
      <c r="F3265" t="n">
        <v>0</v>
      </c>
      <c r="G3265" t="inlineStr">
        <is>
          <t>Tech C</t>
        </is>
      </c>
      <c r="H3265">
        <f>INDEX(Limits!$B$2:$B$5,MATCH(E3265,Limits!$A$2:$A$5,0))</f>
        <v/>
      </c>
      <c r="I3265">
        <f>INDEX(Limits!$C$2:$C$5,MATCH(E3265,Limits!$A$2:$A$5,0))</f>
        <v/>
      </c>
      <c r="J3265">
        <f>IF(F3265&gt;=I3265,"Action",IF(F3265&gt;=H3265,"Alert","Pass"))</f>
        <v/>
      </c>
      <c r="K3265" s="4">
        <f>DATE(YEAR(B3265),MONTH(B3265),1)</f>
        <v/>
      </c>
    </row>
    <row r="3266">
      <c r="A3266" t="inlineStr">
        <is>
          <t>EM003265</t>
        </is>
      </c>
      <c r="B3266" s="7" t="n">
        <v>46266</v>
      </c>
      <c r="C3266" t="inlineStr">
        <is>
          <t>CR-202</t>
        </is>
      </c>
      <c r="D3266" t="inlineStr">
        <is>
          <t>ISO 8</t>
        </is>
      </c>
      <c r="E3266" t="inlineStr">
        <is>
          <t>Personnel glove</t>
        </is>
      </c>
      <c r="F3266" t="n">
        <v>0</v>
      </c>
      <c r="G3266" t="inlineStr">
        <is>
          <t>Tech A</t>
        </is>
      </c>
      <c r="H3266">
        <f>INDEX(Limits!$B$2:$B$5,MATCH(E3266,Limits!$A$2:$A$5,0))</f>
        <v/>
      </c>
      <c r="I3266">
        <f>INDEX(Limits!$C$2:$C$5,MATCH(E3266,Limits!$A$2:$A$5,0))</f>
        <v/>
      </c>
      <c r="J3266">
        <f>IF(F3266&gt;=I3266,"Action",IF(F3266&gt;=H3266,"Alert","Pass"))</f>
        <v/>
      </c>
      <c r="K3266" s="4">
        <f>DATE(YEAR(B3266),MONTH(B3266),1)</f>
        <v/>
      </c>
    </row>
    <row r="3267">
      <c r="A3267" t="inlineStr">
        <is>
          <t>EM003266</t>
        </is>
      </c>
      <c r="B3267" s="7" t="n">
        <v>46266</v>
      </c>
      <c r="C3267" t="inlineStr">
        <is>
          <t>Gowning</t>
        </is>
      </c>
      <c r="D3267" t="inlineStr">
        <is>
          <t>ISO 8</t>
        </is>
      </c>
      <c r="E3267" t="inlineStr">
        <is>
          <t>Active air</t>
        </is>
      </c>
      <c r="F3267" t="n">
        <v>4</v>
      </c>
      <c r="G3267" t="inlineStr">
        <is>
          <t>Tech B</t>
        </is>
      </c>
      <c r="H3267">
        <f>INDEX(Limits!$B$2:$B$5,MATCH(E3267,Limits!$A$2:$A$5,0))</f>
        <v/>
      </c>
      <c r="I3267">
        <f>INDEX(Limits!$C$2:$C$5,MATCH(E3267,Limits!$A$2:$A$5,0))</f>
        <v/>
      </c>
      <c r="J3267">
        <f>IF(F3267&gt;=I3267,"Action",IF(F3267&gt;=H3267,"Alert","Pass"))</f>
        <v/>
      </c>
      <c r="K3267" s="4">
        <f>DATE(YEAR(B3267),MONTH(B3267),1)</f>
        <v/>
      </c>
    </row>
    <row r="3268">
      <c r="A3268" t="inlineStr">
        <is>
          <t>EM003267</t>
        </is>
      </c>
      <c r="B3268" s="7" t="n">
        <v>46266</v>
      </c>
      <c r="C3268" t="inlineStr">
        <is>
          <t>Gowning</t>
        </is>
      </c>
      <c r="D3268" t="inlineStr">
        <is>
          <t>ISO 8</t>
        </is>
      </c>
      <c r="E3268" t="inlineStr">
        <is>
          <t>Surface contact</t>
        </is>
      </c>
      <c r="F3268" t="n">
        <v>0</v>
      </c>
      <c r="G3268" t="inlineStr">
        <is>
          <t>Tech B</t>
        </is>
      </c>
      <c r="H3268">
        <f>INDEX(Limits!$B$2:$B$5,MATCH(E3268,Limits!$A$2:$A$5,0))</f>
        <v/>
      </c>
      <c r="I3268">
        <f>INDEX(Limits!$C$2:$C$5,MATCH(E3268,Limits!$A$2:$A$5,0))</f>
        <v/>
      </c>
      <c r="J3268">
        <f>IF(F3268&gt;=I3268,"Action",IF(F3268&gt;=H3268,"Alert","Pass"))</f>
        <v/>
      </c>
      <c r="K3268" s="4">
        <f>DATE(YEAR(B3268),MONTH(B3268),1)</f>
        <v/>
      </c>
    </row>
    <row r="3269">
      <c r="A3269" t="inlineStr">
        <is>
          <t>EM003268</t>
        </is>
      </c>
      <c r="B3269" s="7" t="n">
        <v>46266</v>
      </c>
      <c r="C3269" t="inlineStr">
        <is>
          <t>Gowning</t>
        </is>
      </c>
      <c r="D3269" t="inlineStr">
        <is>
          <t>ISO 8</t>
        </is>
      </c>
      <c r="E3269" t="inlineStr">
        <is>
          <t>Personnel glove</t>
        </is>
      </c>
      <c r="F3269" t="n">
        <v>0</v>
      </c>
      <c r="G3269" t="inlineStr">
        <is>
          <t>Tech A</t>
        </is>
      </c>
      <c r="H3269">
        <f>INDEX(Limits!$B$2:$B$5,MATCH(E3269,Limits!$A$2:$A$5,0))</f>
        <v/>
      </c>
      <c r="I3269">
        <f>INDEX(Limits!$C$2:$C$5,MATCH(E3269,Limits!$A$2:$A$5,0))</f>
        <v/>
      </c>
      <c r="J3269">
        <f>IF(F3269&gt;=I3269,"Action",IF(F3269&gt;=H3269,"Alert","Pass"))</f>
        <v/>
      </c>
      <c r="K3269" s="4">
        <f>DATE(YEAR(B3269),MONTH(B3269),1)</f>
        <v/>
      </c>
    </row>
    <row r="3270">
      <c r="A3270" t="inlineStr">
        <is>
          <t>EM003269</t>
        </is>
      </c>
      <c r="B3270" s="7" t="n">
        <v>46267</v>
      </c>
      <c r="C3270" t="inlineStr">
        <is>
          <t>CR-101</t>
        </is>
      </c>
      <c r="D3270" t="inlineStr">
        <is>
          <t>ISO 7</t>
        </is>
      </c>
      <c r="E3270" t="inlineStr">
        <is>
          <t>Active air</t>
        </is>
      </c>
      <c r="F3270" t="n">
        <v>0</v>
      </c>
      <c r="G3270" t="inlineStr">
        <is>
          <t>Tech A</t>
        </is>
      </c>
      <c r="H3270">
        <f>INDEX(Limits!$B$2:$B$5,MATCH(E3270,Limits!$A$2:$A$5,0))</f>
        <v/>
      </c>
      <c r="I3270">
        <f>INDEX(Limits!$C$2:$C$5,MATCH(E3270,Limits!$A$2:$A$5,0))</f>
        <v/>
      </c>
      <c r="J3270">
        <f>IF(F3270&gt;=I3270,"Action",IF(F3270&gt;=H3270,"Alert","Pass"))</f>
        <v/>
      </c>
      <c r="K3270" s="4">
        <f>DATE(YEAR(B3270),MONTH(B3270),1)</f>
        <v/>
      </c>
    </row>
    <row r="3271">
      <c r="A3271" t="inlineStr">
        <is>
          <t>EM003270</t>
        </is>
      </c>
      <c r="B3271" s="7" t="n">
        <v>46267</v>
      </c>
      <c r="C3271" t="inlineStr">
        <is>
          <t>CR-101</t>
        </is>
      </c>
      <c r="D3271" t="inlineStr">
        <is>
          <t>ISO 7</t>
        </is>
      </c>
      <c r="E3271" t="inlineStr">
        <is>
          <t>Surface contact</t>
        </is>
      </c>
      <c r="F3271" t="n">
        <v>1</v>
      </c>
      <c r="G3271" t="inlineStr">
        <is>
          <t>Tech D</t>
        </is>
      </c>
      <c r="H3271">
        <f>INDEX(Limits!$B$2:$B$5,MATCH(E3271,Limits!$A$2:$A$5,0))</f>
        <v/>
      </c>
      <c r="I3271">
        <f>INDEX(Limits!$C$2:$C$5,MATCH(E3271,Limits!$A$2:$A$5,0))</f>
        <v/>
      </c>
      <c r="J3271">
        <f>IF(F3271&gt;=I3271,"Action",IF(F3271&gt;=H3271,"Alert","Pass"))</f>
        <v/>
      </c>
      <c r="K3271" s="4">
        <f>DATE(YEAR(B3271),MONTH(B3271),1)</f>
        <v/>
      </c>
    </row>
    <row r="3272">
      <c r="A3272" t="inlineStr">
        <is>
          <t>EM003271</t>
        </is>
      </c>
      <c r="B3272" s="7" t="n">
        <v>46267</v>
      </c>
      <c r="C3272" t="inlineStr">
        <is>
          <t>CR-101</t>
        </is>
      </c>
      <c r="D3272" t="inlineStr">
        <is>
          <t>ISO 7</t>
        </is>
      </c>
      <c r="E3272" t="inlineStr">
        <is>
          <t>Compressed air</t>
        </is>
      </c>
      <c r="F3272" t="n">
        <v>0</v>
      </c>
      <c r="G3272" t="inlineStr">
        <is>
          <t>Tech C</t>
        </is>
      </c>
      <c r="H3272">
        <f>INDEX(Limits!$B$2:$B$5,MATCH(E3272,Limits!$A$2:$A$5,0))</f>
        <v/>
      </c>
      <c r="I3272">
        <f>INDEX(Limits!$C$2:$C$5,MATCH(E3272,Limits!$A$2:$A$5,0))</f>
        <v/>
      </c>
      <c r="J3272">
        <f>IF(F3272&gt;=I3272,"Action",IF(F3272&gt;=H3272,"Alert","Pass"))</f>
        <v/>
      </c>
      <c r="K3272" s="4">
        <f>DATE(YEAR(B3272),MONTH(B3272),1)</f>
        <v/>
      </c>
    </row>
    <row r="3273">
      <c r="A3273" t="inlineStr">
        <is>
          <t>EM003272</t>
        </is>
      </c>
      <c r="B3273" s="7" t="n">
        <v>46267</v>
      </c>
      <c r="C3273" t="inlineStr">
        <is>
          <t>CR-101</t>
        </is>
      </c>
      <c r="D3273" t="inlineStr">
        <is>
          <t>ISO 7</t>
        </is>
      </c>
      <c r="E3273" t="inlineStr">
        <is>
          <t>Personnel glove</t>
        </is>
      </c>
      <c r="F3273" t="n">
        <v>0</v>
      </c>
      <c r="G3273" t="inlineStr">
        <is>
          <t>Tech A</t>
        </is>
      </c>
      <c r="H3273">
        <f>INDEX(Limits!$B$2:$B$5,MATCH(E3273,Limits!$A$2:$A$5,0))</f>
        <v/>
      </c>
      <c r="I3273">
        <f>INDEX(Limits!$C$2:$C$5,MATCH(E3273,Limits!$A$2:$A$5,0))</f>
        <v/>
      </c>
      <c r="J3273">
        <f>IF(F3273&gt;=I3273,"Action",IF(F3273&gt;=H3273,"Alert","Pass"))</f>
        <v/>
      </c>
      <c r="K3273" s="4">
        <f>DATE(YEAR(B3273),MONTH(B3273),1)</f>
        <v/>
      </c>
    </row>
    <row r="3274">
      <c r="A3274" t="inlineStr">
        <is>
          <t>EM003273</t>
        </is>
      </c>
      <c r="B3274" s="7" t="n">
        <v>46267</v>
      </c>
      <c r="C3274" t="inlineStr">
        <is>
          <t>CR-102</t>
        </is>
      </c>
      <c r="D3274" t="inlineStr">
        <is>
          <t>ISO 7</t>
        </is>
      </c>
      <c r="E3274" t="inlineStr">
        <is>
          <t>Active air</t>
        </is>
      </c>
      <c r="F3274" t="n">
        <v>2</v>
      </c>
      <c r="G3274" t="inlineStr">
        <is>
          <t>Tech D</t>
        </is>
      </c>
      <c r="H3274">
        <f>INDEX(Limits!$B$2:$B$5,MATCH(E3274,Limits!$A$2:$A$5,0))</f>
        <v/>
      </c>
      <c r="I3274">
        <f>INDEX(Limits!$C$2:$C$5,MATCH(E3274,Limits!$A$2:$A$5,0))</f>
        <v/>
      </c>
      <c r="J3274">
        <f>IF(F3274&gt;=I3274,"Action",IF(F3274&gt;=H3274,"Alert","Pass"))</f>
        <v/>
      </c>
      <c r="K3274" s="4">
        <f>DATE(YEAR(B3274),MONTH(B3274),1)</f>
        <v/>
      </c>
    </row>
    <row r="3275">
      <c r="A3275" t="inlineStr">
        <is>
          <t>EM003274</t>
        </is>
      </c>
      <c r="B3275" s="7" t="n">
        <v>46267</v>
      </c>
      <c r="C3275" t="inlineStr">
        <is>
          <t>CR-102</t>
        </is>
      </c>
      <c r="D3275" t="inlineStr">
        <is>
          <t>ISO 7</t>
        </is>
      </c>
      <c r="E3275" t="inlineStr">
        <is>
          <t>Surface contact</t>
        </is>
      </c>
      <c r="F3275" t="n">
        <v>0</v>
      </c>
      <c r="G3275" t="inlineStr">
        <is>
          <t>Tech D</t>
        </is>
      </c>
      <c r="H3275">
        <f>INDEX(Limits!$B$2:$B$5,MATCH(E3275,Limits!$A$2:$A$5,0))</f>
        <v/>
      </c>
      <c r="I3275">
        <f>INDEX(Limits!$C$2:$C$5,MATCH(E3275,Limits!$A$2:$A$5,0))</f>
        <v/>
      </c>
      <c r="J3275">
        <f>IF(F3275&gt;=I3275,"Action",IF(F3275&gt;=H3275,"Alert","Pass"))</f>
        <v/>
      </c>
      <c r="K3275" s="4">
        <f>DATE(YEAR(B3275),MONTH(B3275),1)</f>
        <v/>
      </c>
    </row>
    <row r="3276">
      <c r="A3276" t="inlineStr">
        <is>
          <t>EM003275</t>
        </is>
      </c>
      <c r="B3276" s="7" t="n">
        <v>46267</v>
      </c>
      <c r="C3276" t="inlineStr">
        <is>
          <t>CR-102</t>
        </is>
      </c>
      <c r="D3276" t="inlineStr">
        <is>
          <t>ISO 7</t>
        </is>
      </c>
      <c r="E3276" t="inlineStr">
        <is>
          <t>Compressed air</t>
        </is>
      </c>
      <c r="F3276" t="n">
        <v>0</v>
      </c>
      <c r="G3276" t="inlineStr">
        <is>
          <t>Tech B</t>
        </is>
      </c>
      <c r="H3276">
        <f>INDEX(Limits!$B$2:$B$5,MATCH(E3276,Limits!$A$2:$A$5,0))</f>
        <v/>
      </c>
      <c r="I3276">
        <f>INDEX(Limits!$C$2:$C$5,MATCH(E3276,Limits!$A$2:$A$5,0))</f>
        <v/>
      </c>
      <c r="J3276">
        <f>IF(F3276&gt;=I3276,"Action",IF(F3276&gt;=H3276,"Alert","Pass"))</f>
        <v/>
      </c>
      <c r="K3276" s="4">
        <f>DATE(YEAR(B3276),MONTH(B3276),1)</f>
        <v/>
      </c>
    </row>
    <row r="3277">
      <c r="A3277" t="inlineStr">
        <is>
          <t>EM003276</t>
        </is>
      </c>
      <c r="B3277" s="7" t="n">
        <v>46267</v>
      </c>
      <c r="C3277" t="inlineStr">
        <is>
          <t>CR-102</t>
        </is>
      </c>
      <c r="D3277" t="inlineStr">
        <is>
          <t>ISO 7</t>
        </is>
      </c>
      <c r="E3277" t="inlineStr">
        <is>
          <t>Personnel glove</t>
        </is>
      </c>
      <c r="F3277" t="n">
        <v>0</v>
      </c>
      <c r="G3277" t="inlineStr">
        <is>
          <t>Tech C</t>
        </is>
      </c>
      <c r="H3277">
        <f>INDEX(Limits!$B$2:$B$5,MATCH(E3277,Limits!$A$2:$A$5,0))</f>
        <v/>
      </c>
      <c r="I3277">
        <f>INDEX(Limits!$C$2:$C$5,MATCH(E3277,Limits!$A$2:$A$5,0))</f>
        <v/>
      </c>
      <c r="J3277">
        <f>IF(F3277&gt;=I3277,"Action",IF(F3277&gt;=H3277,"Alert","Pass"))</f>
        <v/>
      </c>
      <c r="K3277" s="4">
        <f>DATE(YEAR(B3277),MONTH(B3277),1)</f>
        <v/>
      </c>
    </row>
    <row r="3278">
      <c r="A3278" t="inlineStr">
        <is>
          <t>EM003277</t>
        </is>
      </c>
      <c r="B3278" s="7" t="n">
        <v>46267</v>
      </c>
      <c r="C3278" t="inlineStr">
        <is>
          <t>CR-201</t>
        </is>
      </c>
      <c r="D3278" t="inlineStr">
        <is>
          <t>ISO 8</t>
        </is>
      </c>
      <c r="E3278" t="inlineStr">
        <is>
          <t>Active air</t>
        </is>
      </c>
      <c r="F3278" t="n">
        <v>1</v>
      </c>
      <c r="G3278" t="inlineStr">
        <is>
          <t>Tech B</t>
        </is>
      </c>
      <c r="H3278">
        <f>INDEX(Limits!$B$2:$B$5,MATCH(E3278,Limits!$A$2:$A$5,0))</f>
        <v/>
      </c>
      <c r="I3278">
        <f>INDEX(Limits!$C$2:$C$5,MATCH(E3278,Limits!$A$2:$A$5,0))</f>
        <v/>
      </c>
      <c r="J3278">
        <f>IF(F3278&gt;=I3278,"Action",IF(F3278&gt;=H3278,"Alert","Pass"))</f>
        <v/>
      </c>
      <c r="K3278" s="4">
        <f>DATE(YEAR(B3278),MONTH(B3278),1)</f>
        <v/>
      </c>
    </row>
    <row r="3279">
      <c r="A3279" t="inlineStr">
        <is>
          <t>EM003278</t>
        </is>
      </c>
      <c r="B3279" s="7" t="n">
        <v>46267</v>
      </c>
      <c r="C3279" t="inlineStr">
        <is>
          <t>CR-201</t>
        </is>
      </c>
      <c r="D3279" t="inlineStr">
        <is>
          <t>ISO 8</t>
        </is>
      </c>
      <c r="E3279" t="inlineStr">
        <is>
          <t>Surface contact</t>
        </is>
      </c>
      <c r="F3279" t="n">
        <v>0</v>
      </c>
      <c r="G3279" t="inlineStr">
        <is>
          <t>Tech A</t>
        </is>
      </c>
      <c r="H3279">
        <f>INDEX(Limits!$B$2:$B$5,MATCH(E3279,Limits!$A$2:$A$5,0))</f>
        <v/>
      </c>
      <c r="I3279">
        <f>INDEX(Limits!$C$2:$C$5,MATCH(E3279,Limits!$A$2:$A$5,0))</f>
        <v/>
      </c>
      <c r="J3279">
        <f>IF(F3279&gt;=I3279,"Action",IF(F3279&gt;=H3279,"Alert","Pass"))</f>
        <v/>
      </c>
      <c r="K3279" s="4">
        <f>DATE(YEAR(B3279),MONTH(B3279),1)</f>
        <v/>
      </c>
    </row>
    <row r="3280">
      <c r="A3280" t="inlineStr">
        <is>
          <t>EM003279</t>
        </is>
      </c>
      <c r="B3280" s="7" t="n">
        <v>46267</v>
      </c>
      <c r="C3280" t="inlineStr">
        <is>
          <t>CR-201</t>
        </is>
      </c>
      <c r="D3280" t="inlineStr">
        <is>
          <t>ISO 8</t>
        </is>
      </c>
      <c r="E3280" t="inlineStr">
        <is>
          <t>Compressed air</t>
        </is>
      </c>
      <c r="F3280" t="n">
        <v>0</v>
      </c>
      <c r="G3280" t="inlineStr">
        <is>
          <t>Tech C</t>
        </is>
      </c>
      <c r="H3280">
        <f>INDEX(Limits!$B$2:$B$5,MATCH(E3280,Limits!$A$2:$A$5,0))</f>
        <v/>
      </c>
      <c r="I3280">
        <f>INDEX(Limits!$C$2:$C$5,MATCH(E3280,Limits!$A$2:$A$5,0))</f>
        <v/>
      </c>
      <c r="J3280">
        <f>IF(F3280&gt;=I3280,"Action",IF(F3280&gt;=H3280,"Alert","Pass"))</f>
        <v/>
      </c>
      <c r="K3280" s="4">
        <f>DATE(YEAR(B3280),MONTH(B3280),1)</f>
        <v/>
      </c>
    </row>
    <row r="3281">
      <c r="A3281" t="inlineStr">
        <is>
          <t>EM003280</t>
        </is>
      </c>
      <c r="B3281" s="7" t="n">
        <v>46267</v>
      </c>
      <c r="C3281" t="inlineStr">
        <is>
          <t>CR-201</t>
        </is>
      </c>
      <c r="D3281" t="inlineStr">
        <is>
          <t>ISO 8</t>
        </is>
      </c>
      <c r="E3281" t="inlineStr">
        <is>
          <t>Personnel glove</t>
        </is>
      </c>
      <c r="F3281" t="n">
        <v>0</v>
      </c>
      <c r="G3281" t="inlineStr">
        <is>
          <t>Tech B</t>
        </is>
      </c>
      <c r="H3281">
        <f>INDEX(Limits!$B$2:$B$5,MATCH(E3281,Limits!$A$2:$A$5,0))</f>
        <v/>
      </c>
      <c r="I3281">
        <f>INDEX(Limits!$C$2:$C$5,MATCH(E3281,Limits!$A$2:$A$5,0))</f>
        <v/>
      </c>
      <c r="J3281">
        <f>IF(F3281&gt;=I3281,"Action",IF(F3281&gt;=H3281,"Alert","Pass"))</f>
        <v/>
      </c>
      <c r="K3281" s="4">
        <f>DATE(YEAR(B3281),MONTH(B3281),1)</f>
        <v/>
      </c>
    </row>
    <row r="3282">
      <c r="A3282" t="inlineStr">
        <is>
          <t>EM003281</t>
        </is>
      </c>
      <c r="B3282" s="7" t="n">
        <v>46267</v>
      </c>
      <c r="C3282" t="inlineStr">
        <is>
          <t>CR-202</t>
        </is>
      </c>
      <c r="D3282" t="inlineStr">
        <is>
          <t>ISO 8</t>
        </is>
      </c>
      <c r="E3282" t="inlineStr">
        <is>
          <t>Active air</t>
        </is>
      </c>
      <c r="F3282" t="n">
        <v>1</v>
      </c>
      <c r="G3282" t="inlineStr">
        <is>
          <t>Tech D</t>
        </is>
      </c>
      <c r="H3282">
        <f>INDEX(Limits!$B$2:$B$5,MATCH(E3282,Limits!$A$2:$A$5,0))</f>
        <v/>
      </c>
      <c r="I3282">
        <f>INDEX(Limits!$C$2:$C$5,MATCH(E3282,Limits!$A$2:$A$5,0))</f>
        <v/>
      </c>
      <c r="J3282">
        <f>IF(F3282&gt;=I3282,"Action",IF(F3282&gt;=H3282,"Alert","Pass"))</f>
        <v/>
      </c>
      <c r="K3282" s="4">
        <f>DATE(YEAR(B3282),MONTH(B3282),1)</f>
        <v/>
      </c>
    </row>
    <row r="3283">
      <c r="A3283" t="inlineStr">
        <is>
          <t>EM003282</t>
        </is>
      </c>
      <c r="B3283" s="7" t="n">
        <v>46267</v>
      </c>
      <c r="C3283" t="inlineStr">
        <is>
          <t>CR-202</t>
        </is>
      </c>
      <c r="D3283" t="inlineStr">
        <is>
          <t>ISO 8</t>
        </is>
      </c>
      <c r="E3283" t="inlineStr">
        <is>
          <t>Surface contact</t>
        </is>
      </c>
      <c r="F3283" t="n">
        <v>2</v>
      </c>
      <c r="G3283" t="inlineStr">
        <is>
          <t>Tech A</t>
        </is>
      </c>
      <c r="H3283">
        <f>INDEX(Limits!$B$2:$B$5,MATCH(E3283,Limits!$A$2:$A$5,0))</f>
        <v/>
      </c>
      <c r="I3283">
        <f>INDEX(Limits!$C$2:$C$5,MATCH(E3283,Limits!$A$2:$A$5,0))</f>
        <v/>
      </c>
      <c r="J3283">
        <f>IF(F3283&gt;=I3283,"Action",IF(F3283&gt;=H3283,"Alert","Pass"))</f>
        <v/>
      </c>
      <c r="K3283" s="4">
        <f>DATE(YEAR(B3283),MONTH(B3283),1)</f>
        <v/>
      </c>
    </row>
    <row r="3284">
      <c r="A3284" t="inlineStr">
        <is>
          <t>EM003283</t>
        </is>
      </c>
      <c r="B3284" s="7" t="n">
        <v>46267</v>
      </c>
      <c r="C3284" t="inlineStr">
        <is>
          <t>CR-202</t>
        </is>
      </c>
      <c r="D3284" t="inlineStr">
        <is>
          <t>ISO 8</t>
        </is>
      </c>
      <c r="E3284" t="inlineStr">
        <is>
          <t>Compressed air</t>
        </is>
      </c>
      <c r="F3284" t="n">
        <v>0</v>
      </c>
      <c r="G3284" t="inlineStr">
        <is>
          <t>Tech A</t>
        </is>
      </c>
      <c r="H3284">
        <f>INDEX(Limits!$B$2:$B$5,MATCH(E3284,Limits!$A$2:$A$5,0))</f>
        <v/>
      </c>
      <c r="I3284">
        <f>INDEX(Limits!$C$2:$C$5,MATCH(E3284,Limits!$A$2:$A$5,0))</f>
        <v/>
      </c>
      <c r="J3284">
        <f>IF(F3284&gt;=I3284,"Action",IF(F3284&gt;=H3284,"Alert","Pass"))</f>
        <v/>
      </c>
      <c r="K3284" s="4">
        <f>DATE(YEAR(B3284),MONTH(B3284),1)</f>
        <v/>
      </c>
    </row>
    <row r="3285">
      <c r="A3285" t="inlineStr">
        <is>
          <t>EM003284</t>
        </is>
      </c>
      <c r="B3285" s="7" t="n">
        <v>46267</v>
      </c>
      <c r="C3285" t="inlineStr">
        <is>
          <t>CR-202</t>
        </is>
      </c>
      <c r="D3285" t="inlineStr">
        <is>
          <t>ISO 8</t>
        </is>
      </c>
      <c r="E3285" t="inlineStr">
        <is>
          <t>Personnel glove</t>
        </is>
      </c>
      <c r="F3285" t="n">
        <v>0</v>
      </c>
      <c r="G3285" t="inlineStr">
        <is>
          <t>Tech D</t>
        </is>
      </c>
      <c r="H3285">
        <f>INDEX(Limits!$B$2:$B$5,MATCH(E3285,Limits!$A$2:$A$5,0))</f>
        <v/>
      </c>
      <c r="I3285">
        <f>INDEX(Limits!$C$2:$C$5,MATCH(E3285,Limits!$A$2:$A$5,0))</f>
        <v/>
      </c>
      <c r="J3285">
        <f>IF(F3285&gt;=I3285,"Action",IF(F3285&gt;=H3285,"Alert","Pass"))</f>
        <v/>
      </c>
      <c r="K3285" s="4">
        <f>DATE(YEAR(B3285),MONTH(B3285),1)</f>
        <v/>
      </c>
    </row>
    <row r="3286">
      <c r="A3286" t="inlineStr">
        <is>
          <t>EM003285</t>
        </is>
      </c>
      <c r="B3286" s="7" t="n">
        <v>46267</v>
      </c>
      <c r="C3286" t="inlineStr">
        <is>
          <t>Gowning</t>
        </is>
      </c>
      <c r="D3286" t="inlineStr">
        <is>
          <t>ISO 8</t>
        </is>
      </c>
      <c r="E3286" t="inlineStr">
        <is>
          <t>Active air</t>
        </is>
      </c>
      <c r="F3286" t="n">
        <v>2</v>
      </c>
      <c r="G3286" t="inlineStr">
        <is>
          <t>Tech D</t>
        </is>
      </c>
      <c r="H3286">
        <f>INDEX(Limits!$B$2:$B$5,MATCH(E3286,Limits!$A$2:$A$5,0))</f>
        <v/>
      </c>
      <c r="I3286">
        <f>INDEX(Limits!$C$2:$C$5,MATCH(E3286,Limits!$A$2:$A$5,0))</f>
        <v/>
      </c>
      <c r="J3286">
        <f>IF(F3286&gt;=I3286,"Action",IF(F3286&gt;=H3286,"Alert","Pass"))</f>
        <v/>
      </c>
      <c r="K3286" s="4">
        <f>DATE(YEAR(B3286),MONTH(B3286),1)</f>
        <v/>
      </c>
    </row>
    <row r="3287">
      <c r="A3287" t="inlineStr">
        <is>
          <t>EM003286</t>
        </is>
      </c>
      <c r="B3287" s="7" t="n">
        <v>46267</v>
      </c>
      <c r="C3287" t="inlineStr">
        <is>
          <t>Gowning</t>
        </is>
      </c>
      <c r="D3287" t="inlineStr">
        <is>
          <t>ISO 8</t>
        </is>
      </c>
      <c r="E3287" t="inlineStr">
        <is>
          <t>Surface contact</t>
        </is>
      </c>
      <c r="F3287" t="n">
        <v>0</v>
      </c>
      <c r="G3287" t="inlineStr">
        <is>
          <t>Tech D</t>
        </is>
      </c>
      <c r="H3287">
        <f>INDEX(Limits!$B$2:$B$5,MATCH(E3287,Limits!$A$2:$A$5,0))</f>
        <v/>
      </c>
      <c r="I3287">
        <f>INDEX(Limits!$C$2:$C$5,MATCH(E3287,Limits!$A$2:$A$5,0))</f>
        <v/>
      </c>
      <c r="J3287">
        <f>IF(F3287&gt;=I3287,"Action",IF(F3287&gt;=H3287,"Alert","Pass"))</f>
        <v/>
      </c>
      <c r="K3287" s="4">
        <f>DATE(YEAR(B3287),MONTH(B3287),1)</f>
        <v/>
      </c>
    </row>
    <row r="3288">
      <c r="A3288" t="inlineStr">
        <is>
          <t>EM003287</t>
        </is>
      </c>
      <c r="B3288" s="7" t="n">
        <v>46267</v>
      </c>
      <c r="C3288" t="inlineStr">
        <is>
          <t>Gowning</t>
        </is>
      </c>
      <c r="D3288" t="inlineStr">
        <is>
          <t>ISO 8</t>
        </is>
      </c>
      <c r="E3288" t="inlineStr">
        <is>
          <t>Personnel glove</t>
        </is>
      </c>
      <c r="F3288" t="n">
        <v>0</v>
      </c>
      <c r="G3288" t="inlineStr">
        <is>
          <t>Tech D</t>
        </is>
      </c>
      <c r="H3288">
        <f>INDEX(Limits!$B$2:$B$5,MATCH(E3288,Limits!$A$2:$A$5,0))</f>
        <v/>
      </c>
      <c r="I3288">
        <f>INDEX(Limits!$C$2:$C$5,MATCH(E3288,Limits!$A$2:$A$5,0))</f>
        <v/>
      </c>
      <c r="J3288">
        <f>IF(F3288&gt;=I3288,"Action",IF(F3288&gt;=H3288,"Alert","Pass"))</f>
        <v/>
      </c>
      <c r="K3288" s="4">
        <f>DATE(YEAR(B3288),MONTH(B3288),1)</f>
        <v/>
      </c>
    </row>
    <row r="3289">
      <c r="A3289" t="inlineStr">
        <is>
          <t>EM003288</t>
        </is>
      </c>
      <c r="B3289" s="7" t="n">
        <v>46268</v>
      </c>
      <c r="C3289" t="inlineStr">
        <is>
          <t>CR-101</t>
        </is>
      </c>
      <c r="D3289" t="inlineStr">
        <is>
          <t>ISO 7</t>
        </is>
      </c>
      <c r="E3289" t="inlineStr">
        <is>
          <t>Active air</t>
        </is>
      </c>
      <c r="F3289" t="n">
        <v>0</v>
      </c>
      <c r="G3289" t="inlineStr">
        <is>
          <t>Tech A</t>
        </is>
      </c>
      <c r="H3289">
        <f>INDEX(Limits!$B$2:$B$5,MATCH(E3289,Limits!$A$2:$A$5,0))</f>
        <v/>
      </c>
      <c r="I3289">
        <f>INDEX(Limits!$C$2:$C$5,MATCH(E3289,Limits!$A$2:$A$5,0))</f>
        <v/>
      </c>
      <c r="J3289">
        <f>IF(F3289&gt;=I3289,"Action",IF(F3289&gt;=H3289,"Alert","Pass"))</f>
        <v/>
      </c>
      <c r="K3289" s="4">
        <f>DATE(YEAR(B3289),MONTH(B3289),1)</f>
        <v/>
      </c>
    </row>
    <row r="3290">
      <c r="A3290" t="inlineStr">
        <is>
          <t>EM003289</t>
        </is>
      </c>
      <c r="B3290" s="7" t="n">
        <v>46268</v>
      </c>
      <c r="C3290" t="inlineStr">
        <is>
          <t>CR-101</t>
        </is>
      </c>
      <c r="D3290" t="inlineStr">
        <is>
          <t>ISO 7</t>
        </is>
      </c>
      <c r="E3290" t="inlineStr">
        <is>
          <t>Surface contact</t>
        </is>
      </c>
      <c r="F3290" t="n">
        <v>1</v>
      </c>
      <c r="G3290" t="inlineStr">
        <is>
          <t>Tech C</t>
        </is>
      </c>
      <c r="H3290">
        <f>INDEX(Limits!$B$2:$B$5,MATCH(E3290,Limits!$A$2:$A$5,0))</f>
        <v/>
      </c>
      <c r="I3290">
        <f>INDEX(Limits!$C$2:$C$5,MATCH(E3290,Limits!$A$2:$A$5,0))</f>
        <v/>
      </c>
      <c r="J3290">
        <f>IF(F3290&gt;=I3290,"Action",IF(F3290&gt;=H3290,"Alert","Pass"))</f>
        <v/>
      </c>
      <c r="K3290" s="4">
        <f>DATE(YEAR(B3290),MONTH(B3290),1)</f>
        <v/>
      </c>
    </row>
    <row r="3291">
      <c r="A3291" t="inlineStr">
        <is>
          <t>EM003290</t>
        </is>
      </c>
      <c r="B3291" s="7" t="n">
        <v>46268</v>
      </c>
      <c r="C3291" t="inlineStr">
        <is>
          <t>CR-101</t>
        </is>
      </c>
      <c r="D3291" t="inlineStr">
        <is>
          <t>ISO 7</t>
        </is>
      </c>
      <c r="E3291" t="inlineStr">
        <is>
          <t>Compressed air</t>
        </is>
      </c>
      <c r="F3291" t="n">
        <v>0</v>
      </c>
      <c r="G3291" t="inlineStr">
        <is>
          <t>Tech A</t>
        </is>
      </c>
      <c r="H3291">
        <f>INDEX(Limits!$B$2:$B$5,MATCH(E3291,Limits!$A$2:$A$5,0))</f>
        <v/>
      </c>
      <c r="I3291">
        <f>INDEX(Limits!$C$2:$C$5,MATCH(E3291,Limits!$A$2:$A$5,0))</f>
        <v/>
      </c>
      <c r="J3291">
        <f>IF(F3291&gt;=I3291,"Action",IF(F3291&gt;=H3291,"Alert","Pass"))</f>
        <v/>
      </c>
      <c r="K3291" s="4">
        <f>DATE(YEAR(B3291),MONTH(B3291),1)</f>
        <v/>
      </c>
    </row>
    <row r="3292">
      <c r="A3292" t="inlineStr">
        <is>
          <t>EM003291</t>
        </is>
      </c>
      <c r="B3292" s="7" t="n">
        <v>46268</v>
      </c>
      <c r="C3292" t="inlineStr">
        <is>
          <t>CR-101</t>
        </is>
      </c>
      <c r="D3292" t="inlineStr">
        <is>
          <t>ISO 7</t>
        </is>
      </c>
      <c r="E3292" t="inlineStr">
        <is>
          <t>Personnel glove</t>
        </is>
      </c>
      <c r="F3292" t="n">
        <v>0</v>
      </c>
      <c r="G3292" t="inlineStr">
        <is>
          <t>Tech B</t>
        </is>
      </c>
      <c r="H3292">
        <f>INDEX(Limits!$B$2:$B$5,MATCH(E3292,Limits!$A$2:$A$5,0))</f>
        <v/>
      </c>
      <c r="I3292">
        <f>INDEX(Limits!$C$2:$C$5,MATCH(E3292,Limits!$A$2:$A$5,0))</f>
        <v/>
      </c>
      <c r="J3292">
        <f>IF(F3292&gt;=I3292,"Action",IF(F3292&gt;=H3292,"Alert","Pass"))</f>
        <v/>
      </c>
      <c r="K3292" s="4">
        <f>DATE(YEAR(B3292),MONTH(B3292),1)</f>
        <v/>
      </c>
    </row>
    <row r="3293">
      <c r="A3293" t="inlineStr">
        <is>
          <t>EM003292</t>
        </is>
      </c>
      <c r="B3293" s="7" t="n">
        <v>46268</v>
      </c>
      <c r="C3293" t="inlineStr">
        <is>
          <t>CR-102</t>
        </is>
      </c>
      <c r="D3293" t="inlineStr">
        <is>
          <t>ISO 7</t>
        </is>
      </c>
      <c r="E3293" t="inlineStr">
        <is>
          <t>Active air</t>
        </is>
      </c>
      <c r="F3293" t="n">
        <v>1</v>
      </c>
      <c r="G3293" t="inlineStr">
        <is>
          <t>Tech A</t>
        </is>
      </c>
      <c r="H3293">
        <f>INDEX(Limits!$B$2:$B$5,MATCH(E3293,Limits!$A$2:$A$5,0))</f>
        <v/>
      </c>
      <c r="I3293">
        <f>INDEX(Limits!$C$2:$C$5,MATCH(E3293,Limits!$A$2:$A$5,0))</f>
        <v/>
      </c>
      <c r="J3293">
        <f>IF(F3293&gt;=I3293,"Action",IF(F3293&gt;=H3293,"Alert","Pass"))</f>
        <v/>
      </c>
      <c r="K3293" s="4">
        <f>DATE(YEAR(B3293),MONTH(B3293),1)</f>
        <v/>
      </c>
    </row>
    <row r="3294">
      <c r="A3294" t="inlineStr">
        <is>
          <t>EM003293</t>
        </is>
      </c>
      <c r="B3294" s="7" t="n">
        <v>46268</v>
      </c>
      <c r="C3294" t="inlineStr">
        <is>
          <t>CR-102</t>
        </is>
      </c>
      <c r="D3294" t="inlineStr">
        <is>
          <t>ISO 7</t>
        </is>
      </c>
      <c r="E3294" t="inlineStr">
        <is>
          <t>Surface contact</t>
        </is>
      </c>
      <c r="F3294" t="n">
        <v>1</v>
      </c>
      <c r="G3294" t="inlineStr">
        <is>
          <t>Tech B</t>
        </is>
      </c>
      <c r="H3294">
        <f>INDEX(Limits!$B$2:$B$5,MATCH(E3294,Limits!$A$2:$A$5,0))</f>
        <v/>
      </c>
      <c r="I3294">
        <f>INDEX(Limits!$C$2:$C$5,MATCH(E3294,Limits!$A$2:$A$5,0))</f>
        <v/>
      </c>
      <c r="J3294">
        <f>IF(F3294&gt;=I3294,"Action",IF(F3294&gt;=H3294,"Alert","Pass"))</f>
        <v/>
      </c>
      <c r="K3294" s="4">
        <f>DATE(YEAR(B3294),MONTH(B3294),1)</f>
        <v/>
      </c>
    </row>
    <row r="3295">
      <c r="A3295" t="inlineStr">
        <is>
          <t>EM003294</t>
        </is>
      </c>
      <c r="B3295" s="7" t="n">
        <v>46268</v>
      </c>
      <c r="C3295" t="inlineStr">
        <is>
          <t>CR-102</t>
        </is>
      </c>
      <c r="D3295" t="inlineStr">
        <is>
          <t>ISO 7</t>
        </is>
      </c>
      <c r="E3295" t="inlineStr">
        <is>
          <t>Compressed air</t>
        </is>
      </c>
      <c r="F3295" t="n">
        <v>0</v>
      </c>
      <c r="G3295" t="inlineStr">
        <is>
          <t>Tech A</t>
        </is>
      </c>
      <c r="H3295">
        <f>INDEX(Limits!$B$2:$B$5,MATCH(E3295,Limits!$A$2:$A$5,0))</f>
        <v/>
      </c>
      <c r="I3295">
        <f>INDEX(Limits!$C$2:$C$5,MATCH(E3295,Limits!$A$2:$A$5,0))</f>
        <v/>
      </c>
      <c r="J3295">
        <f>IF(F3295&gt;=I3295,"Action",IF(F3295&gt;=H3295,"Alert","Pass"))</f>
        <v/>
      </c>
      <c r="K3295" s="4">
        <f>DATE(YEAR(B3295),MONTH(B3295),1)</f>
        <v/>
      </c>
    </row>
    <row r="3296">
      <c r="A3296" t="inlineStr">
        <is>
          <t>EM003295</t>
        </is>
      </c>
      <c r="B3296" s="7" t="n">
        <v>46268</v>
      </c>
      <c r="C3296" t="inlineStr">
        <is>
          <t>CR-102</t>
        </is>
      </c>
      <c r="D3296" t="inlineStr">
        <is>
          <t>ISO 7</t>
        </is>
      </c>
      <c r="E3296" t="inlineStr">
        <is>
          <t>Personnel glove</t>
        </is>
      </c>
      <c r="F3296" t="n">
        <v>0</v>
      </c>
      <c r="G3296" t="inlineStr">
        <is>
          <t>Tech A</t>
        </is>
      </c>
      <c r="H3296">
        <f>INDEX(Limits!$B$2:$B$5,MATCH(E3296,Limits!$A$2:$A$5,0))</f>
        <v/>
      </c>
      <c r="I3296">
        <f>INDEX(Limits!$C$2:$C$5,MATCH(E3296,Limits!$A$2:$A$5,0))</f>
        <v/>
      </c>
      <c r="J3296">
        <f>IF(F3296&gt;=I3296,"Action",IF(F3296&gt;=H3296,"Alert","Pass"))</f>
        <v/>
      </c>
      <c r="K3296" s="4">
        <f>DATE(YEAR(B3296),MONTH(B3296),1)</f>
        <v/>
      </c>
    </row>
    <row r="3297">
      <c r="A3297" t="inlineStr">
        <is>
          <t>EM003296</t>
        </is>
      </c>
      <c r="B3297" s="7" t="n">
        <v>46268</v>
      </c>
      <c r="C3297" t="inlineStr">
        <is>
          <t>CR-201</t>
        </is>
      </c>
      <c r="D3297" t="inlineStr">
        <is>
          <t>ISO 8</t>
        </is>
      </c>
      <c r="E3297" t="inlineStr">
        <is>
          <t>Active air</t>
        </is>
      </c>
      <c r="F3297" t="n">
        <v>2</v>
      </c>
      <c r="G3297" t="inlineStr">
        <is>
          <t>Tech D</t>
        </is>
      </c>
      <c r="H3297">
        <f>INDEX(Limits!$B$2:$B$5,MATCH(E3297,Limits!$A$2:$A$5,0))</f>
        <v/>
      </c>
      <c r="I3297">
        <f>INDEX(Limits!$C$2:$C$5,MATCH(E3297,Limits!$A$2:$A$5,0))</f>
        <v/>
      </c>
      <c r="J3297">
        <f>IF(F3297&gt;=I3297,"Action",IF(F3297&gt;=H3297,"Alert","Pass"))</f>
        <v/>
      </c>
      <c r="K3297" s="4">
        <f>DATE(YEAR(B3297),MONTH(B3297),1)</f>
        <v/>
      </c>
    </row>
    <row r="3298">
      <c r="A3298" t="inlineStr">
        <is>
          <t>EM003297</t>
        </is>
      </c>
      <c r="B3298" s="7" t="n">
        <v>46268</v>
      </c>
      <c r="C3298" t="inlineStr">
        <is>
          <t>CR-201</t>
        </is>
      </c>
      <c r="D3298" t="inlineStr">
        <is>
          <t>ISO 8</t>
        </is>
      </c>
      <c r="E3298" t="inlineStr">
        <is>
          <t>Surface contact</t>
        </is>
      </c>
      <c r="F3298" t="n">
        <v>0</v>
      </c>
      <c r="G3298" t="inlineStr">
        <is>
          <t>Tech C</t>
        </is>
      </c>
      <c r="H3298">
        <f>INDEX(Limits!$B$2:$B$5,MATCH(E3298,Limits!$A$2:$A$5,0))</f>
        <v/>
      </c>
      <c r="I3298">
        <f>INDEX(Limits!$C$2:$C$5,MATCH(E3298,Limits!$A$2:$A$5,0))</f>
        <v/>
      </c>
      <c r="J3298">
        <f>IF(F3298&gt;=I3298,"Action",IF(F3298&gt;=H3298,"Alert","Pass"))</f>
        <v/>
      </c>
      <c r="K3298" s="4">
        <f>DATE(YEAR(B3298),MONTH(B3298),1)</f>
        <v/>
      </c>
    </row>
    <row r="3299">
      <c r="A3299" t="inlineStr">
        <is>
          <t>EM003298</t>
        </is>
      </c>
      <c r="B3299" s="7" t="n">
        <v>46268</v>
      </c>
      <c r="C3299" t="inlineStr">
        <is>
          <t>CR-201</t>
        </is>
      </c>
      <c r="D3299" t="inlineStr">
        <is>
          <t>ISO 8</t>
        </is>
      </c>
      <c r="E3299" t="inlineStr">
        <is>
          <t>Compressed air</t>
        </is>
      </c>
      <c r="F3299" t="n">
        <v>0</v>
      </c>
      <c r="G3299" t="inlineStr">
        <is>
          <t>Tech B</t>
        </is>
      </c>
      <c r="H3299">
        <f>INDEX(Limits!$B$2:$B$5,MATCH(E3299,Limits!$A$2:$A$5,0))</f>
        <v/>
      </c>
      <c r="I3299">
        <f>INDEX(Limits!$C$2:$C$5,MATCH(E3299,Limits!$A$2:$A$5,0))</f>
        <v/>
      </c>
      <c r="J3299">
        <f>IF(F3299&gt;=I3299,"Action",IF(F3299&gt;=H3299,"Alert","Pass"))</f>
        <v/>
      </c>
      <c r="K3299" s="4">
        <f>DATE(YEAR(B3299),MONTH(B3299),1)</f>
        <v/>
      </c>
    </row>
    <row r="3300">
      <c r="A3300" t="inlineStr">
        <is>
          <t>EM003299</t>
        </is>
      </c>
      <c r="B3300" s="7" t="n">
        <v>46268</v>
      </c>
      <c r="C3300" t="inlineStr">
        <is>
          <t>CR-201</t>
        </is>
      </c>
      <c r="D3300" t="inlineStr">
        <is>
          <t>ISO 8</t>
        </is>
      </c>
      <c r="E3300" t="inlineStr">
        <is>
          <t>Personnel glove</t>
        </is>
      </c>
      <c r="F3300" t="n">
        <v>0</v>
      </c>
      <c r="G3300" t="inlineStr">
        <is>
          <t>Tech A</t>
        </is>
      </c>
      <c r="H3300">
        <f>INDEX(Limits!$B$2:$B$5,MATCH(E3300,Limits!$A$2:$A$5,0))</f>
        <v/>
      </c>
      <c r="I3300">
        <f>INDEX(Limits!$C$2:$C$5,MATCH(E3300,Limits!$A$2:$A$5,0))</f>
        <v/>
      </c>
      <c r="J3300">
        <f>IF(F3300&gt;=I3300,"Action",IF(F3300&gt;=H3300,"Alert","Pass"))</f>
        <v/>
      </c>
      <c r="K3300" s="4">
        <f>DATE(YEAR(B3300),MONTH(B3300),1)</f>
        <v/>
      </c>
    </row>
    <row r="3301">
      <c r="A3301" t="inlineStr">
        <is>
          <t>EM003300</t>
        </is>
      </c>
      <c r="B3301" s="7" t="n">
        <v>46268</v>
      </c>
      <c r="C3301" t="inlineStr">
        <is>
          <t>CR-202</t>
        </is>
      </c>
      <c r="D3301" t="inlineStr">
        <is>
          <t>ISO 8</t>
        </is>
      </c>
      <c r="E3301" t="inlineStr">
        <is>
          <t>Active air</t>
        </is>
      </c>
      <c r="F3301" t="n">
        <v>1</v>
      </c>
      <c r="G3301" t="inlineStr">
        <is>
          <t>Tech A</t>
        </is>
      </c>
      <c r="H3301">
        <f>INDEX(Limits!$B$2:$B$5,MATCH(E3301,Limits!$A$2:$A$5,0))</f>
        <v/>
      </c>
      <c r="I3301">
        <f>INDEX(Limits!$C$2:$C$5,MATCH(E3301,Limits!$A$2:$A$5,0))</f>
        <v/>
      </c>
      <c r="J3301">
        <f>IF(F3301&gt;=I3301,"Action",IF(F3301&gt;=H3301,"Alert","Pass"))</f>
        <v/>
      </c>
      <c r="K3301" s="4">
        <f>DATE(YEAR(B3301),MONTH(B3301),1)</f>
        <v/>
      </c>
    </row>
    <row r="3302">
      <c r="A3302" t="inlineStr">
        <is>
          <t>EM003301</t>
        </is>
      </c>
      <c r="B3302" s="7" t="n">
        <v>46268</v>
      </c>
      <c r="C3302" t="inlineStr">
        <is>
          <t>CR-202</t>
        </is>
      </c>
      <c r="D3302" t="inlineStr">
        <is>
          <t>ISO 8</t>
        </is>
      </c>
      <c r="E3302" t="inlineStr">
        <is>
          <t>Surface contact</t>
        </is>
      </c>
      <c r="F3302" t="n">
        <v>1</v>
      </c>
      <c r="G3302" t="inlineStr">
        <is>
          <t>Tech A</t>
        </is>
      </c>
      <c r="H3302">
        <f>INDEX(Limits!$B$2:$B$5,MATCH(E3302,Limits!$A$2:$A$5,0))</f>
        <v/>
      </c>
      <c r="I3302">
        <f>INDEX(Limits!$C$2:$C$5,MATCH(E3302,Limits!$A$2:$A$5,0))</f>
        <v/>
      </c>
      <c r="J3302">
        <f>IF(F3302&gt;=I3302,"Action",IF(F3302&gt;=H3302,"Alert","Pass"))</f>
        <v/>
      </c>
      <c r="K3302" s="4">
        <f>DATE(YEAR(B3302),MONTH(B3302),1)</f>
        <v/>
      </c>
    </row>
    <row r="3303">
      <c r="A3303" t="inlineStr">
        <is>
          <t>EM003302</t>
        </is>
      </c>
      <c r="B3303" s="7" t="n">
        <v>46268</v>
      </c>
      <c r="C3303" t="inlineStr">
        <is>
          <t>CR-202</t>
        </is>
      </c>
      <c r="D3303" t="inlineStr">
        <is>
          <t>ISO 8</t>
        </is>
      </c>
      <c r="E3303" t="inlineStr">
        <is>
          <t>Compressed air</t>
        </is>
      </c>
      <c r="F3303" t="n">
        <v>0</v>
      </c>
      <c r="G3303" t="inlineStr">
        <is>
          <t>Tech C</t>
        </is>
      </c>
      <c r="H3303">
        <f>INDEX(Limits!$B$2:$B$5,MATCH(E3303,Limits!$A$2:$A$5,0))</f>
        <v/>
      </c>
      <c r="I3303">
        <f>INDEX(Limits!$C$2:$C$5,MATCH(E3303,Limits!$A$2:$A$5,0))</f>
        <v/>
      </c>
      <c r="J3303">
        <f>IF(F3303&gt;=I3303,"Action",IF(F3303&gt;=H3303,"Alert","Pass"))</f>
        <v/>
      </c>
      <c r="K3303" s="4">
        <f>DATE(YEAR(B3303),MONTH(B3303),1)</f>
        <v/>
      </c>
    </row>
    <row r="3304">
      <c r="A3304" t="inlineStr">
        <is>
          <t>EM003303</t>
        </is>
      </c>
      <c r="B3304" s="7" t="n">
        <v>46268</v>
      </c>
      <c r="C3304" t="inlineStr">
        <is>
          <t>CR-202</t>
        </is>
      </c>
      <c r="D3304" t="inlineStr">
        <is>
          <t>ISO 8</t>
        </is>
      </c>
      <c r="E3304" t="inlineStr">
        <is>
          <t>Personnel glove</t>
        </is>
      </c>
      <c r="F3304" t="n">
        <v>0</v>
      </c>
      <c r="G3304" t="inlineStr">
        <is>
          <t>Tech B</t>
        </is>
      </c>
      <c r="H3304">
        <f>INDEX(Limits!$B$2:$B$5,MATCH(E3304,Limits!$A$2:$A$5,0))</f>
        <v/>
      </c>
      <c r="I3304">
        <f>INDEX(Limits!$C$2:$C$5,MATCH(E3304,Limits!$A$2:$A$5,0))</f>
        <v/>
      </c>
      <c r="J3304">
        <f>IF(F3304&gt;=I3304,"Action",IF(F3304&gt;=H3304,"Alert","Pass"))</f>
        <v/>
      </c>
      <c r="K3304" s="4">
        <f>DATE(YEAR(B3304),MONTH(B3304),1)</f>
        <v/>
      </c>
    </row>
    <row r="3305">
      <c r="A3305" t="inlineStr">
        <is>
          <t>EM003304</t>
        </is>
      </c>
      <c r="B3305" s="7" t="n">
        <v>46268</v>
      </c>
      <c r="C3305" t="inlineStr">
        <is>
          <t>Gowning</t>
        </is>
      </c>
      <c r="D3305" t="inlineStr">
        <is>
          <t>ISO 8</t>
        </is>
      </c>
      <c r="E3305" t="inlineStr">
        <is>
          <t>Active air</t>
        </is>
      </c>
      <c r="F3305" t="n">
        <v>2</v>
      </c>
      <c r="G3305" t="inlineStr">
        <is>
          <t>Tech C</t>
        </is>
      </c>
      <c r="H3305">
        <f>INDEX(Limits!$B$2:$B$5,MATCH(E3305,Limits!$A$2:$A$5,0))</f>
        <v/>
      </c>
      <c r="I3305">
        <f>INDEX(Limits!$C$2:$C$5,MATCH(E3305,Limits!$A$2:$A$5,0))</f>
        <v/>
      </c>
      <c r="J3305">
        <f>IF(F3305&gt;=I3305,"Action",IF(F3305&gt;=H3305,"Alert","Pass"))</f>
        <v/>
      </c>
      <c r="K3305" s="4">
        <f>DATE(YEAR(B3305),MONTH(B3305),1)</f>
        <v/>
      </c>
    </row>
    <row r="3306">
      <c r="A3306" t="inlineStr">
        <is>
          <t>EM003305</t>
        </is>
      </c>
      <c r="B3306" s="7" t="n">
        <v>46268</v>
      </c>
      <c r="C3306" t="inlineStr">
        <is>
          <t>Gowning</t>
        </is>
      </c>
      <c r="D3306" t="inlineStr">
        <is>
          <t>ISO 8</t>
        </is>
      </c>
      <c r="E3306" t="inlineStr">
        <is>
          <t>Surface contact</t>
        </is>
      </c>
      <c r="F3306" t="n">
        <v>2</v>
      </c>
      <c r="G3306" t="inlineStr">
        <is>
          <t>Tech C</t>
        </is>
      </c>
      <c r="H3306">
        <f>INDEX(Limits!$B$2:$B$5,MATCH(E3306,Limits!$A$2:$A$5,0))</f>
        <v/>
      </c>
      <c r="I3306">
        <f>INDEX(Limits!$C$2:$C$5,MATCH(E3306,Limits!$A$2:$A$5,0))</f>
        <v/>
      </c>
      <c r="J3306">
        <f>IF(F3306&gt;=I3306,"Action",IF(F3306&gt;=H3306,"Alert","Pass"))</f>
        <v/>
      </c>
      <c r="K3306" s="4">
        <f>DATE(YEAR(B3306),MONTH(B3306),1)</f>
        <v/>
      </c>
    </row>
    <row r="3307">
      <c r="A3307" t="inlineStr">
        <is>
          <t>EM003306</t>
        </is>
      </c>
      <c r="B3307" s="7" t="n">
        <v>46268</v>
      </c>
      <c r="C3307" t="inlineStr">
        <is>
          <t>Gowning</t>
        </is>
      </c>
      <c r="D3307" t="inlineStr">
        <is>
          <t>ISO 8</t>
        </is>
      </c>
      <c r="E3307" t="inlineStr">
        <is>
          <t>Personnel glove</t>
        </is>
      </c>
      <c r="F3307" t="n">
        <v>0</v>
      </c>
      <c r="G3307" t="inlineStr">
        <is>
          <t>Tech B</t>
        </is>
      </c>
      <c r="H3307">
        <f>INDEX(Limits!$B$2:$B$5,MATCH(E3307,Limits!$A$2:$A$5,0))</f>
        <v/>
      </c>
      <c r="I3307">
        <f>INDEX(Limits!$C$2:$C$5,MATCH(E3307,Limits!$A$2:$A$5,0))</f>
        <v/>
      </c>
      <c r="J3307">
        <f>IF(F3307&gt;=I3307,"Action",IF(F3307&gt;=H3307,"Alert","Pass"))</f>
        <v/>
      </c>
      <c r="K3307" s="4">
        <f>DATE(YEAR(B3307),MONTH(B3307),1)</f>
        <v/>
      </c>
    </row>
    <row r="3308">
      <c r="A3308" t="inlineStr">
        <is>
          <t>EM003307</t>
        </is>
      </c>
      <c r="B3308" s="7" t="n">
        <v>46269</v>
      </c>
      <c r="C3308" t="inlineStr">
        <is>
          <t>CR-101</t>
        </is>
      </c>
      <c r="D3308" t="inlineStr">
        <is>
          <t>ISO 7</t>
        </is>
      </c>
      <c r="E3308" t="inlineStr">
        <is>
          <t>Active air</t>
        </is>
      </c>
      <c r="F3308" t="n">
        <v>0</v>
      </c>
      <c r="G3308" t="inlineStr">
        <is>
          <t>Tech A</t>
        </is>
      </c>
      <c r="H3308">
        <f>INDEX(Limits!$B$2:$B$5,MATCH(E3308,Limits!$A$2:$A$5,0))</f>
        <v/>
      </c>
      <c r="I3308">
        <f>INDEX(Limits!$C$2:$C$5,MATCH(E3308,Limits!$A$2:$A$5,0))</f>
        <v/>
      </c>
      <c r="J3308">
        <f>IF(F3308&gt;=I3308,"Action",IF(F3308&gt;=H3308,"Alert","Pass"))</f>
        <v/>
      </c>
      <c r="K3308" s="4">
        <f>DATE(YEAR(B3308),MONTH(B3308),1)</f>
        <v/>
      </c>
    </row>
    <row r="3309">
      <c r="A3309" t="inlineStr">
        <is>
          <t>EM003308</t>
        </is>
      </c>
      <c r="B3309" s="7" t="n">
        <v>46269</v>
      </c>
      <c r="C3309" t="inlineStr">
        <is>
          <t>CR-101</t>
        </is>
      </c>
      <c r="D3309" t="inlineStr">
        <is>
          <t>ISO 7</t>
        </is>
      </c>
      <c r="E3309" t="inlineStr">
        <is>
          <t>Surface contact</t>
        </is>
      </c>
      <c r="F3309" t="n">
        <v>0</v>
      </c>
      <c r="G3309" t="inlineStr">
        <is>
          <t>Tech A</t>
        </is>
      </c>
      <c r="H3309">
        <f>INDEX(Limits!$B$2:$B$5,MATCH(E3309,Limits!$A$2:$A$5,0))</f>
        <v/>
      </c>
      <c r="I3309">
        <f>INDEX(Limits!$C$2:$C$5,MATCH(E3309,Limits!$A$2:$A$5,0))</f>
        <v/>
      </c>
      <c r="J3309">
        <f>IF(F3309&gt;=I3309,"Action",IF(F3309&gt;=H3309,"Alert","Pass"))</f>
        <v/>
      </c>
      <c r="K3309" s="4">
        <f>DATE(YEAR(B3309),MONTH(B3309),1)</f>
        <v/>
      </c>
    </row>
    <row r="3310">
      <c r="A3310" t="inlineStr">
        <is>
          <t>EM003309</t>
        </is>
      </c>
      <c r="B3310" s="7" t="n">
        <v>46269</v>
      </c>
      <c r="C3310" t="inlineStr">
        <is>
          <t>CR-101</t>
        </is>
      </c>
      <c r="D3310" t="inlineStr">
        <is>
          <t>ISO 7</t>
        </is>
      </c>
      <c r="E3310" t="inlineStr">
        <is>
          <t>Compressed air</t>
        </is>
      </c>
      <c r="F3310" t="n">
        <v>0</v>
      </c>
      <c r="G3310" t="inlineStr">
        <is>
          <t>Tech D</t>
        </is>
      </c>
      <c r="H3310">
        <f>INDEX(Limits!$B$2:$B$5,MATCH(E3310,Limits!$A$2:$A$5,0))</f>
        <v/>
      </c>
      <c r="I3310">
        <f>INDEX(Limits!$C$2:$C$5,MATCH(E3310,Limits!$A$2:$A$5,0))</f>
        <v/>
      </c>
      <c r="J3310">
        <f>IF(F3310&gt;=I3310,"Action",IF(F3310&gt;=H3310,"Alert","Pass"))</f>
        <v/>
      </c>
      <c r="K3310" s="4">
        <f>DATE(YEAR(B3310),MONTH(B3310),1)</f>
        <v/>
      </c>
    </row>
    <row r="3311">
      <c r="A3311" t="inlineStr">
        <is>
          <t>EM003310</t>
        </is>
      </c>
      <c r="B3311" s="7" t="n">
        <v>46269</v>
      </c>
      <c r="C3311" t="inlineStr">
        <is>
          <t>CR-101</t>
        </is>
      </c>
      <c r="D3311" t="inlineStr">
        <is>
          <t>ISO 7</t>
        </is>
      </c>
      <c r="E3311" t="inlineStr">
        <is>
          <t>Personnel glove</t>
        </is>
      </c>
      <c r="F3311" t="n">
        <v>0</v>
      </c>
      <c r="G3311" t="inlineStr">
        <is>
          <t>Tech C</t>
        </is>
      </c>
      <c r="H3311">
        <f>INDEX(Limits!$B$2:$B$5,MATCH(E3311,Limits!$A$2:$A$5,0))</f>
        <v/>
      </c>
      <c r="I3311">
        <f>INDEX(Limits!$C$2:$C$5,MATCH(E3311,Limits!$A$2:$A$5,0))</f>
        <v/>
      </c>
      <c r="J3311">
        <f>IF(F3311&gt;=I3311,"Action",IF(F3311&gt;=H3311,"Alert","Pass"))</f>
        <v/>
      </c>
      <c r="K3311" s="4">
        <f>DATE(YEAR(B3311),MONTH(B3311),1)</f>
        <v/>
      </c>
    </row>
    <row r="3312">
      <c r="A3312" t="inlineStr">
        <is>
          <t>EM003311</t>
        </is>
      </c>
      <c r="B3312" s="7" t="n">
        <v>46269</v>
      </c>
      <c r="C3312" t="inlineStr">
        <is>
          <t>CR-102</t>
        </is>
      </c>
      <c r="D3312" t="inlineStr">
        <is>
          <t>ISO 7</t>
        </is>
      </c>
      <c r="E3312" t="inlineStr">
        <is>
          <t>Active air</t>
        </is>
      </c>
      <c r="F3312" t="n">
        <v>0</v>
      </c>
      <c r="G3312" t="inlineStr">
        <is>
          <t>Tech D</t>
        </is>
      </c>
      <c r="H3312">
        <f>INDEX(Limits!$B$2:$B$5,MATCH(E3312,Limits!$A$2:$A$5,0))</f>
        <v/>
      </c>
      <c r="I3312">
        <f>INDEX(Limits!$C$2:$C$5,MATCH(E3312,Limits!$A$2:$A$5,0))</f>
        <v/>
      </c>
      <c r="J3312">
        <f>IF(F3312&gt;=I3312,"Action",IF(F3312&gt;=H3312,"Alert","Pass"))</f>
        <v/>
      </c>
      <c r="K3312" s="4">
        <f>DATE(YEAR(B3312),MONTH(B3312),1)</f>
        <v/>
      </c>
    </row>
    <row r="3313">
      <c r="A3313" t="inlineStr">
        <is>
          <t>EM003312</t>
        </is>
      </c>
      <c r="B3313" s="7" t="n">
        <v>46269</v>
      </c>
      <c r="C3313" t="inlineStr">
        <is>
          <t>CR-102</t>
        </is>
      </c>
      <c r="D3313" t="inlineStr">
        <is>
          <t>ISO 7</t>
        </is>
      </c>
      <c r="E3313" t="inlineStr">
        <is>
          <t>Surface contact</t>
        </is>
      </c>
      <c r="F3313" t="n">
        <v>0</v>
      </c>
      <c r="G3313" t="inlineStr">
        <is>
          <t>Tech C</t>
        </is>
      </c>
      <c r="H3313">
        <f>INDEX(Limits!$B$2:$B$5,MATCH(E3313,Limits!$A$2:$A$5,0))</f>
        <v/>
      </c>
      <c r="I3313">
        <f>INDEX(Limits!$C$2:$C$5,MATCH(E3313,Limits!$A$2:$A$5,0))</f>
        <v/>
      </c>
      <c r="J3313">
        <f>IF(F3313&gt;=I3313,"Action",IF(F3313&gt;=H3313,"Alert","Pass"))</f>
        <v/>
      </c>
      <c r="K3313" s="4">
        <f>DATE(YEAR(B3313),MONTH(B3313),1)</f>
        <v/>
      </c>
    </row>
    <row r="3314">
      <c r="A3314" t="inlineStr">
        <is>
          <t>EM003313</t>
        </is>
      </c>
      <c r="B3314" s="7" t="n">
        <v>46269</v>
      </c>
      <c r="C3314" t="inlineStr">
        <is>
          <t>CR-102</t>
        </is>
      </c>
      <c r="D3314" t="inlineStr">
        <is>
          <t>ISO 7</t>
        </is>
      </c>
      <c r="E3314" t="inlineStr">
        <is>
          <t>Compressed air</t>
        </is>
      </c>
      <c r="F3314" t="n">
        <v>1</v>
      </c>
      <c r="G3314" t="inlineStr">
        <is>
          <t>Tech D</t>
        </is>
      </c>
      <c r="H3314">
        <f>INDEX(Limits!$B$2:$B$5,MATCH(E3314,Limits!$A$2:$A$5,0))</f>
        <v/>
      </c>
      <c r="I3314">
        <f>INDEX(Limits!$C$2:$C$5,MATCH(E3314,Limits!$A$2:$A$5,0))</f>
        <v/>
      </c>
      <c r="J3314">
        <f>IF(F3314&gt;=I3314,"Action",IF(F3314&gt;=H3314,"Alert","Pass"))</f>
        <v/>
      </c>
      <c r="K3314" s="4">
        <f>DATE(YEAR(B3314),MONTH(B3314),1)</f>
        <v/>
      </c>
    </row>
    <row r="3315">
      <c r="A3315" t="inlineStr">
        <is>
          <t>EM003314</t>
        </is>
      </c>
      <c r="B3315" s="7" t="n">
        <v>46269</v>
      </c>
      <c r="C3315" t="inlineStr">
        <is>
          <t>CR-102</t>
        </is>
      </c>
      <c r="D3315" t="inlineStr">
        <is>
          <t>ISO 7</t>
        </is>
      </c>
      <c r="E3315" t="inlineStr">
        <is>
          <t>Personnel glove</t>
        </is>
      </c>
      <c r="F3315" t="n">
        <v>0</v>
      </c>
      <c r="G3315" t="inlineStr">
        <is>
          <t>Tech B</t>
        </is>
      </c>
      <c r="H3315">
        <f>INDEX(Limits!$B$2:$B$5,MATCH(E3315,Limits!$A$2:$A$5,0))</f>
        <v/>
      </c>
      <c r="I3315">
        <f>INDEX(Limits!$C$2:$C$5,MATCH(E3315,Limits!$A$2:$A$5,0))</f>
        <v/>
      </c>
      <c r="J3315">
        <f>IF(F3315&gt;=I3315,"Action",IF(F3315&gt;=H3315,"Alert","Pass"))</f>
        <v/>
      </c>
      <c r="K3315" s="4">
        <f>DATE(YEAR(B3315),MONTH(B3315),1)</f>
        <v/>
      </c>
    </row>
    <row r="3316">
      <c r="A3316" t="inlineStr">
        <is>
          <t>EM003315</t>
        </is>
      </c>
      <c r="B3316" s="7" t="n">
        <v>46269</v>
      </c>
      <c r="C3316" t="inlineStr">
        <is>
          <t>CR-201</t>
        </is>
      </c>
      <c r="D3316" t="inlineStr">
        <is>
          <t>ISO 8</t>
        </is>
      </c>
      <c r="E3316" t="inlineStr">
        <is>
          <t>Active air</t>
        </is>
      </c>
      <c r="F3316" t="n">
        <v>0</v>
      </c>
      <c r="G3316" t="inlineStr">
        <is>
          <t>Tech A</t>
        </is>
      </c>
      <c r="H3316">
        <f>INDEX(Limits!$B$2:$B$5,MATCH(E3316,Limits!$A$2:$A$5,0))</f>
        <v/>
      </c>
      <c r="I3316">
        <f>INDEX(Limits!$C$2:$C$5,MATCH(E3316,Limits!$A$2:$A$5,0))</f>
        <v/>
      </c>
      <c r="J3316">
        <f>IF(F3316&gt;=I3316,"Action",IF(F3316&gt;=H3316,"Alert","Pass"))</f>
        <v/>
      </c>
      <c r="K3316" s="4">
        <f>DATE(YEAR(B3316),MONTH(B3316),1)</f>
        <v/>
      </c>
    </row>
    <row r="3317">
      <c r="A3317" t="inlineStr">
        <is>
          <t>EM003316</t>
        </is>
      </c>
      <c r="B3317" s="7" t="n">
        <v>46269</v>
      </c>
      <c r="C3317" t="inlineStr">
        <is>
          <t>CR-201</t>
        </is>
      </c>
      <c r="D3317" t="inlineStr">
        <is>
          <t>ISO 8</t>
        </is>
      </c>
      <c r="E3317" t="inlineStr">
        <is>
          <t>Surface contact</t>
        </is>
      </c>
      <c r="F3317" t="n">
        <v>0</v>
      </c>
      <c r="G3317" t="inlineStr">
        <is>
          <t>Tech A</t>
        </is>
      </c>
      <c r="H3317">
        <f>INDEX(Limits!$B$2:$B$5,MATCH(E3317,Limits!$A$2:$A$5,0))</f>
        <v/>
      </c>
      <c r="I3317">
        <f>INDEX(Limits!$C$2:$C$5,MATCH(E3317,Limits!$A$2:$A$5,0))</f>
        <v/>
      </c>
      <c r="J3317">
        <f>IF(F3317&gt;=I3317,"Action",IF(F3317&gt;=H3317,"Alert","Pass"))</f>
        <v/>
      </c>
      <c r="K3317" s="4">
        <f>DATE(YEAR(B3317),MONTH(B3317),1)</f>
        <v/>
      </c>
    </row>
    <row r="3318">
      <c r="A3318" t="inlineStr">
        <is>
          <t>EM003317</t>
        </is>
      </c>
      <c r="B3318" s="7" t="n">
        <v>46269</v>
      </c>
      <c r="C3318" t="inlineStr">
        <is>
          <t>CR-201</t>
        </is>
      </c>
      <c r="D3318" t="inlineStr">
        <is>
          <t>ISO 8</t>
        </is>
      </c>
      <c r="E3318" t="inlineStr">
        <is>
          <t>Compressed air</t>
        </is>
      </c>
      <c r="F3318" t="n">
        <v>0</v>
      </c>
      <c r="G3318" t="inlineStr">
        <is>
          <t>Tech B</t>
        </is>
      </c>
      <c r="H3318">
        <f>INDEX(Limits!$B$2:$B$5,MATCH(E3318,Limits!$A$2:$A$5,0))</f>
        <v/>
      </c>
      <c r="I3318">
        <f>INDEX(Limits!$C$2:$C$5,MATCH(E3318,Limits!$A$2:$A$5,0))</f>
        <v/>
      </c>
      <c r="J3318">
        <f>IF(F3318&gt;=I3318,"Action",IF(F3318&gt;=H3318,"Alert","Pass"))</f>
        <v/>
      </c>
      <c r="K3318" s="4">
        <f>DATE(YEAR(B3318),MONTH(B3318),1)</f>
        <v/>
      </c>
    </row>
    <row r="3319">
      <c r="A3319" t="inlineStr">
        <is>
          <t>EM003318</t>
        </is>
      </c>
      <c r="B3319" s="7" t="n">
        <v>46269</v>
      </c>
      <c r="C3319" t="inlineStr">
        <is>
          <t>CR-201</t>
        </is>
      </c>
      <c r="D3319" t="inlineStr">
        <is>
          <t>ISO 8</t>
        </is>
      </c>
      <c r="E3319" t="inlineStr">
        <is>
          <t>Personnel glove</t>
        </is>
      </c>
      <c r="F3319" t="n">
        <v>0</v>
      </c>
      <c r="G3319" t="inlineStr">
        <is>
          <t>Tech B</t>
        </is>
      </c>
      <c r="H3319">
        <f>INDEX(Limits!$B$2:$B$5,MATCH(E3319,Limits!$A$2:$A$5,0))</f>
        <v/>
      </c>
      <c r="I3319">
        <f>INDEX(Limits!$C$2:$C$5,MATCH(E3319,Limits!$A$2:$A$5,0))</f>
        <v/>
      </c>
      <c r="J3319">
        <f>IF(F3319&gt;=I3319,"Action",IF(F3319&gt;=H3319,"Alert","Pass"))</f>
        <v/>
      </c>
      <c r="K3319" s="4">
        <f>DATE(YEAR(B3319),MONTH(B3319),1)</f>
        <v/>
      </c>
    </row>
    <row r="3320">
      <c r="A3320" t="inlineStr">
        <is>
          <t>EM003319</t>
        </is>
      </c>
      <c r="B3320" s="7" t="n">
        <v>46269</v>
      </c>
      <c r="C3320" t="inlineStr">
        <is>
          <t>CR-202</t>
        </is>
      </c>
      <c r="D3320" t="inlineStr">
        <is>
          <t>ISO 8</t>
        </is>
      </c>
      <c r="E3320" t="inlineStr">
        <is>
          <t>Active air</t>
        </is>
      </c>
      <c r="F3320" t="n">
        <v>0</v>
      </c>
      <c r="G3320" t="inlineStr">
        <is>
          <t>Tech D</t>
        </is>
      </c>
      <c r="H3320">
        <f>INDEX(Limits!$B$2:$B$5,MATCH(E3320,Limits!$A$2:$A$5,0))</f>
        <v/>
      </c>
      <c r="I3320">
        <f>INDEX(Limits!$C$2:$C$5,MATCH(E3320,Limits!$A$2:$A$5,0))</f>
        <v/>
      </c>
      <c r="J3320">
        <f>IF(F3320&gt;=I3320,"Action",IF(F3320&gt;=H3320,"Alert","Pass"))</f>
        <v/>
      </c>
      <c r="K3320" s="4">
        <f>DATE(YEAR(B3320),MONTH(B3320),1)</f>
        <v/>
      </c>
    </row>
    <row r="3321">
      <c r="A3321" t="inlineStr">
        <is>
          <t>EM003320</t>
        </is>
      </c>
      <c r="B3321" s="7" t="n">
        <v>46269</v>
      </c>
      <c r="C3321" t="inlineStr">
        <is>
          <t>CR-202</t>
        </is>
      </c>
      <c r="D3321" t="inlineStr">
        <is>
          <t>ISO 8</t>
        </is>
      </c>
      <c r="E3321" t="inlineStr">
        <is>
          <t>Surface contact</t>
        </is>
      </c>
      <c r="F3321" t="n">
        <v>1</v>
      </c>
      <c r="G3321" t="inlineStr">
        <is>
          <t>Tech C</t>
        </is>
      </c>
      <c r="H3321">
        <f>INDEX(Limits!$B$2:$B$5,MATCH(E3321,Limits!$A$2:$A$5,0))</f>
        <v/>
      </c>
      <c r="I3321">
        <f>INDEX(Limits!$C$2:$C$5,MATCH(E3321,Limits!$A$2:$A$5,0))</f>
        <v/>
      </c>
      <c r="J3321">
        <f>IF(F3321&gt;=I3321,"Action",IF(F3321&gt;=H3321,"Alert","Pass"))</f>
        <v/>
      </c>
      <c r="K3321" s="4">
        <f>DATE(YEAR(B3321),MONTH(B3321),1)</f>
        <v/>
      </c>
    </row>
    <row r="3322">
      <c r="A3322" t="inlineStr">
        <is>
          <t>EM003321</t>
        </is>
      </c>
      <c r="B3322" s="7" t="n">
        <v>46269</v>
      </c>
      <c r="C3322" t="inlineStr">
        <is>
          <t>CR-202</t>
        </is>
      </c>
      <c r="D3322" t="inlineStr">
        <is>
          <t>ISO 8</t>
        </is>
      </c>
      <c r="E3322" t="inlineStr">
        <is>
          <t>Compressed air</t>
        </is>
      </c>
      <c r="F3322" t="n">
        <v>0</v>
      </c>
      <c r="G3322" t="inlineStr">
        <is>
          <t>Tech B</t>
        </is>
      </c>
      <c r="H3322">
        <f>INDEX(Limits!$B$2:$B$5,MATCH(E3322,Limits!$A$2:$A$5,0))</f>
        <v/>
      </c>
      <c r="I3322">
        <f>INDEX(Limits!$C$2:$C$5,MATCH(E3322,Limits!$A$2:$A$5,0))</f>
        <v/>
      </c>
      <c r="J3322">
        <f>IF(F3322&gt;=I3322,"Action",IF(F3322&gt;=H3322,"Alert","Pass"))</f>
        <v/>
      </c>
      <c r="K3322" s="4">
        <f>DATE(YEAR(B3322),MONTH(B3322),1)</f>
        <v/>
      </c>
    </row>
    <row r="3323">
      <c r="A3323" t="inlineStr">
        <is>
          <t>EM003322</t>
        </is>
      </c>
      <c r="B3323" s="7" t="n">
        <v>46269</v>
      </c>
      <c r="C3323" t="inlineStr">
        <is>
          <t>CR-202</t>
        </is>
      </c>
      <c r="D3323" t="inlineStr">
        <is>
          <t>ISO 8</t>
        </is>
      </c>
      <c r="E3323" t="inlineStr">
        <is>
          <t>Personnel glove</t>
        </is>
      </c>
      <c r="F3323" t="n">
        <v>0</v>
      </c>
      <c r="G3323" t="inlineStr">
        <is>
          <t>Tech C</t>
        </is>
      </c>
      <c r="H3323">
        <f>INDEX(Limits!$B$2:$B$5,MATCH(E3323,Limits!$A$2:$A$5,0))</f>
        <v/>
      </c>
      <c r="I3323">
        <f>INDEX(Limits!$C$2:$C$5,MATCH(E3323,Limits!$A$2:$A$5,0))</f>
        <v/>
      </c>
      <c r="J3323">
        <f>IF(F3323&gt;=I3323,"Action",IF(F3323&gt;=H3323,"Alert","Pass"))</f>
        <v/>
      </c>
      <c r="K3323" s="4">
        <f>DATE(YEAR(B3323),MONTH(B3323),1)</f>
        <v/>
      </c>
    </row>
    <row r="3324">
      <c r="A3324" t="inlineStr">
        <is>
          <t>EM003323</t>
        </is>
      </c>
      <c r="B3324" s="7" t="n">
        <v>46269</v>
      </c>
      <c r="C3324" t="inlineStr">
        <is>
          <t>Gowning</t>
        </is>
      </c>
      <c r="D3324" t="inlineStr">
        <is>
          <t>ISO 8</t>
        </is>
      </c>
      <c r="E3324" t="inlineStr">
        <is>
          <t>Active air</t>
        </is>
      </c>
      <c r="F3324" t="n">
        <v>2</v>
      </c>
      <c r="G3324" t="inlineStr">
        <is>
          <t>Tech A</t>
        </is>
      </c>
      <c r="H3324">
        <f>INDEX(Limits!$B$2:$B$5,MATCH(E3324,Limits!$A$2:$A$5,0))</f>
        <v/>
      </c>
      <c r="I3324">
        <f>INDEX(Limits!$C$2:$C$5,MATCH(E3324,Limits!$A$2:$A$5,0))</f>
        <v/>
      </c>
      <c r="J3324">
        <f>IF(F3324&gt;=I3324,"Action",IF(F3324&gt;=H3324,"Alert","Pass"))</f>
        <v/>
      </c>
      <c r="K3324" s="4">
        <f>DATE(YEAR(B3324),MONTH(B3324),1)</f>
        <v/>
      </c>
    </row>
    <row r="3325">
      <c r="A3325" t="inlineStr">
        <is>
          <t>EM003324</t>
        </is>
      </c>
      <c r="B3325" s="7" t="n">
        <v>46269</v>
      </c>
      <c r="C3325" t="inlineStr">
        <is>
          <t>Gowning</t>
        </is>
      </c>
      <c r="D3325" t="inlineStr">
        <is>
          <t>ISO 8</t>
        </is>
      </c>
      <c r="E3325" t="inlineStr">
        <is>
          <t>Surface contact</t>
        </is>
      </c>
      <c r="F3325" t="n">
        <v>2</v>
      </c>
      <c r="G3325" t="inlineStr">
        <is>
          <t>Tech A</t>
        </is>
      </c>
      <c r="H3325">
        <f>INDEX(Limits!$B$2:$B$5,MATCH(E3325,Limits!$A$2:$A$5,0))</f>
        <v/>
      </c>
      <c r="I3325">
        <f>INDEX(Limits!$C$2:$C$5,MATCH(E3325,Limits!$A$2:$A$5,0))</f>
        <v/>
      </c>
      <c r="J3325">
        <f>IF(F3325&gt;=I3325,"Action",IF(F3325&gt;=H3325,"Alert","Pass"))</f>
        <v/>
      </c>
      <c r="K3325" s="4">
        <f>DATE(YEAR(B3325),MONTH(B3325),1)</f>
        <v/>
      </c>
    </row>
    <row r="3326">
      <c r="A3326" t="inlineStr">
        <is>
          <t>EM003325</t>
        </is>
      </c>
      <c r="B3326" s="7" t="n">
        <v>46269</v>
      </c>
      <c r="C3326" t="inlineStr">
        <is>
          <t>Gowning</t>
        </is>
      </c>
      <c r="D3326" t="inlineStr">
        <is>
          <t>ISO 8</t>
        </is>
      </c>
      <c r="E3326" t="inlineStr">
        <is>
          <t>Personnel glove</t>
        </is>
      </c>
      <c r="F3326" t="n">
        <v>0</v>
      </c>
      <c r="G3326" t="inlineStr">
        <is>
          <t>Tech D</t>
        </is>
      </c>
      <c r="H3326">
        <f>INDEX(Limits!$B$2:$B$5,MATCH(E3326,Limits!$A$2:$A$5,0))</f>
        <v/>
      </c>
      <c r="I3326">
        <f>INDEX(Limits!$C$2:$C$5,MATCH(E3326,Limits!$A$2:$A$5,0))</f>
        <v/>
      </c>
      <c r="J3326">
        <f>IF(F3326&gt;=I3326,"Action",IF(F3326&gt;=H3326,"Alert","Pass"))</f>
        <v/>
      </c>
      <c r="K3326" s="4">
        <f>DATE(YEAR(B3326),MONTH(B3326),1)</f>
        <v/>
      </c>
    </row>
    <row r="3327">
      <c r="A3327" t="inlineStr">
        <is>
          <t>EM003326</t>
        </is>
      </c>
      <c r="B3327" s="7" t="n">
        <v>46272</v>
      </c>
      <c r="C3327" t="inlineStr">
        <is>
          <t>CR-101</t>
        </is>
      </c>
      <c r="D3327" t="inlineStr">
        <is>
          <t>ISO 7</t>
        </is>
      </c>
      <c r="E3327" t="inlineStr">
        <is>
          <t>Active air</t>
        </is>
      </c>
      <c r="F3327" t="n">
        <v>0</v>
      </c>
      <c r="G3327" t="inlineStr">
        <is>
          <t>Tech A</t>
        </is>
      </c>
      <c r="H3327">
        <f>INDEX(Limits!$B$2:$B$5,MATCH(E3327,Limits!$A$2:$A$5,0))</f>
        <v/>
      </c>
      <c r="I3327">
        <f>INDEX(Limits!$C$2:$C$5,MATCH(E3327,Limits!$A$2:$A$5,0))</f>
        <v/>
      </c>
      <c r="J3327">
        <f>IF(F3327&gt;=I3327,"Action",IF(F3327&gt;=H3327,"Alert","Pass"))</f>
        <v/>
      </c>
      <c r="K3327" s="4">
        <f>DATE(YEAR(B3327),MONTH(B3327),1)</f>
        <v/>
      </c>
    </row>
    <row r="3328">
      <c r="A3328" t="inlineStr">
        <is>
          <t>EM003327</t>
        </is>
      </c>
      <c r="B3328" s="7" t="n">
        <v>46272</v>
      </c>
      <c r="C3328" t="inlineStr">
        <is>
          <t>CR-101</t>
        </is>
      </c>
      <c r="D3328" t="inlineStr">
        <is>
          <t>ISO 7</t>
        </is>
      </c>
      <c r="E3328" t="inlineStr">
        <is>
          <t>Surface contact</t>
        </is>
      </c>
      <c r="F3328" t="n">
        <v>0</v>
      </c>
      <c r="G3328" t="inlineStr">
        <is>
          <t>Tech C</t>
        </is>
      </c>
      <c r="H3328">
        <f>INDEX(Limits!$B$2:$B$5,MATCH(E3328,Limits!$A$2:$A$5,0))</f>
        <v/>
      </c>
      <c r="I3328">
        <f>INDEX(Limits!$C$2:$C$5,MATCH(E3328,Limits!$A$2:$A$5,0))</f>
        <v/>
      </c>
      <c r="J3328">
        <f>IF(F3328&gt;=I3328,"Action",IF(F3328&gt;=H3328,"Alert","Pass"))</f>
        <v/>
      </c>
      <c r="K3328" s="4">
        <f>DATE(YEAR(B3328),MONTH(B3328),1)</f>
        <v/>
      </c>
    </row>
    <row r="3329">
      <c r="A3329" t="inlineStr">
        <is>
          <t>EM003328</t>
        </is>
      </c>
      <c r="B3329" s="7" t="n">
        <v>46272</v>
      </c>
      <c r="C3329" t="inlineStr">
        <is>
          <t>CR-101</t>
        </is>
      </c>
      <c r="D3329" t="inlineStr">
        <is>
          <t>ISO 7</t>
        </is>
      </c>
      <c r="E3329" t="inlineStr">
        <is>
          <t>Compressed air</t>
        </is>
      </c>
      <c r="F3329" t="n">
        <v>0</v>
      </c>
      <c r="G3329" t="inlineStr">
        <is>
          <t>Tech B</t>
        </is>
      </c>
      <c r="H3329">
        <f>INDEX(Limits!$B$2:$B$5,MATCH(E3329,Limits!$A$2:$A$5,0))</f>
        <v/>
      </c>
      <c r="I3329">
        <f>INDEX(Limits!$C$2:$C$5,MATCH(E3329,Limits!$A$2:$A$5,0))</f>
        <v/>
      </c>
      <c r="J3329">
        <f>IF(F3329&gt;=I3329,"Action",IF(F3329&gt;=H3329,"Alert","Pass"))</f>
        <v/>
      </c>
      <c r="K3329" s="4">
        <f>DATE(YEAR(B3329),MONTH(B3329),1)</f>
        <v/>
      </c>
    </row>
    <row r="3330">
      <c r="A3330" t="inlineStr">
        <is>
          <t>EM003329</t>
        </is>
      </c>
      <c r="B3330" s="7" t="n">
        <v>46272</v>
      </c>
      <c r="C3330" t="inlineStr">
        <is>
          <t>CR-101</t>
        </is>
      </c>
      <c r="D3330" t="inlineStr">
        <is>
          <t>ISO 7</t>
        </is>
      </c>
      <c r="E3330" t="inlineStr">
        <is>
          <t>Personnel glove</t>
        </is>
      </c>
      <c r="F3330" t="n">
        <v>0</v>
      </c>
      <c r="G3330" t="inlineStr">
        <is>
          <t>Tech D</t>
        </is>
      </c>
      <c r="H3330">
        <f>INDEX(Limits!$B$2:$B$5,MATCH(E3330,Limits!$A$2:$A$5,0))</f>
        <v/>
      </c>
      <c r="I3330">
        <f>INDEX(Limits!$C$2:$C$5,MATCH(E3330,Limits!$A$2:$A$5,0))</f>
        <v/>
      </c>
      <c r="J3330">
        <f>IF(F3330&gt;=I3330,"Action",IF(F3330&gt;=H3330,"Alert","Pass"))</f>
        <v/>
      </c>
      <c r="K3330" s="4">
        <f>DATE(YEAR(B3330),MONTH(B3330),1)</f>
        <v/>
      </c>
    </row>
    <row r="3331">
      <c r="A3331" t="inlineStr">
        <is>
          <t>EM003330</t>
        </is>
      </c>
      <c r="B3331" s="7" t="n">
        <v>46272</v>
      </c>
      <c r="C3331" t="inlineStr">
        <is>
          <t>CR-102</t>
        </is>
      </c>
      <c r="D3331" t="inlineStr">
        <is>
          <t>ISO 7</t>
        </is>
      </c>
      <c r="E3331" t="inlineStr">
        <is>
          <t>Active air</t>
        </is>
      </c>
      <c r="F3331" t="n">
        <v>1</v>
      </c>
      <c r="G3331" t="inlineStr">
        <is>
          <t>Tech A</t>
        </is>
      </c>
      <c r="H3331">
        <f>INDEX(Limits!$B$2:$B$5,MATCH(E3331,Limits!$A$2:$A$5,0))</f>
        <v/>
      </c>
      <c r="I3331">
        <f>INDEX(Limits!$C$2:$C$5,MATCH(E3331,Limits!$A$2:$A$5,0))</f>
        <v/>
      </c>
      <c r="J3331">
        <f>IF(F3331&gt;=I3331,"Action",IF(F3331&gt;=H3331,"Alert","Pass"))</f>
        <v/>
      </c>
      <c r="K3331" s="4">
        <f>DATE(YEAR(B3331),MONTH(B3331),1)</f>
        <v/>
      </c>
    </row>
    <row r="3332">
      <c r="A3332" t="inlineStr">
        <is>
          <t>EM003331</t>
        </is>
      </c>
      <c r="B3332" s="7" t="n">
        <v>46272</v>
      </c>
      <c r="C3332" t="inlineStr">
        <is>
          <t>CR-102</t>
        </is>
      </c>
      <c r="D3332" t="inlineStr">
        <is>
          <t>ISO 7</t>
        </is>
      </c>
      <c r="E3332" t="inlineStr">
        <is>
          <t>Surface contact</t>
        </is>
      </c>
      <c r="F3332" t="n">
        <v>0</v>
      </c>
      <c r="G3332" t="inlineStr">
        <is>
          <t>Tech B</t>
        </is>
      </c>
      <c r="H3332">
        <f>INDEX(Limits!$B$2:$B$5,MATCH(E3332,Limits!$A$2:$A$5,0))</f>
        <v/>
      </c>
      <c r="I3332">
        <f>INDEX(Limits!$C$2:$C$5,MATCH(E3332,Limits!$A$2:$A$5,0))</f>
        <v/>
      </c>
      <c r="J3332">
        <f>IF(F3332&gt;=I3332,"Action",IF(F3332&gt;=H3332,"Alert","Pass"))</f>
        <v/>
      </c>
      <c r="K3332" s="4">
        <f>DATE(YEAR(B3332),MONTH(B3332),1)</f>
        <v/>
      </c>
    </row>
    <row r="3333">
      <c r="A3333" t="inlineStr">
        <is>
          <t>EM003332</t>
        </is>
      </c>
      <c r="B3333" s="7" t="n">
        <v>46272</v>
      </c>
      <c r="C3333" t="inlineStr">
        <is>
          <t>CR-102</t>
        </is>
      </c>
      <c r="D3333" t="inlineStr">
        <is>
          <t>ISO 7</t>
        </is>
      </c>
      <c r="E3333" t="inlineStr">
        <is>
          <t>Compressed air</t>
        </is>
      </c>
      <c r="F3333" t="n">
        <v>0</v>
      </c>
      <c r="G3333" t="inlineStr">
        <is>
          <t>Tech B</t>
        </is>
      </c>
      <c r="H3333">
        <f>INDEX(Limits!$B$2:$B$5,MATCH(E3333,Limits!$A$2:$A$5,0))</f>
        <v/>
      </c>
      <c r="I3333">
        <f>INDEX(Limits!$C$2:$C$5,MATCH(E3333,Limits!$A$2:$A$5,0))</f>
        <v/>
      </c>
      <c r="J3333">
        <f>IF(F3333&gt;=I3333,"Action",IF(F3333&gt;=H3333,"Alert","Pass"))</f>
        <v/>
      </c>
      <c r="K3333" s="4">
        <f>DATE(YEAR(B3333),MONTH(B3333),1)</f>
        <v/>
      </c>
    </row>
    <row r="3334">
      <c r="A3334" t="inlineStr">
        <is>
          <t>EM003333</t>
        </is>
      </c>
      <c r="B3334" s="7" t="n">
        <v>46272</v>
      </c>
      <c r="C3334" t="inlineStr">
        <is>
          <t>CR-102</t>
        </is>
      </c>
      <c r="D3334" t="inlineStr">
        <is>
          <t>ISO 7</t>
        </is>
      </c>
      <c r="E3334" t="inlineStr">
        <is>
          <t>Personnel glove</t>
        </is>
      </c>
      <c r="F3334" t="n">
        <v>0</v>
      </c>
      <c r="G3334" t="inlineStr">
        <is>
          <t>Tech B</t>
        </is>
      </c>
      <c r="H3334">
        <f>INDEX(Limits!$B$2:$B$5,MATCH(E3334,Limits!$A$2:$A$5,0))</f>
        <v/>
      </c>
      <c r="I3334">
        <f>INDEX(Limits!$C$2:$C$5,MATCH(E3334,Limits!$A$2:$A$5,0))</f>
        <v/>
      </c>
      <c r="J3334">
        <f>IF(F3334&gt;=I3334,"Action",IF(F3334&gt;=H3334,"Alert","Pass"))</f>
        <v/>
      </c>
      <c r="K3334" s="4">
        <f>DATE(YEAR(B3334),MONTH(B3334),1)</f>
        <v/>
      </c>
    </row>
    <row r="3335">
      <c r="A3335" t="inlineStr">
        <is>
          <t>EM003334</t>
        </is>
      </c>
      <c r="B3335" s="7" t="n">
        <v>46272</v>
      </c>
      <c r="C3335" t="inlineStr">
        <is>
          <t>CR-201</t>
        </is>
      </c>
      <c r="D3335" t="inlineStr">
        <is>
          <t>ISO 8</t>
        </is>
      </c>
      <c r="E3335" t="inlineStr">
        <is>
          <t>Active air</t>
        </is>
      </c>
      <c r="F3335" t="n">
        <v>2</v>
      </c>
      <c r="G3335" t="inlineStr">
        <is>
          <t>Tech C</t>
        </is>
      </c>
      <c r="H3335">
        <f>INDEX(Limits!$B$2:$B$5,MATCH(E3335,Limits!$A$2:$A$5,0))</f>
        <v/>
      </c>
      <c r="I3335">
        <f>INDEX(Limits!$C$2:$C$5,MATCH(E3335,Limits!$A$2:$A$5,0))</f>
        <v/>
      </c>
      <c r="J3335">
        <f>IF(F3335&gt;=I3335,"Action",IF(F3335&gt;=H3335,"Alert","Pass"))</f>
        <v/>
      </c>
      <c r="K3335" s="4">
        <f>DATE(YEAR(B3335),MONTH(B3335),1)</f>
        <v/>
      </c>
    </row>
    <row r="3336">
      <c r="A3336" t="inlineStr">
        <is>
          <t>EM003335</t>
        </is>
      </c>
      <c r="B3336" s="7" t="n">
        <v>46272</v>
      </c>
      <c r="C3336" t="inlineStr">
        <is>
          <t>CR-201</t>
        </is>
      </c>
      <c r="D3336" t="inlineStr">
        <is>
          <t>ISO 8</t>
        </is>
      </c>
      <c r="E3336" t="inlineStr">
        <is>
          <t>Surface contact</t>
        </is>
      </c>
      <c r="F3336" t="n">
        <v>1</v>
      </c>
      <c r="G3336" t="inlineStr">
        <is>
          <t>Tech D</t>
        </is>
      </c>
      <c r="H3336">
        <f>INDEX(Limits!$B$2:$B$5,MATCH(E3336,Limits!$A$2:$A$5,0))</f>
        <v/>
      </c>
      <c r="I3336">
        <f>INDEX(Limits!$C$2:$C$5,MATCH(E3336,Limits!$A$2:$A$5,0))</f>
        <v/>
      </c>
      <c r="J3336">
        <f>IF(F3336&gt;=I3336,"Action",IF(F3336&gt;=H3336,"Alert","Pass"))</f>
        <v/>
      </c>
      <c r="K3336" s="4">
        <f>DATE(YEAR(B3336),MONTH(B3336),1)</f>
        <v/>
      </c>
    </row>
    <row r="3337">
      <c r="A3337" t="inlineStr">
        <is>
          <t>EM003336</t>
        </is>
      </c>
      <c r="B3337" s="7" t="n">
        <v>46272</v>
      </c>
      <c r="C3337" t="inlineStr">
        <is>
          <t>CR-201</t>
        </is>
      </c>
      <c r="D3337" t="inlineStr">
        <is>
          <t>ISO 8</t>
        </is>
      </c>
      <c r="E3337" t="inlineStr">
        <is>
          <t>Compressed air</t>
        </is>
      </c>
      <c r="F3337" t="n">
        <v>0</v>
      </c>
      <c r="G3337" t="inlineStr">
        <is>
          <t>Tech D</t>
        </is>
      </c>
      <c r="H3337">
        <f>INDEX(Limits!$B$2:$B$5,MATCH(E3337,Limits!$A$2:$A$5,0))</f>
        <v/>
      </c>
      <c r="I3337">
        <f>INDEX(Limits!$C$2:$C$5,MATCH(E3337,Limits!$A$2:$A$5,0))</f>
        <v/>
      </c>
      <c r="J3337">
        <f>IF(F3337&gt;=I3337,"Action",IF(F3337&gt;=H3337,"Alert","Pass"))</f>
        <v/>
      </c>
      <c r="K3337" s="4">
        <f>DATE(YEAR(B3337),MONTH(B3337),1)</f>
        <v/>
      </c>
    </row>
    <row r="3338">
      <c r="A3338" t="inlineStr">
        <is>
          <t>EM003337</t>
        </is>
      </c>
      <c r="B3338" s="7" t="n">
        <v>46272</v>
      </c>
      <c r="C3338" t="inlineStr">
        <is>
          <t>CR-201</t>
        </is>
      </c>
      <c r="D3338" t="inlineStr">
        <is>
          <t>ISO 8</t>
        </is>
      </c>
      <c r="E3338" t="inlineStr">
        <is>
          <t>Personnel glove</t>
        </is>
      </c>
      <c r="F3338" t="n">
        <v>0</v>
      </c>
      <c r="G3338" t="inlineStr">
        <is>
          <t>Tech D</t>
        </is>
      </c>
      <c r="H3338">
        <f>INDEX(Limits!$B$2:$B$5,MATCH(E3338,Limits!$A$2:$A$5,0))</f>
        <v/>
      </c>
      <c r="I3338">
        <f>INDEX(Limits!$C$2:$C$5,MATCH(E3338,Limits!$A$2:$A$5,0))</f>
        <v/>
      </c>
      <c r="J3338">
        <f>IF(F3338&gt;=I3338,"Action",IF(F3338&gt;=H3338,"Alert","Pass"))</f>
        <v/>
      </c>
      <c r="K3338" s="4">
        <f>DATE(YEAR(B3338),MONTH(B3338),1)</f>
        <v/>
      </c>
    </row>
    <row r="3339">
      <c r="A3339" t="inlineStr">
        <is>
          <t>EM003338</t>
        </is>
      </c>
      <c r="B3339" s="7" t="n">
        <v>46272</v>
      </c>
      <c r="C3339" t="inlineStr">
        <is>
          <t>CR-202</t>
        </is>
      </c>
      <c r="D3339" t="inlineStr">
        <is>
          <t>ISO 8</t>
        </is>
      </c>
      <c r="E3339" t="inlineStr">
        <is>
          <t>Active air</t>
        </is>
      </c>
      <c r="F3339" t="n">
        <v>1</v>
      </c>
      <c r="G3339" t="inlineStr">
        <is>
          <t>Tech C</t>
        </is>
      </c>
      <c r="H3339">
        <f>INDEX(Limits!$B$2:$B$5,MATCH(E3339,Limits!$A$2:$A$5,0))</f>
        <v/>
      </c>
      <c r="I3339">
        <f>INDEX(Limits!$C$2:$C$5,MATCH(E3339,Limits!$A$2:$A$5,0))</f>
        <v/>
      </c>
      <c r="J3339">
        <f>IF(F3339&gt;=I3339,"Action",IF(F3339&gt;=H3339,"Alert","Pass"))</f>
        <v/>
      </c>
      <c r="K3339" s="4">
        <f>DATE(YEAR(B3339),MONTH(B3339),1)</f>
        <v/>
      </c>
    </row>
    <row r="3340">
      <c r="A3340" t="inlineStr">
        <is>
          <t>EM003339</t>
        </is>
      </c>
      <c r="B3340" s="7" t="n">
        <v>46272</v>
      </c>
      <c r="C3340" t="inlineStr">
        <is>
          <t>CR-202</t>
        </is>
      </c>
      <c r="D3340" t="inlineStr">
        <is>
          <t>ISO 8</t>
        </is>
      </c>
      <c r="E3340" t="inlineStr">
        <is>
          <t>Surface contact</t>
        </is>
      </c>
      <c r="F3340" t="n">
        <v>0</v>
      </c>
      <c r="G3340" t="inlineStr">
        <is>
          <t>Tech B</t>
        </is>
      </c>
      <c r="H3340">
        <f>INDEX(Limits!$B$2:$B$5,MATCH(E3340,Limits!$A$2:$A$5,0))</f>
        <v/>
      </c>
      <c r="I3340">
        <f>INDEX(Limits!$C$2:$C$5,MATCH(E3340,Limits!$A$2:$A$5,0))</f>
        <v/>
      </c>
      <c r="J3340">
        <f>IF(F3340&gt;=I3340,"Action",IF(F3340&gt;=H3340,"Alert","Pass"))</f>
        <v/>
      </c>
      <c r="K3340" s="4">
        <f>DATE(YEAR(B3340),MONTH(B3340),1)</f>
        <v/>
      </c>
    </row>
    <row r="3341">
      <c r="A3341" t="inlineStr">
        <is>
          <t>EM003340</t>
        </is>
      </c>
      <c r="B3341" s="7" t="n">
        <v>46272</v>
      </c>
      <c r="C3341" t="inlineStr">
        <is>
          <t>CR-202</t>
        </is>
      </c>
      <c r="D3341" t="inlineStr">
        <is>
          <t>ISO 8</t>
        </is>
      </c>
      <c r="E3341" t="inlineStr">
        <is>
          <t>Compressed air</t>
        </is>
      </c>
      <c r="F3341" t="n">
        <v>0</v>
      </c>
      <c r="G3341" t="inlineStr">
        <is>
          <t>Tech C</t>
        </is>
      </c>
      <c r="H3341">
        <f>INDEX(Limits!$B$2:$B$5,MATCH(E3341,Limits!$A$2:$A$5,0))</f>
        <v/>
      </c>
      <c r="I3341">
        <f>INDEX(Limits!$C$2:$C$5,MATCH(E3341,Limits!$A$2:$A$5,0))</f>
        <v/>
      </c>
      <c r="J3341">
        <f>IF(F3341&gt;=I3341,"Action",IF(F3341&gt;=H3341,"Alert","Pass"))</f>
        <v/>
      </c>
      <c r="K3341" s="4">
        <f>DATE(YEAR(B3341),MONTH(B3341),1)</f>
        <v/>
      </c>
    </row>
    <row r="3342">
      <c r="A3342" t="inlineStr">
        <is>
          <t>EM003341</t>
        </is>
      </c>
      <c r="B3342" s="7" t="n">
        <v>46272</v>
      </c>
      <c r="C3342" t="inlineStr">
        <is>
          <t>CR-202</t>
        </is>
      </c>
      <c r="D3342" t="inlineStr">
        <is>
          <t>ISO 8</t>
        </is>
      </c>
      <c r="E3342" t="inlineStr">
        <is>
          <t>Personnel glove</t>
        </is>
      </c>
      <c r="F3342" t="n">
        <v>0</v>
      </c>
      <c r="G3342" t="inlineStr">
        <is>
          <t>Tech A</t>
        </is>
      </c>
      <c r="H3342">
        <f>INDEX(Limits!$B$2:$B$5,MATCH(E3342,Limits!$A$2:$A$5,0))</f>
        <v/>
      </c>
      <c r="I3342">
        <f>INDEX(Limits!$C$2:$C$5,MATCH(E3342,Limits!$A$2:$A$5,0))</f>
        <v/>
      </c>
      <c r="J3342">
        <f>IF(F3342&gt;=I3342,"Action",IF(F3342&gt;=H3342,"Alert","Pass"))</f>
        <v/>
      </c>
      <c r="K3342" s="4">
        <f>DATE(YEAR(B3342),MONTH(B3342),1)</f>
        <v/>
      </c>
    </row>
    <row r="3343">
      <c r="A3343" t="inlineStr">
        <is>
          <t>EM003342</t>
        </is>
      </c>
      <c r="B3343" s="7" t="n">
        <v>46272</v>
      </c>
      <c r="C3343" t="inlineStr">
        <is>
          <t>Gowning</t>
        </is>
      </c>
      <c r="D3343" t="inlineStr">
        <is>
          <t>ISO 8</t>
        </is>
      </c>
      <c r="E3343" t="inlineStr">
        <is>
          <t>Active air</t>
        </is>
      </c>
      <c r="F3343" t="n">
        <v>4</v>
      </c>
      <c r="G3343" t="inlineStr">
        <is>
          <t>Tech D</t>
        </is>
      </c>
      <c r="H3343">
        <f>INDEX(Limits!$B$2:$B$5,MATCH(E3343,Limits!$A$2:$A$5,0))</f>
        <v/>
      </c>
      <c r="I3343">
        <f>INDEX(Limits!$C$2:$C$5,MATCH(E3343,Limits!$A$2:$A$5,0))</f>
        <v/>
      </c>
      <c r="J3343">
        <f>IF(F3343&gt;=I3343,"Action",IF(F3343&gt;=H3343,"Alert","Pass"))</f>
        <v/>
      </c>
      <c r="K3343" s="4">
        <f>DATE(YEAR(B3343),MONTH(B3343),1)</f>
        <v/>
      </c>
    </row>
    <row r="3344">
      <c r="A3344" t="inlineStr">
        <is>
          <t>EM003343</t>
        </is>
      </c>
      <c r="B3344" s="7" t="n">
        <v>46272</v>
      </c>
      <c r="C3344" t="inlineStr">
        <is>
          <t>Gowning</t>
        </is>
      </c>
      <c r="D3344" t="inlineStr">
        <is>
          <t>ISO 8</t>
        </is>
      </c>
      <c r="E3344" t="inlineStr">
        <is>
          <t>Surface contact</t>
        </is>
      </c>
      <c r="F3344" t="n">
        <v>2</v>
      </c>
      <c r="G3344" t="inlineStr">
        <is>
          <t>Tech B</t>
        </is>
      </c>
      <c r="H3344">
        <f>INDEX(Limits!$B$2:$B$5,MATCH(E3344,Limits!$A$2:$A$5,0))</f>
        <v/>
      </c>
      <c r="I3344">
        <f>INDEX(Limits!$C$2:$C$5,MATCH(E3344,Limits!$A$2:$A$5,0))</f>
        <v/>
      </c>
      <c r="J3344">
        <f>IF(F3344&gt;=I3344,"Action",IF(F3344&gt;=H3344,"Alert","Pass"))</f>
        <v/>
      </c>
      <c r="K3344" s="4">
        <f>DATE(YEAR(B3344),MONTH(B3344),1)</f>
        <v/>
      </c>
    </row>
    <row r="3345">
      <c r="A3345" t="inlineStr">
        <is>
          <t>EM003344</t>
        </is>
      </c>
      <c r="B3345" s="7" t="n">
        <v>46272</v>
      </c>
      <c r="C3345" t="inlineStr">
        <is>
          <t>Gowning</t>
        </is>
      </c>
      <c r="D3345" t="inlineStr">
        <is>
          <t>ISO 8</t>
        </is>
      </c>
      <c r="E3345" t="inlineStr">
        <is>
          <t>Personnel glove</t>
        </is>
      </c>
      <c r="F3345" t="n">
        <v>0</v>
      </c>
      <c r="G3345" t="inlineStr">
        <is>
          <t>Tech A</t>
        </is>
      </c>
      <c r="H3345">
        <f>INDEX(Limits!$B$2:$B$5,MATCH(E3345,Limits!$A$2:$A$5,0))</f>
        <v/>
      </c>
      <c r="I3345">
        <f>INDEX(Limits!$C$2:$C$5,MATCH(E3345,Limits!$A$2:$A$5,0))</f>
        <v/>
      </c>
      <c r="J3345">
        <f>IF(F3345&gt;=I3345,"Action",IF(F3345&gt;=H3345,"Alert","Pass"))</f>
        <v/>
      </c>
      <c r="K3345" s="4">
        <f>DATE(YEAR(B3345),MONTH(B3345),1)</f>
        <v/>
      </c>
    </row>
    <row r="3346">
      <c r="A3346" t="inlineStr">
        <is>
          <t>EM003345</t>
        </is>
      </c>
      <c r="B3346" s="7" t="n">
        <v>46273</v>
      </c>
      <c r="C3346" t="inlineStr">
        <is>
          <t>CR-101</t>
        </is>
      </c>
      <c r="D3346" t="inlineStr">
        <is>
          <t>ISO 7</t>
        </is>
      </c>
      <c r="E3346" t="inlineStr">
        <is>
          <t>Active air</t>
        </is>
      </c>
      <c r="F3346" t="n">
        <v>1</v>
      </c>
      <c r="G3346" t="inlineStr">
        <is>
          <t>Tech D</t>
        </is>
      </c>
      <c r="H3346">
        <f>INDEX(Limits!$B$2:$B$5,MATCH(E3346,Limits!$A$2:$A$5,0))</f>
        <v/>
      </c>
      <c r="I3346">
        <f>INDEX(Limits!$C$2:$C$5,MATCH(E3346,Limits!$A$2:$A$5,0))</f>
        <v/>
      </c>
      <c r="J3346">
        <f>IF(F3346&gt;=I3346,"Action",IF(F3346&gt;=H3346,"Alert","Pass"))</f>
        <v/>
      </c>
      <c r="K3346" s="4">
        <f>DATE(YEAR(B3346),MONTH(B3346),1)</f>
        <v/>
      </c>
    </row>
    <row r="3347">
      <c r="A3347" t="inlineStr">
        <is>
          <t>EM003346</t>
        </is>
      </c>
      <c r="B3347" s="7" t="n">
        <v>46273</v>
      </c>
      <c r="C3347" t="inlineStr">
        <is>
          <t>CR-101</t>
        </is>
      </c>
      <c r="D3347" t="inlineStr">
        <is>
          <t>ISO 7</t>
        </is>
      </c>
      <c r="E3347" t="inlineStr">
        <is>
          <t>Surface contact</t>
        </is>
      </c>
      <c r="F3347" t="n">
        <v>1</v>
      </c>
      <c r="G3347" t="inlineStr">
        <is>
          <t>Tech B</t>
        </is>
      </c>
      <c r="H3347">
        <f>INDEX(Limits!$B$2:$B$5,MATCH(E3347,Limits!$A$2:$A$5,0))</f>
        <v/>
      </c>
      <c r="I3347">
        <f>INDEX(Limits!$C$2:$C$5,MATCH(E3347,Limits!$A$2:$A$5,0))</f>
        <v/>
      </c>
      <c r="J3347">
        <f>IF(F3347&gt;=I3347,"Action",IF(F3347&gt;=H3347,"Alert","Pass"))</f>
        <v/>
      </c>
      <c r="K3347" s="4">
        <f>DATE(YEAR(B3347),MONTH(B3347),1)</f>
        <v/>
      </c>
    </row>
    <row r="3348">
      <c r="A3348" t="inlineStr">
        <is>
          <t>EM003347</t>
        </is>
      </c>
      <c r="B3348" s="7" t="n">
        <v>46273</v>
      </c>
      <c r="C3348" t="inlineStr">
        <is>
          <t>CR-101</t>
        </is>
      </c>
      <c r="D3348" t="inlineStr">
        <is>
          <t>ISO 7</t>
        </is>
      </c>
      <c r="E3348" t="inlineStr">
        <is>
          <t>Compressed air</t>
        </is>
      </c>
      <c r="F3348" t="n">
        <v>0</v>
      </c>
      <c r="G3348" t="inlineStr">
        <is>
          <t>Tech A</t>
        </is>
      </c>
      <c r="H3348">
        <f>INDEX(Limits!$B$2:$B$5,MATCH(E3348,Limits!$A$2:$A$5,0))</f>
        <v/>
      </c>
      <c r="I3348">
        <f>INDEX(Limits!$C$2:$C$5,MATCH(E3348,Limits!$A$2:$A$5,0))</f>
        <v/>
      </c>
      <c r="J3348">
        <f>IF(F3348&gt;=I3348,"Action",IF(F3348&gt;=H3348,"Alert","Pass"))</f>
        <v/>
      </c>
      <c r="K3348" s="4">
        <f>DATE(YEAR(B3348),MONTH(B3348),1)</f>
        <v/>
      </c>
    </row>
    <row r="3349">
      <c r="A3349" t="inlineStr">
        <is>
          <t>EM003348</t>
        </is>
      </c>
      <c r="B3349" s="7" t="n">
        <v>46273</v>
      </c>
      <c r="C3349" t="inlineStr">
        <is>
          <t>CR-101</t>
        </is>
      </c>
      <c r="D3349" t="inlineStr">
        <is>
          <t>ISO 7</t>
        </is>
      </c>
      <c r="E3349" t="inlineStr">
        <is>
          <t>Personnel glove</t>
        </is>
      </c>
      <c r="F3349" t="n">
        <v>0</v>
      </c>
      <c r="G3349" t="inlineStr">
        <is>
          <t>Tech B</t>
        </is>
      </c>
      <c r="H3349">
        <f>INDEX(Limits!$B$2:$B$5,MATCH(E3349,Limits!$A$2:$A$5,0))</f>
        <v/>
      </c>
      <c r="I3349">
        <f>INDEX(Limits!$C$2:$C$5,MATCH(E3349,Limits!$A$2:$A$5,0))</f>
        <v/>
      </c>
      <c r="J3349">
        <f>IF(F3349&gt;=I3349,"Action",IF(F3349&gt;=H3349,"Alert","Pass"))</f>
        <v/>
      </c>
      <c r="K3349" s="4">
        <f>DATE(YEAR(B3349),MONTH(B3349),1)</f>
        <v/>
      </c>
    </row>
    <row r="3350">
      <c r="A3350" t="inlineStr">
        <is>
          <t>EM003349</t>
        </is>
      </c>
      <c r="B3350" s="7" t="n">
        <v>46273</v>
      </c>
      <c r="C3350" t="inlineStr">
        <is>
          <t>CR-102</t>
        </is>
      </c>
      <c r="D3350" t="inlineStr">
        <is>
          <t>ISO 7</t>
        </is>
      </c>
      <c r="E3350" t="inlineStr">
        <is>
          <t>Active air</t>
        </is>
      </c>
      <c r="F3350" t="n">
        <v>1</v>
      </c>
      <c r="G3350" t="inlineStr">
        <is>
          <t>Tech B</t>
        </is>
      </c>
      <c r="H3350">
        <f>INDEX(Limits!$B$2:$B$5,MATCH(E3350,Limits!$A$2:$A$5,0))</f>
        <v/>
      </c>
      <c r="I3350">
        <f>INDEX(Limits!$C$2:$C$5,MATCH(E3350,Limits!$A$2:$A$5,0))</f>
        <v/>
      </c>
      <c r="J3350">
        <f>IF(F3350&gt;=I3350,"Action",IF(F3350&gt;=H3350,"Alert","Pass"))</f>
        <v/>
      </c>
      <c r="K3350" s="4">
        <f>DATE(YEAR(B3350),MONTH(B3350),1)</f>
        <v/>
      </c>
    </row>
    <row r="3351">
      <c r="A3351" t="inlineStr">
        <is>
          <t>EM003350</t>
        </is>
      </c>
      <c r="B3351" s="7" t="n">
        <v>46273</v>
      </c>
      <c r="C3351" t="inlineStr">
        <is>
          <t>CR-102</t>
        </is>
      </c>
      <c r="D3351" t="inlineStr">
        <is>
          <t>ISO 7</t>
        </is>
      </c>
      <c r="E3351" t="inlineStr">
        <is>
          <t>Surface contact</t>
        </is>
      </c>
      <c r="F3351" t="n">
        <v>1</v>
      </c>
      <c r="G3351" t="inlineStr">
        <is>
          <t>Tech C</t>
        </is>
      </c>
      <c r="H3351">
        <f>INDEX(Limits!$B$2:$B$5,MATCH(E3351,Limits!$A$2:$A$5,0))</f>
        <v/>
      </c>
      <c r="I3351">
        <f>INDEX(Limits!$C$2:$C$5,MATCH(E3351,Limits!$A$2:$A$5,0))</f>
        <v/>
      </c>
      <c r="J3351">
        <f>IF(F3351&gt;=I3351,"Action",IF(F3351&gt;=H3351,"Alert","Pass"))</f>
        <v/>
      </c>
      <c r="K3351" s="4">
        <f>DATE(YEAR(B3351),MONTH(B3351),1)</f>
        <v/>
      </c>
    </row>
    <row r="3352">
      <c r="A3352" t="inlineStr">
        <is>
          <t>EM003351</t>
        </is>
      </c>
      <c r="B3352" s="7" t="n">
        <v>46273</v>
      </c>
      <c r="C3352" t="inlineStr">
        <is>
          <t>CR-102</t>
        </is>
      </c>
      <c r="D3352" t="inlineStr">
        <is>
          <t>ISO 7</t>
        </is>
      </c>
      <c r="E3352" t="inlineStr">
        <is>
          <t>Compressed air</t>
        </is>
      </c>
      <c r="F3352" t="n">
        <v>0</v>
      </c>
      <c r="G3352" t="inlineStr">
        <is>
          <t>Tech A</t>
        </is>
      </c>
      <c r="H3352">
        <f>INDEX(Limits!$B$2:$B$5,MATCH(E3352,Limits!$A$2:$A$5,0))</f>
        <v/>
      </c>
      <c r="I3352">
        <f>INDEX(Limits!$C$2:$C$5,MATCH(E3352,Limits!$A$2:$A$5,0))</f>
        <v/>
      </c>
      <c r="J3352">
        <f>IF(F3352&gt;=I3352,"Action",IF(F3352&gt;=H3352,"Alert","Pass"))</f>
        <v/>
      </c>
      <c r="K3352" s="4">
        <f>DATE(YEAR(B3352),MONTH(B3352),1)</f>
        <v/>
      </c>
    </row>
    <row r="3353">
      <c r="A3353" t="inlineStr">
        <is>
          <t>EM003352</t>
        </is>
      </c>
      <c r="B3353" s="7" t="n">
        <v>46273</v>
      </c>
      <c r="C3353" t="inlineStr">
        <is>
          <t>CR-102</t>
        </is>
      </c>
      <c r="D3353" t="inlineStr">
        <is>
          <t>ISO 7</t>
        </is>
      </c>
      <c r="E3353" t="inlineStr">
        <is>
          <t>Personnel glove</t>
        </is>
      </c>
      <c r="F3353" t="n">
        <v>0</v>
      </c>
      <c r="G3353" t="inlineStr">
        <is>
          <t>Tech A</t>
        </is>
      </c>
      <c r="H3353">
        <f>INDEX(Limits!$B$2:$B$5,MATCH(E3353,Limits!$A$2:$A$5,0))</f>
        <v/>
      </c>
      <c r="I3353">
        <f>INDEX(Limits!$C$2:$C$5,MATCH(E3353,Limits!$A$2:$A$5,0))</f>
        <v/>
      </c>
      <c r="J3353">
        <f>IF(F3353&gt;=I3353,"Action",IF(F3353&gt;=H3353,"Alert","Pass"))</f>
        <v/>
      </c>
      <c r="K3353" s="4">
        <f>DATE(YEAR(B3353),MONTH(B3353),1)</f>
        <v/>
      </c>
    </row>
    <row r="3354">
      <c r="A3354" t="inlineStr">
        <is>
          <t>EM003353</t>
        </is>
      </c>
      <c r="B3354" s="7" t="n">
        <v>46273</v>
      </c>
      <c r="C3354" t="inlineStr">
        <is>
          <t>CR-201</t>
        </is>
      </c>
      <c r="D3354" t="inlineStr">
        <is>
          <t>ISO 8</t>
        </is>
      </c>
      <c r="E3354" t="inlineStr">
        <is>
          <t>Active air</t>
        </is>
      </c>
      <c r="F3354" t="n">
        <v>3</v>
      </c>
      <c r="G3354" t="inlineStr">
        <is>
          <t>Tech B</t>
        </is>
      </c>
      <c r="H3354">
        <f>INDEX(Limits!$B$2:$B$5,MATCH(E3354,Limits!$A$2:$A$5,0))</f>
        <v/>
      </c>
      <c r="I3354">
        <f>INDEX(Limits!$C$2:$C$5,MATCH(E3354,Limits!$A$2:$A$5,0))</f>
        <v/>
      </c>
      <c r="J3354">
        <f>IF(F3354&gt;=I3354,"Action",IF(F3354&gt;=H3354,"Alert","Pass"))</f>
        <v/>
      </c>
      <c r="K3354" s="4">
        <f>DATE(YEAR(B3354),MONTH(B3354),1)</f>
        <v/>
      </c>
    </row>
    <row r="3355">
      <c r="A3355" t="inlineStr">
        <is>
          <t>EM003354</t>
        </is>
      </c>
      <c r="B3355" s="7" t="n">
        <v>46273</v>
      </c>
      <c r="C3355" t="inlineStr">
        <is>
          <t>CR-201</t>
        </is>
      </c>
      <c r="D3355" t="inlineStr">
        <is>
          <t>ISO 8</t>
        </is>
      </c>
      <c r="E3355" t="inlineStr">
        <is>
          <t>Surface contact</t>
        </is>
      </c>
      <c r="F3355" t="n">
        <v>0</v>
      </c>
      <c r="G3355" t="inlineStr">
        <is>
          <t>Tech C</t>
        </is>
      </c>
      <c r="H3355">
        <f>INDEX(Limits!$B$2:$B$5,MATCH(E3355,Limits!$A$2:$A$5,0))</f>
        <v/>
      </c>
      <c r="I3355">
        <f>INDEX(Limits!$C$2:$C$5,MATCH(E3355,Limits!$A$2:$A$5,0))</f>
        <v/>
      </c>
      <c r="J3355">
        <f>IF(F3355&gt;=I3355,"Action",IF(F3355&gt;=H3355,"Alert","Pass"))</f>
        <v/>
      </c>
      <c r="K3355" s="4">
        <f>DATE(YEAR(B3355),MONTH(B3355),1)</f>
        <v/>
      </c>
    </row>
    <row r="3356">
      <c r="A3356" t="inlineStr">
        <is>
          <t>EM003355</t>
        </is>
      </c>
      <c r="B3356" s="7" t="n">
        <v>46273</v>
      </c>
      <c r="C3356" t="inlineStr">
        <is>
          <t>CR-201</t>
        </is>
      </c>
      <c r="D3356" t="inlineStr">
        <is>
          <t>ISO 8</t>
        </is>
      </c>
      <c r="E3356" t="inlineStr">
        <is>
          <t>Compressed air</t>
        </is>
      </c>
      <c r="F3356" t="n">
        <v>0</v>
      </c>
      <c r="G3356" t="inlineStr">
        <is>
          <t>Tech C</t>
        </is>
      </c>
      <c r="H3356">
        <f>INDEX(Limits!$B$2:$B$5,MATCH(E3356,Limits!$A$2:$A$5,0))</f>
        <v/>
      </c>
      <c r="I3356">
        <f>INDEX(Limits!$C$2:$C$5,MATCH(E3356,Limits!$A$2:$A$5,0))</f>
        <v/>
      </c>
      <c r="J3356">
        <f>IF(F3356&gt;=I3356,"Action",IF(F3356&gt;=H3356,"Alert","Pass"))</f>
        <v/>
      </c>
      <c r="K3356" s="4">
        <f>DATE(YEAR(B3356),MONTH(B3356),1)</f>
        <v/>
      </c>
    </row>
    <row r="3357">
      <c r="A3357" t="inlineStr">
        <is>
          <t>EM003356</t>
        </is>
      </c>
      <c r="B3357" s="7" t="n">
        <v>46273</v>
      </c>
      <c r="C3357" t="inlineStr">
        <is>
          <t>CR-201</t>
        </is>
      </c>
      <c r="D3357" t="inlineStr">
        <is>
          <t>ISO 8</t>
        </is>
      </c>
      <c r="E3357" t="inlineStr">
        <is>
          <t>Personnel glove</t>
        </is>
      </c>
      <c r="F3357" t="n">
        <v>0</v>
      </c>
      <c r="G3357" t="inlineStr">
        <is>
          <t>Tech A</t>
        </is>
      </c>
      <c r="H3357">
        <f>INDEX(Limits!$B$2:$B$5,MATCH(E3357,Limits!$A$2:$A$5,0))</f>
        <v/>
      </c>
      <c r="I3357">
        <f>INDEX(Limits!$C$2:$C$5,MATCH(E3357,Limits!$A$2:$A$5,0))</f>
        <v/>
      </c>
      <c r="J3357">
        <f>IF(F3357&gt;=I3357,"Action",IF(F3357&gt;=H3357,"Alert","Pass"))</f>
        <v/>
      </c>
      <c r="K3357" s="4">
        <f>DATE(YEAR(B3357),MONTH(B3357),1)</f>
        <v/>
      </c>
    </row>
    <row r="3358">
      <c r="A3358" t="inlineStr">
        <is>
          <t>EM003357</t>
        </is>
      </c>
      <c r="B3358" s="7" t="n">
        <v>46273</v>
      </c>
      <c r="C3358" t="inlineStr">
        <is>
          <t>CR-202</t>
        </is>
      </c>
      <c r="D3358" t="inlineStr">
        <is>
          <t>ISO 8</t>
        </is>
      </c>
      <c r="E3358" t="inlineStr">
        <is>
          <t>Active air</t>
        </is>
      </c>
      <c r="F3358" t="n">
        <v>2</v>
      </c>
      <c r="G3358" t="inlineStr">
        <is>
          <t>Tech B</t>
        </is>
      </c>
      <c r="H3358">
        <f>INDEX(Limits!$B$2:$B$5,MATCH(E3358,Limits!$A$2:$A$5,0))</f>
        <v/>
      </c>
      <c r="I3358">
        <f>INDEX(Limits!$C$2:$C$5,MATCH(E3358,Limits!$A$2:$A$5,0))</f>
        <v/>
      </c>
      <c r="J3358">
        <f>IF(F3358&gt;=I3358,"Action",IF(F3358&gt;=H3358,"Alert","Pass"))</f>
        <v/>
      </c>
      <c r="K3358" s="4">
        <f>DATE(YEAR(B3358),MONTH(B3358),1)</f>
        <v/>
      </c>
    </row>
    <row r="3359">
      <c r="A3359" t="inlineStr">
        <is>
          <t>EM003358</t>
        </is>
      </c>
      <c r="B3359" s="7" t="n">
        <v>46273</v>
      </c>
      <c r="C3359" t="inlineStr">
        <is>
          <t>CR-202</t>
        </is>
      </c>
      <c r="D3359" t="inlineStr">
        <is>
          <t>ISO 8</t>
        </is>
      </c>
      <c r="E3359" t="inlineStr">
        <is>
          <t>Surface contact</t>
        </is>
      </c>
      <c r="F3359" t="n">
        <v>1</v>
      </c>
      <c r="G3359" t="inlineStr">
        <is>
          <t>Tech A</t>
        </is>
      </c>
      <c r="H3359">
        <f>INDEX(Limits!$B$2:$B$5,MATCH(E3359,Limits!$A$2:$A$5,0))</f>
        <v/>
      </c>
      <c r="I3359">
        <f>INDEX(Limits!$C$2:$C$5,MATCH(E3359,Limits!$A$2:$A$5,0))</f>
        <v/>
      </c>
      <c r="J3359">
        <f>IF(F3359&gt;=I3359,"Action",IF(F3359&gt;=H3359,"Alert","Pass"))</f>
        <v/>
      </c>
      <c r="K3359" s="4">
        <f>DATE(YEAR(B3359),MONTH(B3359),1)</f>
        <v/>
      </c>
    </row>
    <row r="3360">
      <c r="A3360" t="inlineStr">
        <is>
          <t>EM003359</t>
        </is>
      </c>
      <c r="B3360" s="7" t="n">
        <v>46273</v>
      </c>
      <c r="C3360" t="inlineStr">
        <is>
          <t>CR-202</t>
        </is>
      </c>
      <c r="D3360" t="inlineStr">
        <is>
          <t>ISO 8</t>
        </is>
      </c>
      <c r="E3360" t="inlineStr">
        <is>
          <t>Compressed air</t>
        </is>
      </c>
      <c r="F3360" t="n">
        <v>0</v>
      </c>
      <c r="G3360" t="inlineStr">
        <is>
          <t>Tech D</t>
        </is>
      </c>
      <c r="H3360">
        <f>INDEX(Limits!$B$2:$B$5,MATCH(E3360,Limits!$A$2:$A$5,0))</f>
        <v/>
      </c>
      <c r="I3360">
        <f>INDEX(Limits!$C$2:$C$5,MATCH(E3360,Limits!$A$2:$A$5,0))</f>
        <v/>
      </c>
      <c r="J3360">
        <f>IF(F3360&gt;=I3360,"Action",IF(F3360&gt;=H3360,"Alert","Pass"))</f>
        <v/>
      </c>
      <c r="K3360" s="4">
        <f>DATE(YEAR(B3360),MONTH(B3360),1)</f>
        <v/>
      </c>
    </row>
    <row r="3361">
      <c r="A3361" t="inlineStr">
        <is>
          <t>EM003360</t>
        </is>
      </c>
      <c r="B3361" s="7" t="n">
        <v>46273</v>
      </c>
      <c r="C3361" t="inlineStr">
        <is>
          <t>CR-202</t>
        </is>
      </c>
      <c r="D3361" t="inlineStr">
        <is>
          <t>ISO 8</t>
        </is>
      </c>
      <c r="E3361" t="inlineStr">
        <is>
          <t>Personnel glove</t>
        </is>
      </c>
      <c r="F3361" t="n">
        <v>0</v>
      </c>
      <c r="G3361" t="inlineStr">
        <is>
          <t>Tech A</t>
        </is>
      </c>
      <c r="H3361">
        <f>INDEX(Limits!$B$2:$B$5,MATCH(E3361,Limits!$A$2:$A$5,0))</f>
        <v/>
      </c>
      <c r="I3361">
        <f>INDEX(Limits!$C$2:$C$5,MATCH(E3361,Limits!$A$2:$A$5,0))</f>
        <v/>
      </c>
      <c r="J3361">
        <f>IF(F3361&gt;=I3361,"Action",IF(F3361&gt;=H3361,"Alert","Pass"))</f>
        <v/>
      </c>
      <c r="K3361" s="4">
        <f>DATE(YEAR(B3361),MONTH(B3361),1)</f>
        <v/>
      </c>
    </row>
    <row r="3362">
      <c r="A3362" t="inlineStr">
        <is>
          <t>EM003361</t>
        </is>
      </c>
      <c r="B3362" s="7" t="n">
        <v>46273</v>
      </c>
      <c r="C3362" t="inlineStr">
        <is>
          <t>Gowning</t>
        </is>
      </c>
      <c r="D3362" t="inlineStr">
        <is>
          <t>ISO 8</t>
        </is>
      </c>
      <c r="E3362" t="inlineStr">
        <is>
          <t>Active air</t>
        </is>
      </c>
      <c r="F3362" t="n">
        <v>1</v>
      </c>
      <c r="G3362" t="inlineStr">
        <is>
          <t>Tech A</t>
        </is>
      </c>
      <c r="H3362">
        <f>INDEX(Limits!$B$2:$B$5,MATCH(E3362,Limits!$A$2:$A$5,0))</f>
        <v/>
      </c>
      <c r="I3362">
        <f>INDEX(Limits!$C$2:$C$5,MATCH(E3362,Limits!$A$2:$A$5,0))</f>
        <v/>
      </c>
      <c r="J3362">
        <f>IF(F3362&gt;=I3362,"Action",IF(F3362&gt;=H3362,"Alert","Pass"))</f>
        <v/>
      </c>
      <c r="K3362" s="4">
        <f>DATE(YEAR(B3362),MONTH(B3362),1)</f>
        <v/>
      </c>
    </row>
    <row r="3363">
      <c r="A3363" t="inlineStr">
        <is>
          <t>EM003362</t>
        </is>
      </c>
      <c r="B3363" s="7" t="n">
        <v>46273</v>
      </c>
      <c r="C3363" t="inlineStr">
        <is>
          <t>Gowning</t>
        </is>
      </c>
      <c r="D3363" t="inlineStr">
        <is>
          <t>ISO 8</t>
        </is>
      </c>
      <c r="E3363" t="inlineStr">
        <is>
          <t>Surface contact</t>
        </is>
      </c>
      <c r="F3363" t="n">
        <v>1</v>
      </c>
      <c r="G3363" t="inlineStr">
        <is>
          <t>Tech B</t>
        </is>
      </c>
      <c r="H3363">
        <f>INDEX(Limits!$B$2:$B$5,MATCH(E3363,Limits!$A$2:$A$5,0))</f>
        <v/>
      </c>
      <c r="I3363">
        <f>INDEX(Limits!$C$2:$C$5,MATCH(E3363,Limits!$A$2:$A$5,0))</f>
        <v/>
      </c>
      <c r="J3363">
        <f>IF(F3363&gt;=I3363,"Action",IF(F3363&gt;=H3363,"Alert","Pass"))</f>
        <v/>
      </c>
      <c r="K3363" s="4">
        <f>DATE(YEAR(B3363),MONTH(B3363),1)</f>
        <v/>
      </c>
    </row>
    <row r="3364">
      <c r="A3364" t="inlineStr">
        <is>
          <t>EM003363</t>
        </is>
      </c>
      <c r="B3364" s="7" t="n">
        <v>46273</v>
      </c>
      <c r="C3364" t="inlineStr">
        <is>
          <t>Gowning</t>
        </is>
      </c>
      <c r="D3364" t="inlineStr">
        <is>
          <t>ISO 8</t>
        </is>
      </c>
      <c r="E3364" t="inlineStr">
        <is>
          <t>Personnel glove</t>
        </is>
      </c>
      <c r="F3364" t="n">
        <v>0</v>
      </c>
      <c r="G3364" t="inlineStr">
        <is>
          <t>Tech C</t>
        </is>
      </c>
      <c r="H3364">
        <f>INDEX(Limits!$B$2:$B$5,MATCH(E3364,Limits!$A$2:$A$5,0))</f>
        <v/>
      </c>
      <c r="I3364">
        <f>INDEX(Limits!$C$2:$C$5,MATCH(E3364,Limits!$A$2:$A$5,0))</f>
        <v/>
      </c>
      <c r="J3364">
        <f>IF(F3364&gt;=I3364,"Action",IF(F3364&gt;=H3364,"Alert","Pass"))</f>
        <v/>
      </c>
      <c r="K3364" s="4">
        <f>DATE(YEAR(B3364),MONTH(B3364),1)</f>
        <v/>
      </c>
    </row>
    <row r="3365">
      <c r="A3365" t="inlineStr">
        <is>
          <t>EM003364</t>
        </is>
      </c>
      <c r="B3365" s="7" t="n">
        <v>46274</v>
      </c>
      <c r="C3365" t="inlineStr">
        <is>
          <t>CR-101</t>
        </is>
      </c>
      <c r="D3365" t="inlineStr">
        <is>
          <t>ISO 7</t>
        </is>
      </c>
      <c r="E3365" t="inlineStr">
        <is>
          <t>Active air</t>
        </is>
      </c>
      <c r="F3365" t="n">
        <v>0</v>
      </c>
      <c r="G3365" t="inlineStr">
        <is>
          <t>Tech A</t>
        </is>
      </c>
      <c r="H3365">
        <f>INDEX(Limits!$B$2:$B$5,MATCH(E3365,Limits!$A$2:$A$5,0))</f>
        <v/>
      </c>
      <c r="I3365">
        <f>INDEX(Limits!$C$2:$C$5,MATCH(E3365,Limits!$A$2:$A$5,0))</f>
        <v/>
      </c>
      <c r="J3365">
        <f>IF(F3365&gt;=I3365,"Action",IF(F3365&gt;=H3365,"Alert","Pass"))</f>
        <v/>
      </c>
      <c r="K3365" s="4">
        <f>DATE(YEAR(B3365),MONTH(B3365),1)</f>
        <v/>
      </c>
    </row>
    <row r="3366">
      <c r="A3366" t="inlineStr">
        <is>
          <t>EM003365</t>
        </is>
      </c>
      <c r="B3366" s="7" t="n">
        <v>46274</v>
      </c>
      <c r="C3366" t="inlineStr">
        <is>
          <t>CR-101</t>
        </is>
      </c>
      <c r="D3366" t="inlineStr">
        <is>
          <t>ISO 7</t>
        </is>
      </c>
      <c r="E3366" t="inlineStr">
        <is>
          <t>Surface contact</t>
        </is>
      </c>
      <c r="F3366" t="n">
        <v>0</v>
      </c>
      <c r="G3366" t="inlineStr">
        <is>
          <t>Tech D</t>
        </is>
      </c>
      <c r="H3366">
        <f>INDEX(Limits!$B$2:$B$5,MATCH(E3366,Limits!$A$2:$A$5,0))</f>
        <v/>
      </c>
      <c r="I3366">
        <f>INDEX(Limits!$C$2:$C$5,MATCH(E3366,Limits!$A$2:$A$5,0))</f>
        <v/>
      </c>
      <c r="J3366">
        <f>IF(F3366&gt;=I3366,"Action",IF(F3366&gt;=H3366,"Alert","Pass"))</f>
        <v/>
      </c>
      <c r="K3366" s="4">
        <f>DATE(YEAR(B3366),MONTH(B3366),1)</f>
        <v/>
      </c>
    </row>
    <row r="3367">
      <c r="A3367" t="inlineStr">
        <is>
          <t>EM003366</t>
        </is>
      </c>
      <c r="B3367" s="7" t="n">
        <v>46274</v>
      </c>
      <c r="C3367" t="inlineStr">
        <is>
          <t>CR-101</t>
        </is>
      </c>
      <c r="D3367" t="inlineStr">
        <is>
          <t>ISO 7</t>
        </is>
      </c>
      <c r="E3367" t="inlineStr">
        <is>
          <t>Compressed air</t>
        </is>
      </c>
      <c r="F3367" t="n">
        <v>0</v>
      </c>
      <c r="G3367" t="inlineStr">
        <is>
          <t>Tech A</t>
        </is>
      </c>
      <c r="H3367">
        <f>INDEX(Limits!$B$2:$B$5,MATCH(E3367,Limits!$A$2:$A$5,0))</f>
        <v/>
      </c>
      <c r="I3367">
        <f>INDEX(Limits!$C$2:$C$5,MATCH(E3367,Limits!$A$2:$A$5,0))</f>
        <v/>
      </c>
      <c r="J3367">
        <f>IF(F3367&gt;=I3367,"Action",IF(F3367&gt;=H3367,"Alert","Pass"))</f>
        <v/>
      </c>
      <c r="K3367" s="4">
        <f>DATE(YEAR(B3367),MONTH(B3367),1)</f>
        <v/>
      </c>
    </row>
    <row r="3368">
      <c r="A3368" t="inlineStr">
        <is>
          <t>EM003367</t>
        </is>
      </c>
      <c r="B3368" s="7" t="n">
        <v>46274</v>
      </c>
      <c r="C3368" t="inlineStr">
        <is>
          <t>CR-101</t>
        </is>
      </c>
      <c r="D3368" t="inlineStr">
        <is>
          <t>ISO 7</t>
        </is>
      </c>
      <c r="E3368" t="inlineStr">
        <is>
          <t>Personnel glove</t>
        </is>
      </c>
      <c r="F3368" t="n">
        <v>0</v>
      </c>
      <c r="G3368" t="inlineStr">
        <is>
          <t>Tech A</t>
        </is>
      </c>
      <c r="H3368">
        <f>INDEX(Limits!$B$2:$B$5,MATCH(E3368,Limits!$A$2:$A$5,0))</f>
        <v/>
      </c>
      <c r="I3368">
        <f>INDEX(Limits!$C$2:$C$5,MATCH(E3368,Limits!$A$2:$A$5,0))</f>
        <v/>
      </c>
      <c r="J3368">
        <f>IF(F3368&gt;=I3368,"Action",IF(F3368&gt;=H3368,"Alert","Pass"))</f>
        <v/>
      </c>
      <c r="K3368" s="4">
        <f>DATE(YEAR(B3368),MONTH(B3368),1)</f>
        <v/>
      </c>
    </row>
    <row r="3369">
      <c r="A3369" t="inlineStr">
        <is>
          <t>EM003368</t>
        </is>
      </c>
      <c r="B3369" s="7" t="n">
        <v>46274</v>
      </c>
      <c r="C3369" t="inlineStr">
        <is>
          <t>CR-102</t>
        </is>
      </c>
      <c r="D3369" t="inlineStr">
        <is>
          <t>ISO 7</t>
        </is>
      </c>
      <c r="E3369" t="inlineStr">
        <is>
          <t>Active air</t>
        </is>
      </c>
      <c r="F3369" t="n">
        <v>0</v>
      </c>
      <c r="G3369" t="inlineStr">
        <is>
          <t>Tech A</t>
        </is>
      </c>
      <c r="H3369">
        <f>INDEX(Limits!$B$2:$B$5,MATCH(E3369,Limits!$A$2:$A$5,0))</f>
        <v/>
      </c>
      <c r="I3369">
        <f>INDEX(Limits!$C$2:$C$5,MATCH(E3369,Limits!$A$2:$A$5,0))</f>
        <v/>
      </c>
      <c r="J3369">
        <f>IF(F3369&gt;=I3369,"Action",IF(F3369&gt;=H3369,"Alert","Pass"))</f>
        <v/>
      </c>
      <c r="K3369" s="4">
        <f>DATE(YEAR(B3369),MONTH(B3369),1)</f>
        <v/>
      </c>
    </row>
    <row r="3370">
      <c r="A3370" t="inlineStr">
        <is>
          <t>EM003369</t>
        </is>
      </c>
      <c r="B3370" s="7" t="n">
        <v>46274</v>
      </c>
      <c r="C3370" t="inlineStr">
        <is>
          <t>CR-102</t>
        </is>
      </c>
      <c r="D3370" t="inlineStr">
        <is>
          <t>ISO 7</t>
        </is>
      </c>
      <c r="E3370" t="inlineStr">
        <is>
          <t>Surface contact</t>
        </is>
      </c>
      <c r="F3370" t="n">
        <v>1</v>
      </c>
      <c r="G3370" t="inlineStr">
        <is>
          <t>Tech A</t>
        </is>
      </c>
      <c r="H3370">
        <f>INDEX(Limits!$B$2:$B$5,MATCH(E3370,Limits!$A$2:$A$5,0))</f>
        <v/>
      </c>
      <c r="I3370">
        <f>INDEX(Limits!$C$2:$C$5,MATCH(E3370,Limits!$A$2:$A$5,0))</f>
        <v/>
      </c>
      <c r="J3370">
        <f>IF(F3370&gt;=I3370,"Action",IF(F3370&gt;=H3370,"Alert","Pass"))</f>
        <v/>
      </c>
      <c r="K3370" s="4">
        <f>DATE(YEAR(B3370),MONTH(B3370),1)</f>
        <v/>
      </c>
    </row>
    <row r="3371">
      <c r="A3371" t="inlineStr">
        <is>
          <t>EM003370</t>
        </is>
      </c>
      <c r="B3371" s="7" t="n">
        <v>46274</v>
      </c>
      <c r="C3371" t="inlineStr">
        <is>
          <t>CR-102</t>
        </is>
      </c>
      <c r="D3371" t="inlineStr">
        <is>
          <t>ISO 7</t>
        </is>
      </c>
      <c r="E3371" t="inlineStr">
        <is>
          <t>Compressed air</t>
        </is>
      </c>
      <c r="F3371" t="n">
        <v>0</v>
      </c>
      <c r="G3371" t="inlineStr">
        <is>
          <t>Tech C</t>
        </is>
      </c>
      <c r="H3371">
        <f>INDEX(Limits!$B$2:$B$5,MATCH(E3371,Limits!$A$2:$A$5,0))</f>
        <v/>
      </c>
      <c r="I3371">
        <f>INDEX(Limits!$C$2:$C$5,MATCH(E3371,Limits!$A$2:$A$5,0))</f>
        <v/>
      </c>
      <c r="J3371">
        <f>IF(F3371&gt;=I3371,"Action",IF(F3371&gt;=H3371,"Alert","Pass"))</f>
        <v/>
      </c>
      <c r="K3371" s="4">
        <f>DATE(YEAR(B3371),MONTH(B3371),1)</f>
        <v/>
      </c>
    </row>
    <row r="3372">
      <c r="A3372" t="inlineStr">
        <is>
          <t>EM003371</t>
        </is>
      </c>
      <c r="B3372" s="7" t="n">
        <v>46274</v>
      </c>
      <c r="C3372" t="inlineStr">
        <is>
          <t>CR-102</t>
        </is>
      </c>
      <c r="D3372" t="inlineStr">
        <is>
          <t>ISO 7</t>
        </is>
      </c>
      <c r="E3372" t="inlineStr">
        <is>
          <t>Personnel glove</t>
        </is>
      </c>
      <c r="F3372" t="n">
        <v>0</v>
      </c>
      <c r="G3372" t="inlineStr">
        <is>
          <t>Tech C</t>
        </is>
      </c>
      <c r="H3372">
        <f>INDEX(Limits!$B$2:$B$5,MATCH(E3372,Limits!$A$2:$A$5,0))</f>
        <v/>
      </c>
      <c r="I3372">
        <f>INDEX(Limits!$C$2:$C$5,MATCH(E3372,Limits!$A$2:$A$5,0))</f>
        <v/>
      </c>
      <c r="J3372">
        <f>IF(F3372&gt;=I3372,"Action",IF(F3372&gt;=H3372,"Alert","Pass"))</f>
        <v/>
      </c>
      <c r="K3372" s="4">
        <f>DATE(YEAR(B3372),MONTH(B3372),1)</f>
        <v/>
      </c>
    </row>
    <row r="3373">
      <c r="A3373" t="inlineStr">
        <is>
          <t>EM003372</t>
        </is>
      </c>
      <c r="B3373" s="7" t="n">
        <v>46274</v>
      </c>
      <c r="C3373" t="inlineStr">
        <is>
          <t>CR-201</t>
        </is>
      </c>
      <c r="D3373" t="inlineStr">
        <is>
          <t>ISO 8</t>
        </is>
      </c>
      <c r="E3373" t="inlineStr">
        <is>
          <t>Active air</t>
        </is>
      </c>
      <c r="F3373" t="n">
        <v>1</v>
      </c>
      <c r="G3373" t="inlineStr">
        <is>
          <t>Tech D</t>
        </is>
      </c>
      <c r="H3373">
        <f>INDEX(Limits!$B$2:$B$5,MATCH(E3373,Limits!$A$2:$A$5,0))</f>
        <v/>
      </c>
      <c r="I3373">
        <f>INDEX(Limits!$C$2:$C$5,MATCH(E3373,Limits!$A$2:$A$5,0))</f>
        <v/>
      </c>
      <c r="J3373">
        <f>IF(F3373&gt;=I3373,"Action",IF(F3373&gt;=H3373,"Alert","Pass"))</f>
        <v/>
      </c>
      <c r="K3373" s="4">
        <f>DATE(YEAR(B3373),MONTH(B3373),1)</f>
        <v/>
      </c>
    </row>
    <row r="3374">
      <c r="A3374" t="inlineStr">
        <is>
          <t>EM003373</t>
        </is>
      </c>
      <c r="B3374" s="7" t="n">
        <v>46274</v>
      </c>
      <c r="C3374" t="inlineStr">
        <is>
          <t>CR-201</t>
        </is>
      </c>
      <c r="D3374" t="inlineStr">
        <is>
          <t>ISO 8</t>
        </is>
      </c>
      <c r="E3374" t="inlineStr">
        <is>
          <t>Surface contact</t>
        </is>
      </c>
      <c r="F3374" t="n">
        <v>0</v>
      </c>
      <c r="G3374" t="inlineStr">
        <is>
          <t>Tech B</t>
        </is>
      </c>
      <c r="H3374">
        <f>INDEX(Limits!$B$2:$B$5,MATCH(E3374,Limits!$A$2:$A$5,0))</f>
        <v/>
      </c>
      <c r="I3374">
        <f>INDEX(Limits!$C$2:$C$5,MATCH(E3374,Limits!$A$2:$A$5,0))</f>
        <v/>
      </c>
      <c r="J3374">
        <f>IF(F3374&gt;=I3374,"Action",IF(F3374&gt;=H3374,"Alert","Pass"))</f>
        <v/>
      </c>
      <c r="K3374" s="4">
        <f>DATE(YEAR(B3374),MONTH(B3374),1)</f>
        <v/>
      </c>
    </row>
    <row r="3375">
      <c r="A3375" t="inlineStr">
        <is>
          <t>EM003374</t>
        </is>
      </c>
      <c r="B3375" s="7" t="n">
        <v>46274</v>
      </c>
      <c r="C3375" t="inlineStr">
        <is>
          <t>CR-201</t>
        </is>
      </c>
      <c r="D3375" t="inlineStr">
        <is>
          <t>ISO 8</t>
        </is>
      </c>
      <c r="E3375" t="inlineStr">
        <is>
          <t>Compressed air</t>
        </is>
      </c>
      <c r="F3375" t="n">
        <v>0</v>
      </c>
      <c r="G3375" t="inlineStr">
        <is>
          <t>Tech B</t>
        </is>
      </c>
      <c r="H3375">
        <f>INDEX(Limits!$B$2:$B$5,MATCH(E3375,Limits!$A$2:$A$5,0))</f>
        <v/>
      </c>
      <c r="I3375">
        <f>INDEX(Limits!$C$2:$C$5,MATCH(E3375,Limits!$A$2:$A$5,0))</f>
        <v/>
      </c>
      <c r="J3375">
        <f>IF(F3375&gt;=I3375,"Action",IF(F3375&gt;=H3375,"Alert","Pass"))</f>
        <v/>
      </c>
      <c r="K3375" s="4">
        <f>DATE(YEAR(B3375),MONTH(B3375),1)</f>
        <v/>
      </c>
    </row>
    <row r="3376">
      <c r="A3376" t="inlineStr">
        <is>
          <t>EM003375</t>
        </is>
      </c>
      <c r="B3376" s="7" t="n">
        <v>46274</v>
      </c>
      <c r="C3376" t="inlineStr">
        <is>
          <t>CR-201</t>
        </is>
      </c>
      <c r="D3376" t="inlineStr">
        <is>
          <t>ISO 8</t>
        </is>
      </c>
      <c r="E3376" t="inlineStr">
        <is>
          <t>Personnel glove</t>
        </is>
      </c>
      <c r="F3376" t="n">
        <v>0</v>
      </c>
      <c r="G3376" t="inlineStr">
        <is>
          <t>Tech D</t>
        </is>
      </c>
      <c r="H3376">
        <f>INDEX(Limits!$B$2:$B$5,MATCH(E3376,Limits!$A$2:$A$5,0))</f>
        <v/>
      </c>
      <c r="I3376">
        <f>INDEX(Limits!$C$2:$C$5,MATCH(E3376,Limits!$A$2:$A$5,0))</f>
        <v/>
      </c>
      <c r="J3376">
        <f>IF(F3376&gt;=I3376,"Action",IF(F3376&gt;=H3376,"Alert","Pass"))</f>
        <v/>
      </c>
      <c r="K3376" s="4">
        <f>DATE(YEAR(B3376),MONTH(B3376),1)</f>
        <v/>
      </c>
    </row>
    <row r="3377">
      <c r="A3377" t="inlineStr">
        <is>
          <t>EM003376</t>
        </is>
      </c>
      <c r="B3377" s="7" t="n">
        <v>46274</v>
      </c>
      <c r="C3377" t="inlineStr">
        <is>
          <t>CR-202</t>
        </is>
      </c>
      <c r="D3377" t="inlineStr">
        <is>
          <t>ISO 8</t>
        </is>
      </c>
      <c r="E3377" t="inlineStr">
        <is>
          <t>Active air</t>
        </is>
      </c>
      <c r="F3377" t="n">
        <v>4</v>
      </c>
      <c r="G3377" t="inlineStr">
        <is>
          <t>Tech C</t>
        </is>
      </c>
      <c r="H3377">
        <f>INDEX(Limits!$B$2:$B$5,MATCH(E3377,Limits!$A$2:$A$5,0))</f>
        <v/>
      </c>
      <c r="I3377">
        <f>INDEX(Limits!$C$2:$C$5,MATCH(E3377,Limits!$A$2:$A$5,0))</f>
        <v/>
      </c>
      <c r="J3377">
        <f>IF(F3377&gt;=I3377,"Action",IF(F3377&gt;=H3377,"Alert","Pass"))</f>
        <v/>
      </c>
      <c r="K3377" s="4">
        <f>DATE(YEAR(B3377),MONTH(B3377),1)</f>
        <v/>
      </c>
    </row>
    <row r="3378">
      <c r="A3378" t="inlineStr">
        <is>
          <t>EM003377</t>
        </is>
      </c>
      <c r="B3378" s="7" t="n">
        <v>46274</v>
      </c>
      <c r="C3378" t="inlineStr">
        <is>
          <t>CR-202</t>
        </is>
      </c>
      <c r="D3378" t="inlineStr">
        <is>
          <t>ISO 8</t>
        </is>
      </c>
      <c r="E3378" t="inlineStr">
        <is>
          <t>Surface contact</t>
        </is>
      </c>
      <c r="F3378" t="n">
        <v>1</v>
      </c>
      <c r="G3378" t="inlineStr">
        <is>
          <t>Tech A</t>
        </is>
      </c>
      <c r="H3378">
        <f>INDEX(Limits!$B$2:$B$5,MATCH(E3378,Limits!$A$2:$A$5,0))</f>
        <v/>
      </c>
      <c r="I3378">
        <f>INDEX(Limits!$C$2:$C$5,MATCH(E3378,Limits!$A$2:$A$5,0))</f>
        <v/>
      </c>
      <c r="J3378">
        <f>IF(F3378&gt;=I3378,"Action",IF(F3378&gt;=H3378,"Alert","Pass"))</f>
        <v/>
      </c>
      <c r="K3378" s="4">
        <f>DATE(YEAR(B3378),MONTH(B3378),1)</f>
        <v/>
      </c>
    </row>
    <row r="3379">
      <c r="A3379" t="inlineStr">
        <is>
          <t>EM003378</t>
        </is>
      </c>
      <c r="B3379" s="7" t="n">
        <v>46274</v>
      </c>
      <c r="C3379" t="inlineStr">
        <is>
          <t>CR-202</t>
        </is>
      </c>
      <c r="D3379" t="inlineStr">
        <is>
          <t>ISO 8</t>
        </is>
      </c>
      <c r="E3379" t="inlineStr">
        <is>
          <t>Compressed air</t>
        </is>
      </c>
      <c r="F3379" t="n">
        <v>0</v>
      </c>
      <c r="G3379" t="inlineStr">
        <is>
          <t>Tech C</t>
        </is>
      </c>
      <c r="H3379">
        <f>INDEX(Limits!$B$2:$B$5,MATCH(E3379,Limits!$A$2:$A$5,0))</f>
        <v/>
      </c>
      <c r="I3379">
        <f>INDEX(Limits!$C$2:$C$5,MATCH(E3379,Limits!$A$2:$A$5,0))</f>
        <v/>
      </c>
      <c r="J3379">
        <f>IF(F3379&gt;=I3379,"Action",IF(F3379&gt;=H3379,"Alert","Pass"))</f>
        <v/>
      </c>
      <c r="K3379" s="4">
        <f>DATE(YEAR(B3379),MONTH(B3379),1)</f>
        <v/>
      </c>
    </row>
    <row r="3380">
      <c r="A3380" t="inlineStr">
        <is>
          <t>EM003379</t>
        </is>
      </c>
      <c r="B3380" s="7" t="n">
        <v>46274</v>
      </c>
      <c r="C3380" t="inlineStr">
        <is>
          <t>CR-202</t>
        </is>
      </c>
      <c r="D3380" t="inlineStr">
        <is>
          <t>ISO 8</t>
        </is>
      </c>
      <c r="E3380" t="inlineStr">
        <is>
          <t>Personnel glove</t>
        </is>
      </c>
      <c r="F3380" t="n">
        <v>0</v>
      </c>
      <c r="G3380" t="inlineStr">
        <is>
          <t>Tech B</t>
        </is>
      </c>
      <c r="H3380">
        <f>INDEX(Limits!$B$2:$B$5,MATCH(E3380,Limits!$A$2:$A$5,0))</f>
        <v/>
      </c>
      <c r="I3380">
        <f>INDEX(Limits!$C$2:$C$5,MATCH(E3380,Limits!$A$2:$A$5,0))</f>
        <v/>
      </c>
      <c r="J3380">
        <f>IF(F3380&gt;=I3380,"Action",IF(F3380&gt;=H3380,"Alert","Pass"))</f>
        <v/>
      </c>
      <c r="K3380" s="4">
        <f>DATE(YEAR(B3380),MONTH(B3380),1)</f>
        <v/>
      </c>
    </row>
    <row r="3381">
      <c r="A3381" t="inlineStr">
        <is>
          <t>EM003380</t>
        </is>
      </c>
      <c r="B3381" s="7" t="n">
        <v>46274</v>
      </c>
      <c r="C3381" t="inlineStr">
        <is>
          <t>Gowning</t>
        </is>
      </c>
      <c r="D3381" t="inlineStr">
        <is>
          <t>ISO 8</t>
        </is>
      </c>
      <c r="E3381" t="inlineStr">
        <is>
          <t>Active air</t>
        </is>
      </c>
      <c r="F3381" t="n">
        <v>2</v>
      </c>
      <c r="G3381" t="inlineStr">
        <is>
          <t>Tech D</t>
        </is>
      </c>
      <c r="H3381">
        <f>INDEX(Limits!$B$2:$B$5,MATCH(E3381,Limits!$A$2:$A$5,0))</f>
        <v/>
      </c>
      <c r="I3381">
        <f>INDEX(Limits!$C$2:$C$5,MATCH(E3381,Limits!$A$2:$A$5,0))</f>
        <v/>
      </c>
      <c r="J3381">
        <f>IF(F3381&gt;=I3381,"Action",IF(F3381&gt;=H3381,"Alert","Pass"))</f>
        <v/>
      </c>
      <c r="K3381" s="4">
        <f>DATE(YEAR(B3381),MONTH(B3381),1)</f>
        <v/>
      </c>
    </row>
    <row r="3382">
      <c r="A3382" t="inlineStr">
        <is>
          <t>EM003381</t>
        </is>
      </c>
      <c r="B3382" s="7" t="n">
        <v>46274</v>
      </c>
      <c r="C3382" t="inlineStr">
        <is>
          <t>Gowning</t>
        </is>
      </c>
      <c r="D3382" t="inlineStr">
        <is>
          <t>ISO 8</t>
        </is>
      </c>
      <c r="E3382" t="inlineStr">
        <is>
          <t>Surface contact</t>
        </is>
      </c>
      <c r="F3382" t="n">
        <v>1</v>
      </c>
      <c r="G3382" t="inlineStr">
        <is>
          <t>Tech D</t>
        </is>
      </c>
      <c r="H3382">
        <f>INDEX(Limits!$B$2:$B$5,MATCH(E3382,Limits!$A$2:$A$5,0))</f>
        <v/>
      </c>
      <c r="I3382">
        <f>INDEX(Limits!$C$2:$C$5,MATCH(E3382,Limits!$A$2:$A$5,0))</f>
        <v/>
      </c>
      <c r="J3382">
        <f>IF(F3382&gt;=I3382,"Action",IF(F3382&gt;=H3382,"Alert","Pass"))</f>
        <v/>
      </c>
      <c r="K3382" s="4">
        <f>DATE(YEAR(B3382),MONTH(B3382),1)</f>
        <v/>
      </c>
    </row>
    <row r="3383">
      <c r="A3383" t="inlineStr">
        <is>
          <t>EM003382</t>
        </is>
      </c>
      <c r="B3383" s="7" t="n">
        <v>46274</v>
      </c>
      <c r="C3383" t="inlineStr">
        <is>
          <t>Gowning</t>
        </is>
      </c>
      <c r="D3383" t="inlineStr">
        <is>
          <t>ISO 8</t>
        </is>
      </c>
      <c r="E3383" t="inlineStr">
        <is>
          <t>Personnel glove</t>
        </is>
      </c>
      <c r="F3383" t="n">
        <v>0</v>
      </c>
      <c r="G3383" t="inlineStr">
        <is>
          <t>Tech D</t>
        </is>
      </c>
      <c r="H3383">
        <f>INDEX(Limits!$B$2:$B$5,MATCH(E3383,Limits!$A$2:$A$5,0))</f>
        <v/>
      </c>
      <c r="I3383">
        <f>INDEX(Limits!$C$2:$C$5,MATCH(E3383,Limits!$A$2:$A$5,0))</f>
        <v/>
      </c>
      <c r="J3383">
        <f>IF(F3383&gt;=I3383,"Action",IF(F3383&gt;=H3383,"Alert","Pass"))</f>
        <v/>
      </c>
      <c r="K3383" s="4">
        <f>DATE(YEAR(B3383),MONTH(B3383),1)</f>
        <v/>
      </c>
    </row>
    <row r="3384">
      <c r="A3384" t="inlineStr">
        <is>
          <t>EM003383</t>
        </is>
      </c>
      <c r="B3384" s="7" t="n">
        <v>46275</v>
      </c>
      <c r="C3384" t="inlineStr">
        <is>
          <t>CR-101</t>
        </is>
      </c>
      <c r="D3384" t="inlineStr">
        <is>
          <t>ISO 7</t>
        </is>
      </c>
      <c r="E3384" t="inlineStr">
        <is>
          <t>Active air</t>
        </is>
      </c>
      <c r="F3384" t="n">
        <v>0</v>
      </c>
      <c r="G3384" t="inlineStr">
        <is>
          <t>Tech D</t>
        </is>
      </c>
      <c r="H3384">
        <f>INDEX(Limits!$B$2:$B$5,MATCH(E3384,Limits!$A$2:$A$5,0))</f>
        <v/>
      </c>
      <c r="I3384">
        <f>INDEX(Limits!$C$2:$C$5,MATCH(E3384,Limits!$A$2:$A$5,0))</f>
        <v/>
      </c>
      <c r="J3384">
        <f>IF(F3384&gt;=I3384,"Action",IF(F3384&gt;=H3384,"Alert","Pass"))</f>
        <v/>
      </c>
      <c r="K3384" s="4">
        <f>DATE(YEAR(B3384),MONTH(B3384),1)</f>
        <v/>
      </c>
    </row>
    <row r="3385">
      <c r="A3385" t="inlineStr">
        <is>
          <t>EM003384</t>
        </is>
      </c>
      <c r="B3385" s="7" t="n">
        <v>46275</v>
      </c>
      <c r="C3385" t="inlineStr">
        <is>
          <t>CR-101</t>
        </is>
      </c>
      <c r="D3385" t="inlineStr">
        <is>
          <t>ISO 7</t>
        </is>
      </c>
      <c r="E3385" t="inlineStr">
        <is>
          <t>Surface contact</t>
        </is>
      </c>
      <c r="F3385" t="n">
        <v>0</v>
      </c>
      <c r="G3385" t="inlineStr">
        <is>
          <t>Tech B</t>
        </is>
      </c>
      <c r="H3385">
        <f>INDEX(Limits!$B$2:$B$5,MATCH(E3385,Limits!$A$2:$A$5,0))</f>
        <v/>
      </c>
      <c r="I3385">
        <f>INDEX(Limits!$C$2:$C$5,MATCH(E3385,Limits!$A$2:$A$5,0))</f>
        <v/>
      </c>
      <c r="J3385">
        <f>IF(F3385&gt;=I3385,"Action",IF(F3385&gt;=H3385,"Alert","Pass"))</f>
        <v/>
      </c>
      <c r="K3385" s="4">
        <f>DATE(YEAR(B3385),MONTH(B3385),1)</f>
        <v/>
      </c>
    </row>
    <row r="3386">
      <c r="A3386" t="inlineStr">
        <is>
          <t>EM003385</t>
        </is>
      </c>
      <c r="B3386" s="7" t="n">
        <v>46275</v>
      </c>
      <c r="C3386" t="inlineStr">
        <is>
          <t>CR-101</t>
        </is>
      </c>
      <c r="D3386" t="inlineStr">
        <is>
          <t>ISO 7</t>
        </is>
      </c>
      <c r="E3386" t="inlineStr">
        <is>
          <t>Compressed air</t>
        </is>
      </c>
      <c r="F3386" t="n">
        <v>0</v>
      </c>
      <c r="G3386" t="inlineStr">
        <is>
          <t>Tech A</t>
        </is>
      </c>
      <c r="H3386">
        <f>INDEX(Limits!$B$2:$B$5,MATCH(E3386,Limits!$A$2:$A$5,0))</f>
        <v/>
      </c>
      <c r="I3386">
        <f>INDEX(Limits!$C$2:$C$5,MATCH(E3386,Limits!$A$2:$A$5,0))</f>
        <v/>
      </c>
      <c r="J3386">
        <f>IF(F3386&gt;=I3386,"Action",IF(F3386&gt;=H3386,"Alert","Pass"))</f>
        <v/>
      </c>
      <c r="K3386" s="4">
        <f>DATE(YEAR(B3386),MONTH(B3386),1)</f>
        <v/>
      </c>
    </row>
    <row r="3387">
      <c r="A3387" t="inlineStr">
        <is>
          <t>EM003386</t>
        </is>
      </c>
      <c r="B3387" s="7" t="n">
        <v>46275</v>
      </c>
      <c r="C3387" t="inlineStr">
        <is>
          <t>CR-101</t>
        </is>
      </c>
      <c r="D3387" t="inlineStr">
        <is>
          <t>ISO 7</t>
        </is>
      </c>
      <c r="E3387" t="inlineStr">
        <is>
          <t>Personnel glove</t>
        </is>
      </c>
      <c r="F3387" t="n">
        <v>0</v>
      </c>
      <c r="G3387" t="inlineStr">
        <is>
          <t>Tech C</t>
        </is>
      </c>
      <c r="H3387">
        <f>INDEX(Limits!$B$2:$B$5,MATCH(E3387,Limits!$A$2:$A$5,0))</f>
        <v/>
      </c>
      <c r="I3387">
        <f>INDEX(Limits!$C$2:$C$5,MATCH(E3387,Limits!$A$2:$A$5,0))</f>
        <v/>
      </c>
      <c r="J3387">
        <f>IF(F3387&gt;=I3387,"Action",IF(F3387&gt;=H3387,"Alert","Pass"))</f>
        <v/>
      </c>
      <c r="K3387" s="4">
        <f>DATE(YEAR(B3387),MONTH(B3387),1)</f>
        <v/>
      </c>
    </row>
    <row r="3388">
      <c r="A3388" t="inlineStr">
        <is>
          <t>EM003387</t>
        </is>
      </c>
      <c r="B3388" s="7" t="n">
        <v>46275</v>
      </c>
      <c r="C3388" t="inlineStr">
        <is>
          <t>CR-102</t>
        </is>
      </c>
      <c r="D3388" t="inlineStr">
        <is>
          <t>ISO 7</t>
        </is>
      </c>
      <c r="E3388" t="inlineStr">
        <is>
          <t>Active air</t>
        </is>
      </c>
      <c r="F3388" t="n">
        <v>1</v>
      </c>
      <c r="G3388" t="inlineStr">
        <is>
          <t>Tech C</t>
        </is>
      </c>
      <c r="H3388">
        <f>INDEX(Limits!$B$2:$B$5,MATCH(E3388,Limits!$A$2:$A$5,0))</f>
        <v/>
      </c>
      <c r="I3388">
        <f>INDEX(Limits!$C$2:$C$5,MATCH(E3388,Limits!$A$2:$A$5,0))</f>
        <v/>
      </c>
      <c r="J3388">
        <f>IF(F3388&gt;=I3388,"Action",IF(F3388&gt;=H3388,"Alert","Pass"))</f>
        <v/>
      </c>
      <c r="K3388" s="4">
        <f>DATE(YEAR(B3388),MONTH(B3388),1)</f>
        <v/>
      </c>
    </row>
    <row r="3389">
      <c r="A3389" t="inlineStr">
        <is>
          <t>EM003388</t>
        </is>
      </c>
      <c r="B3389" s="7" t="n">
        <v>46275</v>
      </c>
      <c r="C3389" t="inlineStr">
        <is>
          <t>CR-102</t>
        </is>
      </c>
      <c r="D3389" t="inlineStr">
        <is>
          <t>ISO 7</t>
        </is>
      </c>
      <c r="E3389" t="inlineStr">
        <is>
          <t>Surface contact</t>
        </is>
      </c>
      <c r="F3389" t="n">
        <v>1</v>
      </c>
      <c r="G3389" t="inlineStr">
        <is>
          <t>Tech C</t>
        </is>
      </c>
      <c r="H3389">
        <f>INDEX(Limits!$B$2:$B$5,MATCH(E3389,Limits!$A$2:$A$5,0))</f>
        <v/>
      </c>
      <c r="I3389">
        <f>INDEX(Limits!$C$2:$C$5,MATCH(E3389,Limits!$A$2:$A$5,0))</f>
        <v/>
      </c>
      <c r="J3389">
        <f>IF(F3389&gt;=I3389,"Action",IF(F3389&gt;=H3389,"Alert","Pass"))</f>
        <v/>
      </c>
      <c r="K3389" s="4">
        <f>DATE(YEAR(B3389),MONTH(B3389),1)</f>
        <v/>
      </c>
    </row>
    <row r="3390">
      <c r="A3390" t="inlineStr">
        <is>
          <t>EM003389</t>
        </is>
      </c>
      <c r="B3390" s="7" t="n">
        <v>46275</v>
      </c>
      <c r="C3390" t="inlineStr">
        <is>
          <t>CR-102</t>
        </is>
      </c>
      <c r="D3390" t="inlineStr">
        <is>
          <t>ISO 7</t>
        </is>
      </c>
      <c r="E3390" t="inlineStr">
        <is>
          <t>Compressed air</t>
        </is>
      </c>
      <c r="F3390" t="n">
        <v>0</v>
      </c>
      <c r="G3390" t="inlineStr">
        <is>
          <t>Tech D</t>
        </is>
      </c>
      <c r="H3390">
        <f>INDEX(Limits!$B$2:$B$5,MATCH(E3390,Limits!$A$2:$A$5,0))</f>
        <v/>
      </c>
      <c r="I3390">
        <f>INDEX(Limits!$C$2:$C$5,MATCH(E3390,Limits!$A$2:$A$5,0))</f>
        <v/>
      </c>
      <c r="J3390">
        <f>IF(F3390&gt;=I3390,"Action",IF(F3390&gt;=H3390,"Alert","Pass"))</f>
        <v/>
      </c>
      <c r="K3390" s="4">
        <f>DATE(YEAR(B3390),MONTH(B3390),1)</f>
        <v/>
      </c>
    </row>
    <row r="3391">
      <c r="A3391" t="inlineStr">
        <is>
          <t>EM003390</t>
        </is>
      </c>
      <c r="B3391" s="7" t="n">
        <v>46275</v>
      </c>
      <c r="C3391" t="inlineStr">
        <is>
          <t>CR-102</t>
        </is>
      </c>
      <c r="D3391" t="inlineStr">
        <is>
          <t>ISO 7</t>
        </is>
      </c>
      <c r="E3391" t="inlineStr">
        <is>
          <t>Personnel glove</t>
        </is>
      </c>
      <c r="F3391" t="n">
        <v>0</v>
      </c>
      <c r="G3391" t="inlineStr">
        <is>
          <t>Tech C</t>
        </is>
      </c>
      <c r="H3391">
        <f>INDEX(Limits!$B$2:$B$5,MATCH(E3391,Limits!$A$2:$A$5,0))</f>
        <v/>
      </c>
      <c r="I3391">
        <f>INDEX(Limits!$C$2:$C$5,MATCH(E3391,Limits!$A$2:$A$5,0))</f>
        <v/>
      </c>
      <c r="J3391">
        <f>IF(F3391&gt;=I3391,"Action",IF(F3391&gt;=H3391,"Alert","Pass"))</f>
        <v/>
      </c>
      <c r="K3391" s="4">
        <f>DATE(YEAR(B3391),MONTH(B3391),1)</f>
        <v/>
      </c>
    </row>
    <row r="3392">
      <c r="A3392" t="inlineStr">
        <is>
          <t>EM003391</t>
        </is>
      </c>
      <c r="B3392" s="7" t="n">
        <v>46275</v>
      </c>
      <c r="C3392" t="inlineStr">
        <is>
          <t>CR-201</t>
        </is>
      </c>
      <c r="D3392" t="inlineStr">
        <is>
          <t>ISO 8</t>
        </is>
      </c>
      <c r="E3392" t="inlineStr">
        <is>
          <t>Active air</t>
        </is>
      </c>
      <c r="F3392" t="n">
        <v>0</v>
      </c>
      <c r="G3392" t="inlineStr">
        <is>
          <t>Tech A</t>
        </is>
      </c>
      <c r="H3392">
        <f>INDEX(Limits!$B$2:$B$5,MATCH(E3392,Limits!$A$2:$A$5,0))</f>
        <v/>
      </c>
      <c r="I3392">
        <f>INDEX(Limits!$C$2:$C$5,MATCH(E3392,Limits!$A$2:$A$5,0))</f>
        <v/>
      </c>
      <c r="J3392">
        <f>IF(F3392&gt;=I3392,"Action",IF(F3392&gt;=H3392,"Alert","Pass"))</f>
        <v/>
      </c>
      <c r="K3392" s="4">
        <f>DATE(YEAR(B3392),MONTH(B3392),1)</f>
        <v/>
      </c>
    </row>
    <row r="3393">
      <c r="A3393" t="inlineStr">
        <is>
          <t>EM003392</t>
        </is>
      </c>
      <c r="B3393" s="7" t="n">
        <v>46275</v>
      </c>
      <c r="C3393" t="inlineStr">
        <is>
          <t>CR-201</t>
        </is>
      </c>
      <c r="D3393" t="inlineStr">
        <is>
          <t>ISO 8</t>
        </is>
      </c>
      <c r="E3393" t="inlineStr">
        <is>
          <t>Surface contact</t>
        </is>
      </c>
      <c r="F3393" t="n">
        <v>0</v>
      </c>
      <c r="G3393" t="inlineStr">
        <is>
          <t>Tech B</t>
        </is>
      </c>
      <c r="H3393">
        <f>INDEX(Limits!$B$2:$B$5,MATCH(E3393,Limits!$A$2:$A$5,0))</f>
        <v/>
      </c>
      <c r="I3393">
        <f>INDEX(Limits!$C$2:$C$5,MATCH(E3393,Limits!$A$2:$A$5,0))</f>
        <v/>
      </c>
      <c r="J3393">
        <f>IF(F3393&gt;=I3393,"Action",IF(F3393&gt;=H3393,"Alert","Pass"))</f>
        <v/>
      </c>
      <c r="K3393" s="4">
        <f>DATE(YEAR(B3393),MONTH(B3393),1)</f>
        <v/>
      </c>
    </row>
    <row r="3394">
      <c r="A3394" t="inlineStr">
        <is>
          <t>EM003393</t>
        </is>
      </c>
      <c r="B3394" s="7" t="n">
        <v>46275</v>
      </c>
      <c r="C3394" t="inlineStr">
        <is>
          <t>CR-201</t>
        </is>
      </c>
      <c r="D3394" t="inlineStr">
        <is>
          <t>ISO 8</t>
        </is>
      </c>
      <c r="E3394" t="inlineStr">
        <is>
          <t>Compressed air</t>
        </is>
      </c>
      <c r="F3394" t="n">
        <v>0</v>
      </c>
      <c r="G3394" t="inlineStr">
        <is>
          <t>Tech D</t>
        </is>
      </c>
      <c r="H3394">
        <f>INDEX(Limits!$B$2:$B$5,MATCH(E3394,Limits!$A$2:$A$5,0))</f>
        <v/>
      </c>
      <c r="I3394">
        <f>INDEX(Limits!$C$2:$C$5,MATCH(E3394,Limits!$A$2:$A$5,0))</f>
        <v/>
      </c>
      <c r="J3394">
        <f>IF(F3394&gt;=I3394,"Action",IF(F3394&gt;=H3394,"Alert","Pass"))</f>
        <v/>
      </c>
      <c r="K3394" s="4">
        <f>DATE(YEAR(B3394),MONTH(B3394),1)</f>
        <v/>
      </c>
    </row>
    <row r="3395">
      <c r="A3395" t="inlineStr">
        <is>
          <t>EM003394</t>
        </is>
      </c>
      <c r="B3395" s="7" t="n">
        <v>46275</v>
      </c>
      <c r="C3395" t="inlineStr">
        <is>
          <t>CR-201</t>
        </is>
      </c>
      <c r="D3395" t="inlineStr">
        <is>
          <t>ISO 8</t>
        </is>
      </c>
      <c r="E3395" t="inlineStr">
        <is>
          <t>Personnel glove</t>
        </is>
      </c>
      <c r="F3395" t="n">
        <v>0</v>
      </c>
      <c r="G3395" t="inlineStr">
        <is>
          <t>Tech D</t>
        </is>
      </c>
      <c r="H3395">
        <f>INDEX(Limits!$B$2:$B$5,MATCH(E3395,Limits!$A$2:$A$5,0))</f>
        <v/>
      </c>
      <c r="I3395">
        <f>INDEX(Limits!$C$2:$C$5,MATCH(E3395,Limits!$A$2:$A$5,0))</f>
        <v/>
      </c>
      <c r="J3395">
        <f>IF(F3395&gt;=I3395,"Action",IF(F3395&gt;=H3395,"Alert","Pass"))</f>
        <v/>
      </c>
      <c r="K3395" s="4">
        <f>DATE(YEAR(B3395),MONTH(B3395),1)</f>
        <v/>
      </c>
    </row>
    <row r="3396">
      <c r="A3396" t="inlineStr">
        <is>
          <t>EM003395</t>
        </is>
      </c>
      <c r="B3396" s="7" t="n">
        <v>46275</v>
      </c>
      <c r="C3396" t="inlineStr">
        <is>
          <t>CR-202</t>
        </is>
      </c>
      <c r="D3396" t="inlineStr">
        <is>
          <t>ISO 8</t>
        </is>
      </c>
      <c r="E3396" t="inlineStr">
        <is>
          <t>Active air</t>
        </is>
      </c>
      <c r="F3396" t="n">
        <v>2</v>
      </c>
      <c r="G3396" t="inlineStr">
        <is>
          <t>Tech A</t>
        </is>
      </c>
      <c r="H3396">
        <f>INDEX(Limits!$B$2:$B$5,MATCH(E3396,Limits!$A$2:$A$5,0))</f>
        <v/>
      </c>
      <c r="I3396">
        <f>INDEX(Limits!$C$2:$C$5,MATCH(E3396,Limits!$A$2:$A$5,0))</f>
        <v/>
      </c>
      <c r="J3396">
        <f>IF(F3396&gt;=I3396,"Action",IF(F3396&gt;=H3396,"Alert","Pass"))</f>
        <v/>
      </c>
      <c r="K3396" s="4">
        <f>DATE(YEAR(B3396),MONTH(B3396),1)</f>
        <v/>
      </c>
    </row>
    <row r="3397">
      <c r="A3397" t="inlineStr">
        <is>
          <t>EM003396</t>
        </is>
      </c>
      <c r="B3397" s="7" t="n">
        <v>46275</v>
      </c>
      <c r="C3397" t="inlineStr">
        <is>
          <t>CR-202</t>
        </is>
      </c>
      <c r="D3397" t="inlineStr">
        <is>
          <t>ISO 8</t>
        </is>
      </c>
      <c r="E3397" t="inlineStr">
        <is>
          <t>Surface contact</t>
        </is>
      </c>
      <c r="F3397" t="n">
        <v>0</v>
      </c>
      <c r="G3397" t="inlineStr">
        <is>
          <t>Tech D</t>
        </is>
      </c>
      <c r="H3397">
        <f>INDEX(Limits!$B$2:$B$5,MATCH(E3397,Limits!$A$2:$A$5,0))</f>
        <v/>
      </c>
      <c r="I3397">
        <f>INDEX(Limits!$C$2:$C$5,MATCH(E3397,Limits!$A$2:$A$5,0))</f>
        <v/>
      </c>
      <c r="J3397">
        <f>IF(F3397&gt;=I3397,"Action",IF(F3397&gt;=H3397,"Alert","Pass"))</f>
        <v/>
      </c>
      <c r="K3397" s="4">
        <f>DATE(YEAR(B3397),MONTH(B3397),1)</f>
        <v/>
      </c>
    </row>
    <row r="3398">
      <c r="A3398" t="inlineStr">
        <is>
          <t>EM003397</t>
        </is>
      </c>
      <c r="B3398" s="7" t="n">
        <v>46275</v>
      </c>
      <c r="C3398" t="inlineStr">
        <is>
          <t>CR-202</t>
        </is>
      </c>
      <c r="D3398" t="inlineStr">
        <is>
          <t>ISO 8</t>
        </is>
      </c>
      <c r="E3398" t="inlineStr">
        <is>
          <t>Compressed air</t>
        </is>
      </c>
      <c r="F3398" t="n">
        <v>0</v>
      </c>
      <c r="G3398" t="inlineStr">
        <is>
          <t>Tech C</t>
        </is>
      </c>
      <c r="H3398">
        <f>INDEX(Limits!$B$2:$B$5,MATCH(E3398,Limits!$A$2:$A$5,0))</f>
        <v/>
      </c>
      <c r="I3398">
        <f>INDEX(Limits!$C$2:$C$5,MATCH(E3398,Limits!$A$2:$A$5,0))</f>
        <v/>
      </c>
      <c r="J3398">
        <f>IF(F3398&gt;=I3398,"Action",IF(F3398&gt;=H3398,"Alert","Pass"))</f>
        <v/>
      </c>
      <c r="K3398" s="4">
        <f>DATE(YEAR(B3398),MONTH(B3398),1)</f>
        <v/>
      </c>
    </row>
    <row r="3399">
      <c r="A3399" t="inlineStr">
        <is>
          <t>EM003398</t>
        </is>
      </c>
      <c r="B3399" s="7" t="n">
        <v>46275</v>
      </c>
      <c r="C3399" t="inlineStr">
        <is>
          <t>CR-202</t>
        </is>
      </c>
      <c r="D3399" t="inlineStr">
        <is>
          <t>ISO 8</t>
        </is>
      </c>
      <c r="E3399" t="inlineStr">
        <is>
          <t>Personnel glove</t>
        </is>
      </c>
      <c r="F3399" t="n">
        <v>0</v>
      </c>
      <c r="G3399" t="inlineStr">
        <is>
          <t>Tech B</t>
        </is>
      </c>
      <c r="H3399">
        <f>INDEX(Limits!$B$2:$B$5,MATCH(E3399,Limits!$A$2:$A$5,0))</f>
        <v/>
      </c>
      <c r="I3399">
        <f>INDEX(Limits!$C$2:$C$5,MATCH(E3399,Limits!$A$2:$A$5,0))</f>
        <v/>
      </c>
      <c r="J3399">
        <f>IF(F3399&gt;=I3399,"Action",IF(F3399&gt;=H3399,"Alert","Pass"))</f>
        <v/>
      </c>
      <c r="K3399" s="4">
        <f>DATE(YEAR(B3399),MONTH(B3399),1)</f>
        <v/>
      </c>
    </row>
    <row r="3400">
      <c r="A3400" t="inlineStr">
        <is>
          <t>EM003399</t>
        </is>
      </c>
      <c r="B3400" s="7" t="n">
        <v>46275</v>
      </c>
      <c r="C3400" t="inlineStr">
        <is>
          <t>Gowning</t>
        </is>
      </c>
      <c r="D3400" t="inlineStr">
        <is>
          <t>ISO 8</t>
        </is>
      </c>
      <c r="E3400" t="inlineStr">
        <is>
          <t>Active air</t>
        </is>
      </c>
      <c r="F3400" t="n">
        <v>1</v>
      </c>
      <c r="G3400" t="inlineStr">
        <is>
          <t>Tech B</t>
        </is>
      </c>
      <c r="H3400">
        <f>INDEX(Limits!$B$2:$B$5,MATCH(E3400,Limits!$A$2:$A$5,0))</f>
        <v/>
      </c>
      <c r="I3400">
        <f>INDEX(Limits!$C$2:$C$5,MATCH(E3400,Limits!$A$2:$A$5,0))</f>
        <v/>
      </c>
      <c r="J3400">
        <f>IF(F3400&gt;=I3400,"Action",IF(F3400&gt;=H3400,"Alert","Pass"))</f>
        <v/>
      </c>
      <c r="K3400" s="4">
        <f>DATE(YEAR(B3400),MONTH(B3400),1)</f>
        <v/>
      </c>
    </row>
    <row r="3401">
      <c r="A3401" t="inlineStr">
        <is>
          <t>EM003400</t>
        </is>
      </c>
      <c r="B3401" s="7" t="n">
        <v>46275</v>
      </c>
      <c r="C3401" t="inlineStr">
        <is>
          <t>Gowning</t>
        </is>
      </c>
      <c r="D3401" t="inlineStr">
        <is>
          <t>ISO 8</t>
        </is>
      </c>
      <c r="E3401" t="inlineStr">
        <is>
          <t>Surface contact</t>
        </is>
      </c>
      <c r="F3401" t="n">
        <v>0</v>
      </c>
      <c r="G3401" t="inlineStr">
        <is>
          <t>Tech B</t>
        </is>
      </c>
      <c r="H3401">
        <f>INDEX(Limits!$B$2:$B$5,MATCH(E3401,Limits!$A$2:$A$5,0))</f>
        <v/>
      </c>
      <c r="I3401">
        <f>INDEX(Limits!$C$2:$C$5,MATCH(E3401,Limits!$A$2:$A$5,0))</f>
        <v/>
      </c>
      <c r="J3401">
        <f>IF(F3401&gt;=I3401,"Action",IF(F3401&gt;=H3401,"Alert","Pass"))</f>
        <v/>
      </c>
      <c r="K3401" s="4">
        <f>DATE(YEAR(B3401),MONTH(B3401),1)</f>
        <v/>
      </c>
    </row>
    <row r="3402">
      <c r="A3402" t="inlineStr">
        <is>
          <t>EM003401</t>
        </is>
      </c>
      <c r="B3402" s="7" t="n">
        <v>46275</v>
      </c>
      <c r="C3402" t="inlineStr">
        <is>
          <t>Gowning</t>
        </is>
      </c>
      <c r="D3402" t="inlineStr">
        <is>
          <t>ISO 8</t>
        </is>
      </c>
      <c r="E3402" t="inlineStr">
        <is>
          <t>Personnel glove</t>
        </is>
      </c>
      <c r="F3402" t="n">
        <v>0</v>
      </c>
      <c r="G3402" t="inlineStr">
        <is>
          <t>Tech B</t>
        </is>
      </c>
      <c r="H3402">
        <f>INDEX(Limits!$B$2:$B$5,MATCH(E3402,Limits!$A$2:$A$5,0))</f>
        <v/>
      </c>
      <c r="I3402">
        <f>INDEX(Limits!$C$2:$C$5,MATCH(E3402,Limits!$A$2:$A$5,0))</f>
        <v/>
      </c>
      <c r="J3402">
        <f>IF(F3402&gt;=I3402,"Action",IF(F3402&gt;=H3402,"Alert","Pass"))</f>
        <v/>
      </c>
      <c r="K3402" s="4">
        <f>DATE(YEAR(B3402),MONTH(B3402),1)</f>
        <v/>
      </c>
    </row>
    <row r="3403">
      <c r="A3403" t="inlineStr">
        <is>
          <t>EM003402</t>
        </is>
      </c>
      <c r="B3403" s="7" t="n">
        <v>46276</v>
      </c>
      <c r="C3403" t="inlineStr">
        <is>
          <t>CR-101</t>
        </is>
      </c>
      <c r="D3403" t="inlineStr">
        <is>
          <t>ISO 7</t>
        </is>
      </c>
      <c r="E3403" t="inlineStr">
        <is>
          <t>Active air</t>
        </is>
      </c>
      <c r="F3403" t="n">
        <v>0</v>
      </c>
      <c r="G3403" t="inlineStr">
        <is>
          <t>Tech A</t>
        </is>
      </c>
      <c r="H3403">
        <f>INDEX(Limits!$B$2:$B$5,MATCH(E3403,Limits!$A$2:$A$5,0))</f>
        <v/>
      </c>
      <c r="I3403">
        <f>INDEX(Limits!$C$2:$C$5,MATCH(E3403,Limits!$A$2:$A$5,0))</f>
        <v/>
      </c>
      <c r="J3403">
        <f>IF(F3403&gt;=I3403,"Action",IF(F3403&gt;=H3403,"Alert","Pass"))</f>
        <v/>
      </c>
      <c r="K3403" s="4">
        <f>DATE(YEAR(B3403),MONTH(B3403),1)</f>
        <v/>
      </c>
    </row>
    <row r="3404">
      <c r="A3404" t="inlineStr">
        <is>
          <t>EM003403</t>
        </is>
      </c>
      <c r="B3404" s="7" t="n">
        <v>46276</v>
      </c>
      <c r="C3404" t="inlineStr">
        <is>
          <t>CR-101</t>
        </is>
      </c>
      <c r="D3404" t="inlineStr">
        <is>
          <t>ISO 7</t>
        </is>
      </c>
      <c r="E3404" t="inlineStr">
        <is>
          <t>Surface contact</t>
        </is>
      </c>
      <c r="F3404" t="n">
        <v>1</v>
      </c>
      <c r="G3404" t="inlineStr">
        <is>
          <t>Tech B</t>
        </is>
      </c>
      <c r="H3404">
        <f>INDEX(Limits!$B$2:$B$5,MATCH(E3404,Limits!$A$2:$A$5,0))</f>
        <v/>
      </c>
      <c r="I3404">
        <f>INDEX(Limits!$C$2:$C$5,MATCH(E3404,Limits!$A$2:$A$5,0))</f>
        <v/>
      </c>
      <c r="J3404">
        <f>IF(F3404&gt;=I3404,"Action",IF(F3404&gt;=H3404,"Alert","Pass"))</f>
        <v/>
      </c>
      <c r="K3404" s="4">
        <f>DATE(YEAR(B3404),MONTH(B3404),1)</f>
        <v/>
      </c>
    </row>
    <row r="3405">
      <c r="A3405" t="inlineStr">
        <is>
          <t>EM003404</t>
        </is>
      </c>
      <c r="B3405" s="7" t="n">
        <v>46276</v>
      </c>
      <c r="C3405" t="inlineStr">
        <is>
          <t>CR-101</t>
        </is>
      </c>
      <c r="D3405" t="inlineStr">
        <is>
          <t>ISO 7</t>
        </is>
      </c>
      <c r="E3405" t="inlineStr">
        <is>
          <t>Compressed air</t>
        </is>
      </c>
      <c r="F3405" t="n">
        <v>0</v>
      </c>
      <c r="G3405" t="inlineStr">
        <is>
          <t>Tech C</t>
        </is>
      </c>
      <c r="H3405">
        <f>INDEX(Limits!$B$2:$B$5,MATCH(E3405,Limits!$A$2:$A$5,0))</f>
        <v/>
      </c>
      <c r="I3405">
        <f>INDEX(Limits!$C$2:$C$5,MATCH(E3405,Limits!$A$2:$A$5,0))</f>
        <v/>
      </c>
      <c r="J3405">
        <f>IF(F3405&gt;=I3405,"Action",IF(F3405&gt;=H3405,"Alert","Pass"))</f>
        <v/>
      </c>
      <c r="K3405" s="4">
        <f>DATE(YEAR(B3405),MONTH(B3405),1)</f>
        <v/>
      </c>
    </row>
    <row r="3406">
      <c r="A3406" t="inlineStr">
        <is>
          <t>EM003405</t>
        </is>
      </c>
      <c r="B3406" s="7" t="n">
        <v>46276</v>
      </c>
      <c r="C3406" t="inlineStr">
        <is>
          <t>CR-101</t>
        </is>
      </c>
      <c r="D3406" t="inlineStr">
        <is>
          <t>ISO 7</t>
        </is>
      </c>
      <c r="E3406" t="inlineStr">
        <is>
          <t>Personnel glove</t>
        </is>
      </c>
      <c r="F3406" t="n">
        <v>0</v>
      </c>
      <c r="G3406" t="inlineStr">
        <is>
          <t>Tech C</t>
        </is>
      </c>
      <c r="H3406">
        <f>INDEX(Limits!$B$2:$B$5,MATCH(E3406,Limits!$A$2:$A$5,0))</f>
        <v/>
      </c>
      <c r="I3406">
        <f>INDEX(Limits!$C$2:$C$5,MATCH(E3406,Limits!$A$2:$A$5,0))</f>
        <v/>
      </c>
      <c r="J3406">
        <f>IF(F3406&gt;=I3406,"Action",IF(F3406&gt;=H3406,"Alert","Pass"))</f>
        <v/>
      </c>
      <c r="K3406" s="4">
        <f>DATE(YEAR(B3406),MONTH(B3406),1)</f>
        <v/>
      </c>
    </row>
    <row r="3407">
      <c r="A3407" t="inlineStr">
        <is>
          <t>EM003406</t>
        </is>
      </c>
      <c r="B3407" s="7" t="n">
        <v>46276</v>
      </c>
      <c r="C3407" t="inlineStr">
        <is>
          <t>CR-102</t>
        </is>
      </c>
      <c r="D3407" t="inlineStr">
        <is>
          <t>ISO 7</t>
        </is>
      </c>
      <c r="E3407" t="inlineStr">
        <is>
          <t>Active air</t>
        </is>
      </c>
      <c r="F3407" t="n">
        <v>2</v>
      </c>
      <c r="G3407" t="inlineStr">
        <is>
          <t>Tech D</t>
        </is>
      </c>
      <c r="H3407">
        <f>INDEX(Limits!$B$2:$B$5,MATCH(E3407,Limits!$A$2:$A$5,0))</f>
        <v/>
      </c>
      <c r="I3407">
        <f>INDEX(Limits!$C$2:$C$5,MATCH(E3407,Limits!$A$2:$A$5,0))</f>
        <v/>
      </c>
      <c r="J3407">
        <f>IF(F3407&gt;=I3407,"Action",IF(F3407&gt;=H3407,"Alert","Pass"))</f>
        <v/>
      </c>
      <c r="K3407" s="4">
        <f>DATE(YEAR(B3407),MONTH(B3407),1)</f>
        <v/>
      </c>
    </row>
    <row r="3408">
      <c r="A3408" t="inlineStr">
        <is>
          <t>EM003407</t>
        </is>
      </c>
      <c r="B3408" s="7" t="n">
        <v>46276</v>
      </c>
      <c r="C3408" t="inlineStr">
        <is>
          <t>CR-102</t>
        </is>
      </c>
      <c r="D3408" t="inlineStr">
        <is>
          <t>ISO 7</t>
        </is>
      </c>
      <c r="E3408" t="inlineStr">
        <is>
          <t>Surface contact</t>
        </is>
      </c>
      <c r="F3408" t="n">
        <v>1</v>
      </c>
      <c r="G3408" t="inlineStr">
        <is>
          <t>Tech C</t>
        </is>
      </c>
      <c r="H3408">
        <f>INDEX(Limits!$B$2:$B$5,MATCH(E3408,Limits!$A$2:$A$5,0))</f>
        <v/>
      </c>
      <c r="I3408">
        <f>INDEX(Limits!$C$2:$C$5,MATCH(E3408,Limits!$A$2:$A$5,0))</f>
        <v/>
      </c>
      <c r="J3408">
        <f>IF(F3408&gt;=I3408,"Action",IF(F3408&gt;=H3408,"Alert","Pass"))</f>
        <v/>
      </c>
      <c r="K3408" s="4">
        <f>DATE(YEAR(B3408),MONTH(B3408),1)</f>
        <v/>
      </c>
    </row>
    <row r="3409">
      <c r="A3409" t="inlineStr">
        <is>
          <t>EM003408</t>
        </is>
      </c>
      <c r="B3409" s="7" t="n">
        <v>46276</v>
      </c>
      <c r="C3409" t="inlineStr">
        <is>
          <t>CR-102</t>
        </is>
      </c>
      <c r="D3409" t="inlineStr">
        <is>
          <t>ISO 7</t>
        </is>
      </c>
      <c r="E3409" t="inlineStr">
        <is>
          <t>Compressed air</t>
        </is>
      </c>
      <c r="F3409" t="n">
        <v>0</v>
      </c>
      <c r="G3409" t="inlineStr">
        <is>
          <t>Tech D</t>
        </is>
      </c>
      <c r="H3409">
        <f>INDEX(Limits!$B$2:$B$5,MATCH(E3409,Limits!$A$2:$A$5,0))</f>
        <v/>
      </c>
      <c r="I3409">
        <f>INDEX(Limits!$C$2:$C$5,MATCH(E3409,Limits!$A$2:$A$5,0))</f>
        <v/>
      </c>
      <c r="J3409">
        <f>IF(F3409&gt;=I3409,"Action",IF(F3409&gt;=H3409,"Alert","Pass"))</f>
        <v/>
      </c>
      <c r="K3409" s="4">
        <f>DATE(YEAR(B3409),MONTH(B3409),1)</f>
        <v/>
      </c>
    </row>
    <row r="3410">
      <c r="A3410" t="inlineStr">
        <is>
          <t>EM003409</t>
        </is>
      </c>
      <c r="B3410" s="7" t="n">
        <v>46276</v>
      </c>
      <c r="C3410" t="inlineStr">
        <is>
          <t>CR-102</t>
        </is>
      </c>
      <c r="D3410" t="inlineStr">
        <is>
          <t>ISO 7</t>
        </is>
      </c>
      <c r="E3410" t="inlineStr">
        <is>
          <t>Personnel glove</t>
        </is>
      </c>
      <c r="F3410" t="n">
        <v>0</v>
      </c>
      <c r="G3410" t="inlineStr">
        <is>
          <t>Tech C</t>
        </is>
      </c>
      <c r="H3410">
        <f>INDEX(Limits!$B$2:$B$5,MATCH(E3410,Limits!$A$2:$A$5,0))</f>
        <v/>
      </c>
      <c r="I3410">
        <f>INDEX(Limits!$C$2:$C$5,MATCH(E3410,Limits!$A$2:$A$5,0))</f>
        <v/>
      </c>
      <c r="J3410">
        <f>IF(F3410&gt;=I3410,"Action",IF(F3410&gt;=H3410,"Alert","Pass"))</f>
        <v/>
      </c>
      <c r="K3410" s="4">
        <f>DATE(YEAR(B3410),MONTH(B3410),1)</f>
        <v/>
      </c>
    </row>
    <row r="3411">
      <c r="A3411" t="inlineStr">
        <is>
          <t>EM003410</t>
        </is>
      </c>
      <c r="B3411" s="7" t="n">
        <v>46276</v>
      </c>
      <c r="C3411" t="inlineStr">
        <is>
          <t>CR-201</t>
        </is>
      </c>
      <c r="D3411" t="inlineStr">
        <is>
          <t>ISO 8</t>
        </is>
      </c>
      <c r="E3411" t="inlineStr">
        <is>
          <t>Active air</t>
        </is>
      </c>
      <c r="F3411" t="n">
        <v>1</v>
      </c>
      <c r="G3411" t="inlineStr">
        <is>
          <t>Tech C</t>
        </is>
      </c>
      <c r="H3411">
        <f>INDEX(Limits!$B$2:$B$5,MATCH(E3411,Limits!$A$2:$A$5,0))</f>
        <v/>
      </c>
      <c r="I3411">
        <f>INDEX(Limits!$C$2:$C$5,MATCH(E3411,Limits!$A$2:$A$5,0))</f>
        <v/>
      </c>
      <c r="J3411">
        <f>IF(F3411&gt;=I3411,"Action",IF(F3411&gt;=H3411,"Alert","Pass"))</f>
        <v/>
      </c>
      <c r="K3411" s="4">
        <f>DATE(YEAR(B3411),MONTH(B3411),1)</f>
        <v/>
      </c>
    </row>
    <row r="3412">
      <c r="A3412" t="inlineStr">
        <is>
          <t>EM003411</t>
        </is>
      </c>
      <c r="B3412" s="7" t="n">
        <v>46276</v>
      </c>
      <c r="C3412" t="inlineStr">
        <is>
          <t>CR-201</t>
        </is>
      </c>
      <c r="D3412" t="inlineStr">
        <is>
          <t>ISO 8</t>
        </is>
      </c>
      <c r="E3412" t="inlineStr">
        <is>
          <t>Surface contact</t>
        </is>
      </c>
      <c r="F3412" t="n">
        <v>2</v>
      </c>
      <c r="G3412" t="inlineStr">
        <is>
          <t>Tech D</t>
        </is>
      </c>
      <c r="H3412">
        <f>INDEX(Limits!$B$2:$B$5,MATCH(E3412,Limits!$A$2:$A$5,0))</f>
        <v/>
      </c>
      <c r="I3412">
        <f>INDEX(Limits!$C$2:$C$5,MATCH(E3412,Limits!$A$2:$A$5,0))</f>
        <v/>
      </c>
      <c r="J3412">
        <f>IF(F3412&gt;=I3412,"Action",IF(F3412&gt;=H3412,"Alert","Pass"))</f>
        <v/>
      </c>
      <c r="K3412" s="4">
        <f>DATE(YEAR(B3412),MONTH(B3412),1)</f>
        <v/>
      </c>
    </row>
    <row r="3413">
      <c r="A3413" t="inlineStr">
        <is>
          <t>EM003412</t>
        </is>
      </c>
      <c r="B3413" s="7" t="n">
        <v>46276</v>
      </c>
      <c r="C3413" t="inlineStr">
        <is>
          <t>CR-201</t>
        </is>
      </c>
      <c r="D3413" t="inlineStr">
        <is>
          <t>ISO 8</t>
        </is>
      </c>
      <c r="E3413" t="inlineStr">
        <is>
          <t>Compressed air</t>
        </is>
      </c>
      <c r="F3413" t="n">
        <v>0</v>
      </c>
      <c r="G3413" t="inlineStr">
        <is>
          <t>Tech A</t>
        </is>
      </c>
      <c r="H3413">
        <f>INDEX(Limits!$B$2:$B$5,MATCH(E3413,Limits!$A$2:$A$5,0))</f>
        <v/>
      </c>
      <c r="I3413">
        <f>INDEX(Limits!$C$2:$C$5,MATCH(E3413,Limits!$A$2:$A$5,0))</f>
        <v/>
      </c>
      <c r="J3413">
        <f>IF(F3413&gt;=I3413,"Action",IF(F3413&gt;=H3413,"Alert","Pass"))</f>
        <v/>
      </c>
      <c r="K3413" s="4">
        <f>DATE(YEAR(B3413),MONTH(B3413),1)</f>
        <v/>
      </c>
    </row>
    <row r="3414">
      <c r="A3414" t="inlineStr">
        <is>
          <t>EM003413</t>
        </is>
      </c>
      <c r="B3414" s="7" t="n">
        <v>46276</v>
      </c>
      <c r="C3414" t="inlineStr">
        <is>
          <t>CR-201</t>
        </is>
      </c>
      <c r="D3414" t="inlineStr">
        <is>
          <t>ISO 8</t>
        </is>
      </c>
      <c r="E3414" t="inlineStr">
        <is>
          <t>Personnel glove</t>
        </is>
      </c>
      <c r="F3414" t="n">
        <v>0</v>
      </c>
      <c r="G3414" t="inlineStr">
        <is>
          <t>Tech A</t>
        </is>
      </c>
      <c r="H3414">
        <f>INDEX(Limits!$B$2:$B$5,MATCH(E3414,Limits!$A$2:$A$5,0))</f>
        <v/>
      </c>
      <c r="I3414">
        <f>INDEX(Limits!$C$2:$C$5,MATCH(E3414,Limits!$A$2:$A$5,0))</f>
        <v/>
      </c>
      <c r="J3414">
        <f>IF(F3414&gt;=I3414,"Action",IF(F3414&gt;=H3414,"Alert","Pass"))</f>
        <v/>
      </c>
      <c r="K3414" s="4">
        <f>DATE(YEAR(B3414),MONTH(B3414),1)</f>
        <v/>
      </c>
    </row>
    <row r="3415">
      <c r="A3415" t="inlineStr">
        <is>
          <t>EM003414</t>
        </is>
      </c>
      <c r="B3415" s="7" t="n">
        <v>46276</v>
      </c>
      <c r="C3415" t="inlineStr">
        <is>
          <t>CR-202</t>
        </is>
      </c>
      <c r="D3415" t="inlineStr">
        <is>
          <t>ISO 8</t>
        </is>
      </c>
      <c r="E3415" t="inlineStr">
        <is>
          <t>Active air</t>
        </is>
      </c>
      <c r="F3415" t="n">
        <v>1</v>
      </c>
      <c r="G3415" t="inlineStr">
        <is>
          <t>Tech B</t>
        </is>
      </c>
      <c r="H3415">
        <f>INDEX(Limits!$B$2:$B$5,MATCH(E3415,Limits!$A$2:$A$5,0))</f>
        <v/>
      </c>
      <c r="I3415">
        <f>INDEX(Limits!$C$2:$C$5,MATCH(E3415,Limits!$A$2:$A$5,0))</f>
        <v/>
      </c>
      <c r="J3415">
        <f>IF(F3415&gt;=I3415,"Action",IF(F3415&gt;=H3415,"Alert","Pass"))</f>
        <v/>
      </c>
      <c r="K3415" s="4">
        <f>DATE(YEAR(B3415),MONTH(B3415),1)</f>
        <v/>
      </c>
    </row>
    <row r="3416">
      <c r="A3416" t="inlineStr">
        <is>
          <t>EM003415</t>
        </is>
      </c>
      <c r="B3416" s="7" t="n">
        <v>46276</v>
      </c>
      <c r="C3416" t="inlineStr">
        <is>
          <t>CR-202</t>
        </is>
      </c>
      <c r="D3416" t="inlineStr">
        <is>
          <t>ISO 8</t>
        </is>
      </c>
      <c r="E3416" t="inlineStr">
        <is>
          <t>Surface contact</t>
        </is>
      </c>
      <c r="F3416" t="n">
        <v>2</v>
      </c>
      <c r="G3416" t="inlineStr">
        <is>
          <t>Tech B</t>
        </is>
      </c>
      <c r="H3416">
        <f>INDEX(Limits!$B$2:$B$5,MATCH(E3416,Limits!$A$2:$A$5,0))</f>
        <v/>
      </c>
      <c r="I3416">
        <f>INDEX(Limits!$C$2:$C$5,MATCH(E3416,Limits!$A$2:$A$5,0))</f>
        <v/>
      </c>
      <c r="J3416">
        <f>IF(F3416&gt;=I3416,"Action",IF(F3416&gt;=H3416,"Alert","Pass"))</f>
        <v/>
      </c>
      <c r="K3416" s="4">
        <f>DATE(YEAR(B3416),MONTH(B3416),1)</f>
        <v/>
      </c>
    </row>
    <row r="3417">
      <c r="A3417" t="inlineStr">
        <is>
          <t>EM003416</t>
        </is>
      </c>
      <c r="B3417" s="7" t="n">
        <v>46276</v>
      </c>
      <c r="C3417" t="inlineStr">
        <is>
          <t>CR-202</t>
        </is>
      </c>
      <c r="D3417" t="inlineStr">
        <is>
          <t>ISO 8</t>
        </is>
      </c>
      <c r="E3417" t="inlineStr">
        <is>
          <t>Compressed air</t>
        </is>
      </c>
      <c r="F3417" t="n">
        <v>0</v>
      </c>
      <c r="G3417" t="inlineStr">
        <is>
          <t>Tech B</t>
        </is>
      </c>
      <c r="H3417">
        <f>INDEX(Limits!$B$2:$B$5,MATCH(E3417,Limits!$A$2:$A$5,0))</f>
        <v/>
      </c>
      <c r="I3417">
        <f>INDEX(Limits!$C$2:$C$5,MATCH(E3417,Limits!$A$2:$A$5,0))</f>
        <v/>
      </c>
      <c r="J3417">
        <f>IF(F3417&gt;=I3417,"Action",IF(F3417&gt;=H3417,"Alert","Pass"))</f>
        <v/>
      </c>
      <c r="K3417" s="4">
        <f>DATE(YEAR(B3417),MONTH(B3417),1)</f>
        <v/>
      </c>
    </row>
    <row r="3418">
      <c r="A3418" t="inlineStr">
        <is>
          <t>EM003417</t>
        </is>
      </c>
      <c r="B3418" s="7" t="n">
        <v>46276</v>
      </c>
      <c r="C3418" t="inlineStr">
        <is>
          <t>CR-202</t>
        </is>
      </c>
      <c r="D3418" t="inlineStr">
        <is>
          <t>ISO 8</t>
        </is>
      </c>
      <c r="E3418" t="inlineStr">
        <is>
          <t>Personnel glove</t>
        </is>
      </c>
      <c r="F3418" t="n">
        <v>0</v>
      </c>
      <c r="G3418" t="inlineStr">
        <is>
          <t>Tech A</t>
        </is>
      </c>
      <c r="H3418">
        <f>INDEX(Limits!$B$2:$B$5,MATCH(E3418,Limits!$A$2:$A$5,0))</f>
        <v/>
      </c>
      <c r="I3418">
        <f>INDEX(Limits!$C$2:$C$5,MATCH(E3418,Limits!$A$2:$A$5,0))</f>
        <v/>
      </c>
      <c r="J3418">
        <f>IF(F3418&gt;=I3418,"Action",IF(F3418&gt;=H3418,"Alert","Pass"))</f>
        <v/>
      </c>
      <c r="K3418" s="4">
        <f>DATE(YEAR(B3418),MONTH(B3418),1)</f>
        <v/>
      </c>
    </row>
    <row r="3419">
      <c r="A3419" t="inlineStr">
        <is>
          <t>EM003418</t>
        </is>
      </c>
      <c r="B3419" s="7" t="n">
        <v>46276</v>
      </c>
      <c r="C3419" t="inlineStr">
        <is>
          <t>Gowning</t>
        </is>
      </c>
      <c r="D3419" t="inlineStr">
        <is>
          <t>ISO 8</t>
        </is>
      </c>
      <c r="E3419" t="inlineStr">
        <is>
          <t>Active air</t>
        </is>
      </c>
      <c r="F3419" t="n">
        <v>0</v>
      </c>
      <c r="G3419" t="inlineStr">
        <is>
          <t>Tech A</t>
        </is>
      </c>
      <c r="H3419">
        <f>INDEX(Limits!$B$2:$B$5,MATCH(E3419,Limits!$A$2:$A$5,0))</f>
        <v/>
      </c>
      <c r="I3419">
        <f>INDEX(Limits!$C$2:$C$5,MATCH(E3419,Limits!$A$2:$A$5,0))</f>
        <v/>
      </c>
      <c r="J3419">
        <f>IF(F3419&gt;=I3419,"Action",IF(F3419&gt;=H3419,"Alert","Pass"))</f>
        <v/>
      </c>
      <c r="K3419" s="4">
        <f>DATE(YEAR(B3419),MONTH(B3419),1)</f>
        <v/>
      </c>
    </row>
    <row r="3420">
      <c r="A3420" t="inlineStr">
        <is>
          <t>EM003419</t>
        </is>
      </c>
      <c r="B3420" s="7" t="n">
        <v>46276</v>
      </c>
      <c r="C3420" t="inlineStr">
        <is>
          <t>Gowning</t>
        </is>
      </c>
      <c r="D3420" t="inlineStr">
        <is>
          <t>ISO 8</t>
        </is>
      </c>
      <c r="E3420" t="inlineStr">
        <is>
          <t>Surface contact</t>
        </is>
      </c>
      <c r="F3420" t="n">
        <v>1</v>
      </c>
      <c r="G3420" t="inlineStr">
        <is>
          <t>Tech D</t>
        </is>
      </c>
      <c r="H3420">
        <f>INDEX(Limits!$B$2:$B$5,MATCH(E3420,Limits!$A$2:$A$5,0))</f>
        <v/>
      </c>
      <c r="I3420">
        <f>INDEX(Limits!$C$2:$C$5,MATCH(E3420,Limits!$A$2:$A$5,0))</f>
        <v/>
      </c>
      <c r="J3420">
        <f>IF(F3420&gt;=I3420,"Action",IF(F3420&gt;=H3420,"Alert","Pass"))</f>
        <v/>
      </c>
      <c r="K3420" s="4">
        <f>DATE(YEAR(B3420),MONTH(B3420),1)</f>
        <v/>
      </c>
    </row>
    <row r="3421">
      <c r="A3421" t="inlineStr">
        <is>
          <t>EM003420</t>
        </is>
      </c>
      <c r="B3421" s="7" t="n">
        <v>46276</v>
      </c>
      <c r="C3421" t="inlineStr">
        <is>
          <t>Gowning</t>
        </is>
      </c>
      <c r="D3421" t="inlineStr">
        <is>
          <t>ISO 8</t>
        </is>
      </c>
      <c r="E3421" t="inlineStr">
        <is>
          <t>Personnel glove</t>
        </is>
      </c>
      <c r="F3421" t="n">
        <v>0</v>
      </c>
      <c r="G3421" t="inlineStr">
        <is>
          <t>Tech B</t>
        </is>
      </c>
      <c r="H3421">
        <f>INDEX(Limits!$B$2:$B$5,MATCH(E3421,Limits!$A$2:$A$5,0))</f>
        <v/>
      </c>
      <c r="I3421">
        <f>INDEX(Limits!$C$2:$C$5,MATCH(E3421,Limits!$A$2:$A$5,0))</f>
        <v/>
      </c>
      <c r="J3421">
        <f>IF(F3421&gt;=I3421,"Action",IF(F3421&gt;=H3421,"Alert","Pass"))</f>
        <v/>
      </c>
      <c r="K3421" s="4">
        <f>DATE(YEAR(B3421),MONTH(B3421),1)</f>
        <v/>
      </c>
    </row>
    <row r="3422">
      <c r="A3422" t="inlineStr">
        <is>
          <t>EM003421</t>
        </is>
      </c>
      <c r="B3422" s="7" t="n">
        <v>46279</v>
      </c>
      <c r="C3422" t="inlineStr">
        <is>
          <t>CR-101</t>
        </is>
      </c>
      <c r="D3422" t="inlineStr">
        <is>
          <t>ISO 7</t>
        </is>
      </c>
      <c r="E3422" t="inlineStr">
        <is>
          <t>Active air</t>
        </is>
      </c>
      <c r="F3422" t="n">
        <v>0</v>
      </c>
      <c r="G3422" t="inlineStr">
        <is>
          <t>Tech B</t>
        </is>
      </c>
      <c r="H3422">
        <f>INDEX(Limits!$B$2:$B$5,MATCH(E3422,Limits!$A$2:$A$5,0))</f>
        <v/>
      </c>
      <c r="I3422">
        <f>INDEX(Limits!$C$2:$C$5,MATCH(E3422,Limits!$A$2:$A$5,0))</f>
        <v/>
      </c>
      <c r="J3422">
        <f>IF(F3422&gt;=I3422,"Action",IF(F3422&gt;=H3422,"Alert","Pass"))</f>
        <v/>
      </c>
      <c r="K3422" s="4">
        <f>DATE(YEAR(B3422),MONTH(B3422),1)</f>
        <v/>
      </c>
    </row>
    <row r="3423">
      <c r="A3423" t="inlineStr">
        <is>
          <t>EM003422</t>
        </is>
      </c>
      <c r="B3423" s="7" t="n">
        <v>46279</v>
      </c>
      <c r="C3423" t="inlineStr">
        <is>
          <t>CR-101</t>
        </is>
      </c>
      <c r="D3423" t="inlineStr">
        <is>
          <t>ISO 7</t>
        </is>
      </c>
      <c r="E3423" t="inlineStr">
        <is>
          <t>Surface contact</t>
        </is>
      </c>
      <c r="F3423" t="n">
        <v>2</v>
      </c>
      <c r="G3423" t="inlineStr">
        <is>
          <t>Tech C</t>
        </is>
      </c>
      <c r="H3423">
        <f>INDEX(Limits!$B$2:$B$5,MATCH(E3423,Limits!$A$2:$A$5,0))</f>
        <v/>
      </c>
      <c r="I3423">
        <f>INDEX(Limits!$C$2:$C$5,MATCH(E3423,Limits!$A$2:$A$5,0))</f>
        <v/>
      </c>
      <c r="J3423">
        <f>IF(F3423&gt;=I3423,"Action",IF(F3423&gt;=H3423,"Alert","Pass"))</f>
        <v/>
      </c>
      <c r="K3423" s="4">
        <f>DATE(YEAR(B3423),MONTH(B3423),1)</f>
        <v/>
      </c>
    </row>
    <row r="3424">
      <c r="A3424" t="inlineStr">
        <is>
          <t>EM003423</t>
        </is>
      </c>
      <c r="B3424" s="7" t="n">
        <v>46279</v>
      </c>
      <c r="C3424" t="inlineStr">
        <is>
          <t>CR-101</t>
        </is>
      </c>
      <c r="D3424" t="inlineStr">
        <is>
          <t>ISO 7</t>
        </is>
      </c>
      <c r="E3424" t="inlineStr">
        <is>
          <t>Compressed air</t>
        </is>
      </c>
      <c r="F3424" t="n">
        <v>0</v>
      </c>
      <c r="G3424" t="inlineStr">
        <is>
          <t>Tech C</t>
        </is>
      </c>
      <c r="H3424">
        <f>INDEX(Limits!$B$2:$B$5,MATCH(E3424,Limits!$A$2:$A$5,0))</f>
        <v/>
      </c>
      <c r="I3424">
        <f>INDEX(Limits!$C$2:$C$5,MATCH(E3424,Limits!$A$2:$A$5,0))</f>
        <v/>
      </c>
      <c r="J3424">
        <f>IF(F3424&gt;=I3424,"Action",IF(F3424&gt;=H3424,"Alert","Pass"))</f>
        <v/>
      </c>
      <c r="K3424" s="4">
        <f>DATE(YEAR(B3424),MONTH(B3424),1)</f>
        <v/>
      </c>
    </row>
    <row r="3425">
      <c r="A3425" t="inlineStr">
        <is>
          <t>EM003424</t>
        </is>
      </c>
      <c r="B3425" s="7" t="n">
        <v>46279</v>
      </c>
      <c r="C3425" t="inlineStr">
        <is>
          <t>CR-101</t>
        </is>
      </c>
      <c r="D3425" t="inlineStr">
        <is>
          <t>ISO 7</t>
        </is>
      </c>
      <c r="E3425" t="inlineStr">
        <is>
          <t>Personnel glove</t>
        </is>
      </c>
      <c r="F3425" t="n">
        <v>0</v>
      </c>
      <c r="G3425" t="inlineStr">
        <is>
          <t>Tech A</t>
        </is>
      </c>
      <c r="H3425">
        <f>INDEX(Limits!$B$2:$B$5,MATCH(E3425,Limits!$A$2:$A$5,0))</f>
        <v/>
      </c>
      <c r="I3425">
        <f>INDEX(Limits!$C$2:$C$5,MATCH(E3425,Limits!$A$2:$A$5,0))</f>
        <v/>
      </c>
      <c r="J3425">
        <f>IF(F3425&gt;=I3425,"Action",IF(F3425&gt;=H3425,"Alert","Pass"))</f>
        <v/>
      </c>
      <c r="K3425" s="4">
        <f>DATE(YEAR(B3425),MONTH(B3425),1)</f>
        <v/>
      </c>
    </row>
    <row r="3426">
      <c r="A3426" t="inlineStr">
        <is>
          <t>EM003425</t>
        </is>
      </c>
      <c r="B3426" s="7" t="n">
        <v>46279</v>
      </c>
      <c r="C3426" t="inlineStr">
        <is>
          <t>CR-102</t>
        </is>
      </c>
      <c r="D3426" t="inlineStr">
        <is>
          <t>ISO 7</t>
        </is>
      </c>
      <c r="E3426" t="inlineStr">
        <is>
          <t>Active air</t>
        </is>
      </c>
      <c r="F3426" t="n">
        <v>1</v>
      </c>
      <c r="G3426" t="inlineStr">
        <is>
          <t>Tech D</t>
        </is>
      </c>
      <c r="H3426">
        <f>INDEX(Limits!$B$2:$B$5,MATCH(E3426,Limits!$A$2:$A$5,0))</f>
        <v/>
      </c>
      <c r="I3426">
        <f>INDEX(Limits!$C$2:$C$5,MATCH(E3426,Limits!$A$2:$A$5,0))</f>
        <v/>
      </c>
      <c r="J3426">
        <f>IF(F3426&gt;=I3426,"Action",IF(F3426&gt;=H3426,"Alert","Pass"))</f>
        <v/>
      </c>
      <c r="K3426" s="4">
        <f>DATE(YEAR(B3426),MONTH(B3426),1)</f>
        <v/>
      </c>
    </row>
    <row r="3427">
      <c r="A3427" t="inlineStr">
        <is>
          <t>EM003426</t>
        </is>
      </c>
      <c r="B3427" s="7" t="n">
        <v>46279</v>
      </c>
      <c r="C3427" t="inlineStr">
        <is>
          <t>CR-102</t>
        </is>
      </c>
      <c r="D3427" t="inlineStr">
        <is>
          <t>ISO 7</t>
        </is>
      </c>
      <c r="E3427" t="inlineStr">
        <is>
          <t>Surface contact</t>
        </is>
      </c>
      <c r="F3427" t="n">
        <v>0</v>
      </c>
      <c r="G3427" t="inlineStr">
        <is>
          <t>Tech D</t>
        </is>
      </c>
      <c r="H3427">
        <f>INDEX(Limits!$B$2:$B$5,MATCH(E3427,Limits!$A$2:$A$5,0))</f>
        <v/>
      </c>
      <c r="I3427">
        <f>INDEX(Limits!$C$2:$C$5,MATCH(E3427,Limits!$A$2:$A$5,0))</f>
        <v/>
      </c>
      <c r="J3427">
        <f>IF(F3427&gt;=I3427,"Action",IF(F3427&gt;=H3427,"Alert","Pass"))</f>
        <v/>
      </c>
      <c r="K3427" s="4">
        <f>DATE(YEAR(B3427),MONTH(B3427),1)</f>
        <v/>
      </c>
    </row>
    <row r="3428">
      <c r="A3428" t="inlineStr">
        <is>
          <t>EM003427</t>
        </is>
      </c>
      <c r="B3428" s="7" t="n">
        <v>46279</v>
      </c>
      <c r="C3428" t="inlineStr">
        <is>
          <t>CR-102</t>
        </is>
      </c>
      <c r="D3428" t="inlineStr">
        <is>
          <t>ISO 7</t>
        </is>
      </c>
      <c r="E3428" t="inlineStr">
        <is>
          <t>Compressed air</t>
        </is>
      </c>
      <c r="F3428" t="n">
        <v>0</v>
      </c>
      <c r="G3428" t="inlineStr">
        <is>
          <t>Tech D</t>
        </is>
      </c>
      <c r="H3428">
        <f>INDEX(Limits!$B$2:$B$5,MATCH(E3428,Limits!$A$2:$A$5,0))</f>
        <v/>
      </c>
      <c r="I3428">
        <f>INDEX(Limits!$C$2:$C$5,MATCH(E3428,Limits!$A$2:$A$5,0))</f>
        <v/>
      </c>
      <c r="J3428">
        <f>IF(F3428&gt;=I3428,"Action",IF(F3428&gt;=H3428,"Alert","Pass"))</f>
        <v/>
      </c>
      <c r="K3428" s="4">
        <f>DATE(YEAR(B3428),MONTH(B3428),1)</f>
        <v/>
      </c>
    </row>
    <row r="3429">
      <c r="A3429" t="inlineStr">
        <is>
          <t>EM003428</t>
        </is>
      </c>
      <c r="B3429" s="7" t="n">
        <v>46279</v>
      </c>
      <c r="C3429" t="inlineStr">
        <is>
          <t>CR-102</t>
        </is>
      </c>
      <c r="D3429" t="inlineStr">
        <is>
          <t>ISO 7</t>
        </is>
      </c>
      <c r="E3429" t="inlineStr">
        <is>
          <t>Personnel glove</t>
        </is>
      </c>
      <c r="F3429" t="n">
        <v>0</v>
      </c>
      <c r="G3429" t="inlineStr">
        <is>
          <t>Tech A</t>
        </is>
      </c>
      <c r="H3429">
        <f>INDEX(Limits!$B$2:$B$5,MATCH(E3429,Limits!$A$2:$A$5,0))</f>
        <v/>
      </c>
      <c r="I3429">
        <f>INDEX(Limits!$C$2:$C$5,MATCH(E3429,Limits!$A$2:$A$5,0))</f>
        <v/>
      </c>
      <c r="J3429">
        <f>IF(F3429&gt;=I3429,"Action",IF(F3429&gt;=H3429,"Alert","Pass"))</f>
        <v/>
      </c>
      <c r="K3429" s="4">
        <f>DATE(YEAR(B3429),MONTH(B3429),1)</f>
        <v/>
      </c>
    </row>
    <row r="3430">
      <c r="A3430" t="inlineStr">
        <is>
          <t>EM003429</t>
        </is>
      </c>
      <c r="B3430" s="7" t="n">
        <v>46279</v>
      </c>
      <c r="C3430" t="inlineStr">
        <is>
          <t>CR-201</t>
        </is>
      </c>
      <c r="D3430" t="inlineStr">
        <is>
          <t>ISO 8</t>
        </is>
      </c>
      <c r="E3430" t="inlineStr">
        <is>
          <t>Active air</t>
        </is>
      </c>
      <c r="F3430" t="n">
        <v>2</v>
      </c>
      <c r="G3430" t="inlineStr">
        <is>
          <t>Tech D</t>
        </is>
      </c>
      <c r="H3430">
        <f>INDEX(Limits!$B$2:$B$5,MATCH(E3430,Limits!$A$2:$A$5,0))</f>
        <v/>
      </c>
      <c r="I3430">
        <f>INDEX(Limits!$C$2:$C$5,MATCH(E3430,Limits!$A$2:$A$5,0))</f>
        <v/>
      </c>
      <c r="J3430">
        <f>IF(F3430&gt;=I3430,"Action",IF(F3430&gt;=H3430,"Alert","Pass"))</f>
        <v/>
      </c>
      <c r="K3430" s="4">
        <f>DATE(YEAR(B3430),MONTH(B3430),1)</f>
        <v/>
      </c>
    </row>
    <row r="3431">
      <c r="A3431" t="inlineStr">
        <is>
          <t>EM003430</t>
        </is>
      </c>
      <c r="B3431" s="7" t="n">
        <v>46279</v>
      </c>
      <c r="C3431" t="inlineStr">
        <is>
          <t>CR-201</t>
        </is>
      </c>
      <c r="D3431" t="inlineStr">
        <is>
          <t>ISO 8</t>
        </is>
      </c>
      <c r="E3431" t="inlineStr">
        <is>
          <t>Surface contact</t>
        </is>
      </c>
      <c r="F3431" t="n">
        <v>0</v>
      </c>
      <c r="G3431" t="inlineStr">
        <is>
          <t>Tech B</t>
        </is>
      </c>
      <c r="H3431">
        <f>INDEX(Limits!$B$2:$B$5,MATCH(E3431,Limits!$A$2:$A$5,0))</f>
        <v/>
      </c>
      <c r="I3431">
        <f>INDEX(Limits!$C$2:$C$5,MATCH(E3431,Limits!$A$2:$A$5,0))</f>
        <v/>
      </c>
      <c r="J3431">
        <f>IF(F3431&gt;=I3431,"Action",IF(F3431&gt;=H3431,"Alert","Pass"))</f>
        <v/>
      </c>
      <c r="K3431" s="4">
        <f>DATE(YEAR(B3431),MONTH(B3431),1)</f>
        <v/>
      </c>
    </row>
    <row r="3432">
      <c r="A3432" t="inlineStr">
        <is>
          <t>EM003431</t>
        </is>
      </c>
      <c r="B3432" s="7" t="n">
        <v>46279</v>
      </c>
      <c r="C3432" t="inlineStr">
        <is>
          <t>CR-201</t>
        </is>
      </c>
      <c r="D3432" t="inlineStr">
        <is>
          <t>ISO 8</t>
        </is>
      </c>
      <c r="E3432" t="inlineStr">
        <is>
          <t>Compressed air</t>
        </is>
      </c>
      <c r="F3432" t="n">
        <v>0</v>
      </c>
      <c r="G3432" t="inlineStr">
        <is>
          <t>Tech A</t>
        </is>
      </c>
      <c r="H3432">
        <f>INDEX(Limits!$B$2:$B$5,MATCH(E3432,Limits!$A$2:$A$5,0))</f>
        <v/>
      </c>
      <c r="I3432">
        <f>INDEX(Limits!$C$2:$C$5,MATCH(E3432,Limits!$A$2:$A$5,0))</f>
        <v/>
      </c>
      <c r="J3432">
        <f>IF(F3432&gt;=I3432,"Action",IF(F3432&gt;=H3432,"Alert","Pass"))</f>
        <v/>
      </c>
      <c r="K3432" s="4">
        <f>DATE(YEAR(B3432),MONTH(B3432),1)</f>
        <v/>
      </c>
    </row>
    <row r="3433">
      <c r="A3433" t="inlineStr">
        <is>
          <t>EM003432</t>
        </is>
      </c>
      <c r="B3433" s="7" t="n">
        <v>46279</v>
      </c>
      <c r="C3433" t="inlineStr">
        <is>
          <t>CR-201</t>
        </is>
      </c>
      <c r="D3433" t="inlineStr">
        <is>
          <t>ISO 8</t>
        </is>
      </c>
      <c r="E3433" t="inlineStr">
        <is>
          <t>Personnel glove</t>
        </is>
      </c>
      <c r="F3433" t="n">
        <v>1</v>
      </c>
      <c r="G3433" t="inlineStr">
        <is>
          <t>Tech C</t>
        </is>
      </c>
      <c r="H3433">
        <f>INDEX(Limits!$B$2:$B$5,MATCH(E3433,Limits!$A$2:$A$5,0))</f>
        <v/>
      </c>
      <c r="I3433">
        <f>INDEX(Limits!$C$2:$C$5,MATCH(E3433,Limits!$A$2:$A$5,0))</f>
        <v/>
      </c>
      <c r="J3433">
        <f>IF(F3433&gt;=I3433,"Action",IF(F3433&gt;=H3433,"Alert","Pass"))</f>
        <v/>
      </c>
      <c r="K3433" s="4">
        <f>DATE(YEAR(B3433),MONTH(B3433),1)</f>
        <v/>
      </c>
    </row>
    <row r="3434">
      <c r="A3434" t="inlineStr">
        <is>
          <t>EM003433</t>
        </is>
      </c>
      <c r="B3434" s="7" t="n">
        <v>46279</v>
      </c>
      <c r="C3434" t="inlineStr">
        <is>
          <t>CR-202</t>
        </is>
      </c>
      <c r="D3434" t="inlineStr">
        <is>
          <t>ISO 8</t>
        </is>
      </c>
      <c r="E3434" t="inlineStr">
        <is>
          <t>Active air</t>
        </is>
      </c>
      <c r="F3434" t="n">
        <v>2</v>
      </c>
      <c r="G3434" t="inlineStr">
        <is>
          <t>Tech C</t>
        </is>
      </c>
      <c r="H3434">
        <f>INDEX(Limits!$B$2:$B$5,MATCH(E3434,Limits!$A$2:$A$5,0))</f>
        <v/>
      </c>
      <c r="I3434">
        <f>INDEX(Limits!$C$2:$C$5,MATCH(E3434,Limits!$A$2:$A$5,0))</f>
        <v/>
      </c>
      <c r="J3434">
        <f>IF(F3434&gt;=I3434,"Action",IF(F3434&gt;=H3434,"Alert","Pass"))</f>
        <v/>
      </c>
      <c r="K3434" s="4">
        <f>DATE(YEAR(B3434),MONTH(B3434),1)</f>
        <v/>
      </c>
    </row>
    <row r="3435">
      <c r="A3435" t="inlineStr">
        <is>
          <t>EM003434</t>
        </is>
      </c>
      <c r="B3435" s="7" t="n">
        <v>46279</v>
      </c>
      <c r="C3435" t="inlineStr">
        <is>
          <t>CR-202</t>
        </is>
      </c>
      <c r="D3435" t="inlineStr">
        <is>
          <t>ISO 8</t>
        </is>
      </c>
      <c r="E3435" t="inlineStr">
        <is>
          <t>Surface contact</t>
        </is>
      </c>
      <c r="F3435" t="n">
        <v>2</v>
      </c>
      <c r="G3435" t="inlineStr">
        <is>
          <t>Tech B</t>
        </is>
      </c>
      <c r="H3435">
        <f>INDEX(Limits!$B$2:$B$5,MATCH(E3435,Limits!$A$2:$A$5,0))</f>
        <v/>
      </c>
      <c r="I3435">
        <f>INDEX(Limits!$C$2:$C$5,MATCH(E3435,Limits!$A$2:$A$5,0))</f>
        <v/>
      </c>
      <c r="J3435">
        <f>IF(F3435&gt;=I3435,"Action",IF(F3435&gt;=H3435,"Alert","Pass"))</f>
        <v/>
      </c>
      <c r="K3435" s="4">
        <f>DATE(YEAR(B3435),MONTH(B3435),1)</f>
        <v/>
      </c>
    </row>
    <row r="3436">
      <c r="A3436" t="inlineStr">
        <is>
          <t>EM003435</t>
        </is>
      </c>
      <c r="B3436" s="7" t="n">
        <v>46279</v>
      </c>
      <c r="C3436" t="inlineStr">
        <is>
          <t>CR-202</t>
        </is>
      </c>
      <c r="D3436" t="inlineStr">
        <is>
          <t>ISO 8</t>
        </is>
      </c>
      <c r="E3436" t="inlineStr">
        <is>
          <t>Compressed air</t>
        </is>
      </c>
      <c r="F3436" t="n">
        <v>0</v>
      </c>
      <c r="G3436" t="inlineStr">
        <is>
          <t>Tech B</t>
        </is>
      </c>
      <c r="H3436">
        <f>INDEX(Limits!$B$2:$B$5,MATCH(E3436,Limits!$A$2:$A$5,0))</f>
        <v/>
      </c>
      <c r="I3436">
        <f>INDEX(Limits!$C$2:$C$5,MATCH(E3436,Limits!$A$2:$A$5,0))</f>
        <v/>
      </c>
      <c r="J3436">
        <f>IF(F3436&gt;=I3436,"Action",IF(F3436&gt;=H3436,"Alert","Pass"))</f>
        <v/>
      </c>
      <c r="K3436" s="4">
        <f>DATE(YEAR(B3436),MONTH(B3436),1)</f>
        <v/>
      </c>
    </row>
    <row r="3437">
      <c r="A3437" t="inlineStr">
        <is>
          <t>EM003436</t>
        </is>
      </c>
      <c r="B3437" s="7" t="n">
        <v>46279</v>
      </c>
      <c r="C3437" t="inlineStr">
        <is>
          <t>CR-202</t>
        </is>
      </c>
      <c r="D3437" t="inlineStr">
        <is>
          <t>ISO 8</t>
        </is>
      </c>
      <c r="E3437" t="inlineStr">
        <is>
          <t>Personnel glove</t>
        </is>
      </c>
      <c r="F3437" t="n">
        <v>0</v>
      </c>
      <c r="G3437" t="inlineStr">
        <is>
          <t>Tech A</t>
        </is>
      </c>
      <c r="H3437">
        <f>INDEX(Limits!$B$2:$B$5,MATCH(E3437,Limits!$A$2:$A$5,0))</f>
        <v/>
      </c>
      <c r="I3437">
        <f>INDEX(Limits!$C$2:$C$5,MATCH(E3437,Limits!$A$2:$A$5,0))</f>
        <v/>
      </c>
      <c r="J3437">
        <f>IF(F3437&gt;=I3437,"Action",IF(F3437&gt;=H3437,"Alert","Pass"))</f>
        <v/>
      </c>
      <c r="K3437" s="4">
        <f>DATE(YEAR(B3437),MONTH(B3437),1)</f>
        <v/>
      </c>
    </row>
    <row r="3438">
      <c r="A3438" t="inlineStr">
        <is>
          <t>EM003437</t>
        </is>
      </c>
      <c r="B3438" s="7" t="n">
        <v>46279</v>
      </c>
      <c r="C3438" t="inlineStr">
        <is>
          <t>Gowning</t>
        </is>
      </c>
      <c r="D3438" t="inlineStr">
        <is>
          <t>ISO 8</t>
        </is>
      </c>
      <c r="E3438" t="inlineStr">
        <is>
          <t>Active air</t>
        </is>
      </c>
      <c r="F3438" t="n">
        <v>3</v>
      </c>
      <c r="G3438" t="inlineStr">
        <is>
          <t>Tech A</t>
        </is>
      </c>
      <c r="H3438">
        <f>INDEX(Limits!$B$2:$B$5,MATCH(E3438,Limits!$A$2:$A$5,0))</f>
        <v/>
      </c>
      <c r="I3438">
        <f>INDEX(Limits!$C$2:$C$5,MATCH(E3438,Limits!$A$2:$A$5,0))</f>
        <v/>
      </c>
      <c r="J3438">
        <f>IF(F3438&gt;=I3438,"Action",IF(F3438&gt;=H3438,"Alert","Pass"))</f>
        <v/>
      </c>
      <c r="K3438" s="4">
        <f>DATE(YEAR(B3438),MONTH(B3438),1)</f>
        <v/>
      </c>
    </row>
    <row r="3439">
      <c r="A3439" t="inlineStr">
        <is>
          <t>EM003438</t>
        </is>
      </c>
      <c r="B3439" s="7" t="n">
        <v>46279</v>
      </c>
      <c r="C3439" t="inlineStr">
        <is>
          <t>Gowning</t>
        </is>
      </c>
      <c r="D3439" t="inlineStr">
        <is>
          <t>ISO 8</t>
        </is>
      </c>
      <c r="E3439" t="inlineStr">
        <is>
          <t>Surface contact</t>
        </is>
      </c>
      <c r="F3439" t="n">
        <v>2</v>
      </c>
      <c r="G3439" t="inlineStr">
        <is>
          <t>Tech B</t>
        </is>
      </c>
      <c r="H3439">
        <f>INDEX(Limits!$B$2:$B$5,MATCH(E3439,Limits!$A$2:$A$5,0))</f>
        <v/>
      </c>
      <c r="I3439">
        <f>INDEX(Limits!$C$2:$C$5,MATCH(E3439,Limits!$A$2:$A$5,0))</f>
        <v/>
      </c>
      <c r="J3439">
        <f>IF(F3439&gt;=I3439,"Action",IF(F3439&gt;=H3439,"Alert","Pass"))</f>
        <v/>
      </c>
      <c r="K3439" s="4">
        <f>DATE(YEAR(B3439),MONTH(B3439),1)</f>
        <v/>
      </c>
    </row>
    <row r="3440">
      <c r="A3440" t="inlineStr">
        <is>
          <t>EM003439</t>
        </is>
      </c>
      <c r="B3440" s="7" t="n">
        <v>46279</v>
      </c>
      <c r="C3440" t="inlineStr">
        <is>
          <t>Gowning</t>
        </is>
      </c>
      <c r="D3440" t="inlineStr">
        <is>
          <t>ISO 8</t>
        </is>
      </c>
      <c r="E3440" t="inlineStr">
        <is>
          <t>Personnel glove</t>
        </is>
      </c>
      <c r="F3440" t="n">
        <v>1</v>
      </c>
      <c r="G3440" t="inlineStr">
        <is>
          <t>Tech D</t>
        </is>
      </c>
      <c r="H3440">
        <f>INDEX(Limits!$B$2:$B$5,MATCH(E3440,Limits!$A$2:$A$5,0))</f>
        <v/>
      </c>
      <c r="I3440">
        <f>INDEX(Limits!$C$2:$C$5,MATCH(E3440,Limits!$A$2:$A$5,0))</f>
        <v/>
      </c>
      <c r="J3440">
        <f>IF(F3440&gt;=I3440,"Action",IF(F3440&gt;=H3440,"Alert","Pass"))</f>
        <v/>
      </c>
      <c r="K3440" s="4">
        <f>DATE(YEAR(B3440),MONTH(B3440),1)</f>
        <v/>
      </c>
    </row>
    <row r="3441">
      <c r="A3441" t="inlineStr">
        <is>
          <t>EM003440</t>
        </is>
      </c>
      <c r="B3441" s="7" t="n">
        <v>46280</v>
      </c>
      <c r="C3441" t="inlineStr">
        <is>
          <t>CR-101</t>
        </is>
      </c>
      <c r="D3441" t="inlineStr">
        <is>
          <t>ISO 7</t>
        </is>
      </c>
      <c r="E3441" t="inlineStr">
        <is>
          <t>Active air</t>
        </is>
      </c>
      <c r="F3441" t="n">
        <v>0</v>
      </c>
      <c r="G3441" t="inlineStr">
        <is>
          <t>Tech B</t>
        </is>
      </c>
      <c r="H3441">
        <f>INDEX(Limits!$B$2:$B$5,MATCH(E3441,Limits!$A$2:$A$5,0))</f>
        <v/>
      </c>
      <c r="I3441">
        <f>INDEX(Limits!$C$2:$C$5,MATCH(E3441,Limits!$A$2:$A$5,0))</f>
        <v/>
      </c>
      <c r="J3441">
        <f>IF(F3441&gt;=I3441,"Action",IF(F3441&gt;=H3441,"Alert","Pass"))</f>
        <v/>
      </c>
      <c r="K3441" s="4">
        <f>DATE(YEAR(B3441),MONTH(B3441),1)</f>
        <v/>
      </c>
    </row>
    <row r="3442">
      <c r="A3442" t="inlineStr">
        <is>
          <t>EM003441</t>
        </is>
      </c>
      <c r="B3442" s="7" t="n">
        <v>46280</v>
      </c>
      <c r="C3442" t="inlineStr">
        <is>
          <t>CR-101</t>
        </is>
      </c>
      <c r="D3442" t="inlineStr">
        <is>
          <t>ISO 7</t>
        </is>
      </c>
      <c r="E3442" t="inlineStr">
        <is>
          <t>Surface contact</t>
        </is>
      </c>
      <c r="F3442" t="n">
        <v>0</v>
      </c>
      <c r="G3442" t="inlineStr">
        <is>
          <t>Tech B</t>
        </is>
      </c>
      <c r="H3442">
        <f>INDEX(Limits!$B$2:$B$5,MATCH(E3442,Limits!$A$2:$A$5,0))</f>
        <v/>
      </c>
      <c r="I3442">
        <f>INDEX(Limits!$C$2:$C$5,MATCH(E3442,Limits!$A$2:$A$5,0))</f>
        <v/>
      </c>
      <c r="J3442">
        <f>IF(F3442&gt;=I3442,"Action",IF(F3442&gt;=H3442,"Alert","Pass"))</f>
        <v/>
      </c>
      <c r="K3442" s="4">
        <f>DATE(YEAR(B3442),MONTH(B3442),1)</f>
        <v/>
      </c>
    </row>
    <row r="3443">
      <c r="A3443" t="inlineStr">
        <is>
          <t>EM003442</t>
        </is>
      </c>
      <c r="B3443" s="7" t="n">
        <v>46280</v>
      </c>
      <c r="C3443" t="inlineStr">
        <is>
          <t>CR-101</t>
        </is>
      </c>
      <c r="D3443" t="inlineStr">
        <is>
          <t>ISO 7</t>
        </is>
      </c>
      <c r="E3443" t="inlineStr">
        <is>
          <t>Compressed air</t>
        </is>
      </c>
      <c r="F3443" t="n">
        <v>0</v>
      </c>
      <c r="G3443" t="inlineStr">
        <is>
          <t>Tech D</t>
        </is>
      </c>
      <c r="H3443">
        <f>INDEX(Limits!$B$2:$B$5,MATCH(E3443,Limits!$A$2:$A$5,0))</f>
        <v/>
      </c>
      <c r="I3443">
        <f>INDEX(Limits!$C$2:$C$5,MATCH(E3443,Limits!$A$2:$A$5,0))</f>
        <v/>
      </c>
      <c r="J3443">
        <f>IF(F3443&gt;=I3443,"Action",IF(F3443&gt;=H3443,"Alert","Pass"))</f>
        <v/>
      </c>
      <c r="K3443" s="4">
        <f>DATE(YEAR(B3443),MONTH(B3443),1)</f>
        <v/>
      </c>
    </row>
    <row r="3444">
      <c r="A3444" t="inlineStr">
        <is>
          <t>EM003443</t>
        </is>
      </c>
      <c r="B3444" s="7" t="n">
        <v>46280</v>
      </c>
      <c r="C3444" t="inlineStr">
        <is>
          <t>CR-101</t>
        </is>
      </c>
      <c r="D3444" t="inlineStr">
        <is>
          <t>ISO 7</t>
        </is>
      </c>
      <c r="E3444" t="inlineStr">
        <is>
          <t>Personnel glove</t>
        </is>
      </c>
      <c r="F3444" t="n">
        <v>0</v>
      </c>
      <c r="G3444" t="inlineStr">
        <is>
          <t>Tech C</t>
        </is>
      </c>
      <c r="H3444">
        <f>INDEX(Limits!$B$2:$B$5,MATCH(E3444,Limits!$A$2:$A$5,0))</f>
        <v/>
      </c>
      <c r="I3444">
        <f>INDEX(Limits!$C$2:$C$5,MATCH(E3444,Limits!$A$2:$A$5,0))</f>
        <v/>
      </c>
      <c r="J3444">
        <f>IF(F3444&gt;=I3444,"Action",IF(F3444&gt;=H3444,"Alert","Pass"))</f>
        <v/>
      </c>
      <c r="K3444" s="4">
        <f>DATE(YEAR(B3444),MONTH(B3444),1)</f>
        <v/>
      </c>
    </row>
    <row r="3445">
      <c r="A3445" t="inlineStr">
        <is>
          <t>EM003444</t>
        </is>
      </c>
      <c r="B3445" s="7" t="n">
        <v>46280</v>
      </c>
      <c r="C3445" t="inlineStr">
        <is>
          <t>CR-102</t>
        </is>
      </c>
      <c r="D3445" t="inlineStr">
        <is>
          <t>ISO 7</t>
        </is>
      </c>
      <c r="E3445" t="inlineStr">
        <is>
          <t>Active air</t>
        </is>
      </c>
      <c r="F3445" t="n">
        <v>1</v>
      </c>
      <c r="G3445" t="inlineStr">
        <is>
          <t>Tech B</t>
        </is>
      </c>
      <c r="H3445">
        <f>INDEX(Limits!$B$2:$B$5,MATCH(E3445,Limits!$A$2:$A$5,0))</f>
        <v/>
      </c>
      <c r="I3445">
        <f>INDEX(Limits!$C$2:$C$5,MATCH(E3445,Limits!$A$2:$A$5,0))</f>
        <v/>
      </c>
      <c r="J3445">
        <f>IF(F3445&gt;=I3445,"Action",IF(F3445&gt;=H3445,"Alert","Pass"))</f>
        <v/>
      </c>
      <c r="K3445" s="4">
        <f>DATE(YEAR(B3445),MONTH(B3445),1)</f>
        <v/>
      </c>
    </row>
    <row r="3446">
      <c r="A3446" t="inlineStr">
        <is>
          <t>EM003445</t>
        </is>
      </c>
      <c r="B3446" s="7" t="n">
        <v>46280</v>
      </c>
      <c r="C3446" t="inlineStr">
        <is>
          <t>CR-102</t>
        </is>
      </c>
      <c r="D3446" t="inlineStr">
        <is>
          <t>ISO 7</t>
        </is>
      </c>
      <c r="E3446" t="inlineStr">
        <is>
          <t>Surface contact</t>
        </is>
      </c>
      <c r="F3446" t="n">
        <v>0</v>
      </c>
      <c r="G3446" t="inlineStr">
        <is>
          <t>Tech A</t>
        </is>
      </c>
      <c r="H3446">
        <f>INDEX(Limits!$B$2:$B$5,MATCH(E3446,Limits!$A$2:$A$5,0))</f>
        <v/>
      </c>
      <c r="I3446">
        <f>INDEX(Limits!$C$2:$C$5,MATCH(E3446,Limits!$A$2:$A$5,0))</f>
        <v/>
      </c>
      <c r="J3446">
        <f>IF(F3446&gt;=I3446,"Action",IF(F3446&gt;=H3446,"Alert","Pass"))</f>
        <v/>
      </c>
      <c r="K3446" s="4">
        <f>DATE(YEAR(B3446),MONTH(B3446),1)</f>
        <v/>
      </c>
    </row>
    <row r="3447">
      <c r="A3447" t="inlineStr">
        <is>
          <t>EM003446</t>
        </is>
      </c>
      <c r="B3447" s="7" t="n">
        <v>46280</v>
      </c>
      <c r="C3447" t="inlineStr">
        <is>
          <t>CR-102</t>
        </is>
      </c>
      <c r="D3447" t="inlineStr">
        <is>
          <t>ISO 7</t>
        </is>
      </c>
      <c r="E3447" t="inlineStr">
        <is>
          <t>Compressed air</t>
        </is>
      </c>
      <c r="F3447" t="n">
        <v>0</v>
      </c>
      <c r="G3447" t="inlineStr">
        <is>
          <t>Tech D</t>
        </is>
      </c>
      <c r="H3447">
        <f>INDEX(Limits!$B$2:$B$5,MATCH(E3447,Limits!$A$2:$A$5,0))</f>
        <v/>
      </c>
      <c r="I3447">
        <f>INDEX(Limits!$C$2:$C$5,MATCH(E3447,Limits!$A$2:$A$5,0))</f>
        <v/>
      </c>
      <c r="J3447">
        <f>IF(F3447&gt;=I3447,"Action",IF(F3447&gt;=H3447,"Alert","Pass"))</f>
        <v/>
      </c>
      <c r="K3447" s="4">
        <f>DATE(YEAR(B3447),MONTH(B3447),1)</f>
        <v/>
      </c>
    </row>
    <row r="3448">
      <c r="A3448" t="inlineStr">
        <is>
          <t>EM003447</t>
        </is>
      </c>
      <c r="B3448" s="7" t="n">
        <v>46280</v>
      </c>
      <c r="C3448" t="inlineStr">
        <is>
          <t>CR-102</t>
        </is>
      </c>
      <c r="D3448" t="inlineStr">
        <is>
          <t>ISO 7</t>
        </is>
      </c>
      <c r="E3448" t="inlineStr">
        <is>
          <t>Personnel glove</t>
        </is>
      </c>
      <c r="F3448" t="n">
        <v>0</v>
      </c>
      <c r="G3448" t="inlineStr">
        <is>
          <t>Tech A</t>
        </is>
      </c>
      <c r="H3448">
        <f>INDEX(Limits!$B$2:$B$5,MATCH(E3448,Limits!$A$2:$A$5,0))</f>
        <v/>
      </c>
      <c r="I3448">
        <f>INDEX(Limits!$C$2:$C$5,MATCH(E3448,Limits!$A$2:$A$5,0))</f>
        <v/>
      </c>
      <c r="J3448">
        <f>IF(F3448&gt;=I3448,"Action",IF(F3448&gt;=H3448,"Alert","Pass"))</f>
        <v/>
      </c>
      <c r="K3448" s="4">
        <f>DATE(YEAR(B3448),MONTH(B3448),1)</f>
        <v/>
      </c>
    </row>
    <row r="3449">
      <c r="A3449" t="inlineStr">
        <is>
          <t>EM003448</t>
        </is>
      </c>
      <c r="B3449" s="7" t="n">
        <v>46280</v>
      </c>
      <c r="C3449" t="inlineStr">
        <is>
          <t>CR-201</t>
        </is>
      </c>
      <c r="D3449" t="inlineStr">
        <is>
          <t>ISO 8</t>
        </is>
      </c>
      <c r="E3449" t="inlineStr">
        <is>
          <t>Active air</t>
        </is>
      </c>
      <c r="F3449" t="n">
        <v>2</v>
      </c>
      <c r="G3449" t="inlineStr">
        <is>
          <t>Tech C</t>
        </is>
      </c>
      <c r="H3449">
        <f>INDEX(Limits!$B$2:$B$5,MATCH(E3449,Limits!$A$2:$A$5,0))</f>
        <v/>
      </c>
      <c r="I3449">
        <f>INDEX(Limits!$C$2:$C$5,MATCH(E3449,Limits!$A$2:$A$5,0))</f>
        <v/>
      </c>
      <c r="J3449">
        <f>IF(F3449&gt;=I3449,"Action",IF(F3449&gt;=H3449,"Alert","Pass"))</f>
        <v/>
      </c>
      <c r="K3449" s="4">
        <f>DATE(YEAR(B3449),MONTH(B3449),1)</f>
        <v/>
      </c>
    </row>
    <row r="3450">
      <c r="A3450" t="inlineStr">
        <is>
          <t>EM003449</t>
        </is>
      </c>
      <c r="B3450" s="7" t="n">
        <v>46280</v>
      </c>
      <c r="C3450" t="inlineStr">
        <is>
          <t>CR-201</t>
        </is>
      </c>
      <c r="D3450" t="inlineStr">
        <is>
          <t>ISO 8</t>
        </is>
      </c>
      <c r="E3450" t="inlineStr">
        <is>
          <t>Surface contact</t>
        </is>
      </c>
      <c r="F3450" t="n">
        <v>0</v>
      </c>
      <c r="G3450" t="inlineStr">
        <is>
          <t>Tech A</t>
        </is>
      </c>
      <c r="H3450">
        <f>INDEX(Limits!$B$2:$B$5,MATCH(E3450,Limits!$A$2:$A$5,0))</f>
        <v/>
      </c>
      <c r="I3450">
        <f>INDEX(Limits!$C$2:$C$5,MATCH(E3450,Limits!$A$2:$A$5,0))</f>
        <v/>
      </c>
      <c r="J3450">
        <f>IF(F3450&gt;=I3450,"Action",IF(F3450&gt;=H3450,"Alert","Pass"))</f>
        <v/>
      </c>
      <c r="K3450" s="4">
        <f>DATE(YEAR(B3450),MONTH(B3450),1)</f>
        <v/>
      </c>
    </row>
    <row r="3451">
      <c r="A3451" t="inlineStr">
        <is>
          <t>EM003450</t>
        </is>
      </c>
      <c r="B3451" s="7" t="n">
        <v>46280</v>
      </c>
      <c r="C3451" t="inlineStr">
        <is>
          <t>CR-201</t>
        </is>
      </c>
      <c r="D3451" t="inlineStr">
        <is>
          <t>ISO 8</t>
        </is>
      </c>
      <c r="E3451" t="inlineStr">
        <is>
          <t>Compressed air</t>
        </is>
      </c>
      <c r="F3451" t="n">
        <v>0</v>
      </c>
      <c r="G3451" t="inlineStr">
        <is>
          <t>Tech C</t>
        </is>
      </c>
      <c r="H3451">
        <f>INDEX(Limits!$B$2:$B$5,MATCH(E3451,Limits!$A$2:$A$5,0))</f>
        <v/>
      </c>
      <c r="I3451">
        <f>INDEX(Limits!$C$2:$C$5,MATCH(E3451,Limits!$A$2:$A$5,0))</f>
        <v/>
      </c>
      <c r="J3451">
        <f>IF(F3451&gt;=I3451,"Action",IF(F3451&gt;=H3451,"Alert","Pass"))</f>
        <v/>
      </c>
      <c r="K3451" s="4">
        <f>DATE(YEAR(B3451),MONTH(B3451),1)</f>
        <v/>
      </c>
    </row>
    <row r="3452">
      <c r="A3452" t="inlineStr">
        <is>
          <t>EM003451</t>
        </is>
      </c>
      <c r="B3452" s="7" t="n">
        <v>46280</v>
      </c>
      <c r="C3452" t="inlineStr">
        <is>
          <t>CR-201</t>
        </is>
      </c>
      <c r="D3452" t="inlineStr">
        <is>
          <t>ISO 8</t>
        </is>
      </c>
      <c r="E3452" t="inlineStr">
        <is>
          <t>Personnel glove</t>
        </is>
      </c>
      <c r="F3452" t="n">
        <v>0</v>
      </c>
      <c r="G3452" t="inlineStr">
        <is>
          <t>Tech A</t>
        </is>
      </c>
      <c r="H3452">
        <f>INDEX(Limits!$B$2:$B$5,MATCH(E3452,Limits!$A$2:$A$5,0))</f>
        <v/>
      </c>
      <c r="I3452">
        <f>INDEX(Limits!$C$2:$C$5,MATCH(E3452,Limits!$A$2:$A$5,0))</f>
        <v/>
      </c>
      <c r="J3452">
        <f>IF(F3452&gt;=I3452,"Action",IF(F3452&gt;=H3452,"Alert","Pass"))</f>
        <v/>
      </c>
      <c r="K3452" s="4">
        <f>DATE(YEAR(B3452),MONTH(B3452),1)</f>
        <v/>
      </c>
    </row>
    <row r="3453">
      <c r="A3453" t="inlineStr">
        <is>
          <t>EM003452</t>
        </is>
      </c>
      <c r="B3453" s="7" t="n">
        <v>46280</v>
      </c>
      <c r="C3453" t="inlineStr">
        <is>
          <t>CR-202</t>
        </is>
      </c>
      <c r="D3453" t="inlineStr">
        <is>
          <t>ISO 8</t>
        </is>
      </c>
      <c r="E3453" t="inlineStr">
        <is>
          <t>Active air</t>
        </is>
      </c>
      <c r="F3453" t="n">
        <v>5</v>
      </c>
      <c r="G3453" t="inlineStr">
        <is>
          <t>Tech A</t>
        </is>
      </c>
      <c r="H3453">
        <f>INDEX(Limits!$B$2:$B$5,MATCH(E3453,Limits!$A$2:$A$5,0))</f>
        <v/>
      </c>
      <c r="I3453">
        <f>INDEX(Limits!$C$2:$C$5,MATCH(E3453,Limits!$A$2:$A$5,0))</f>
        <v/>
      </c>
      <c r="J3453">
        <f>IF(F3453&gt;=I3453,"Action",IF(F3453&gt;=H3453,"Alert","Pass"))</f>
        <v/>
      </c>
      <c r="K3453" s="4">
        <f>DATE(YEAR(B3453),MONTH(B3453),1)</f>
        <v/>
      </c>
    </row>
    <row r="3454">
      <c r="A3454" t="inlineStr">
        <is>
          <t>EM003453</t>
        </is>
      </c>
      <c r="B3454" s="7" t="n">
        <v>46280</v>
      </c>
      <c r="C3454" t="inlineStr">
        <is>
          <t>CR-202</t>
        </is>
      </c>
      <c r="D3454" t="inlineStr">
        <is>
          <t>ISO 8</t>
        </is>
      </c>
      <c r="E3454" t="inlineStr">
        <is>
          <t>Surface contact</t>
        </is>
      </c>
      <c r="F3454" t="n">
        <v>0</v>
      </c>
      <c r="G3454" t="inlineStr">
        <is>
          <t>Tech D</t>
        </is>
      </c>
      <c r="H3454">
        <f>INDEX(Limits!$B$2:$B$5,MATCH(E3454,Limits!$A$2:$A$5,0))</f>
        <v/>
      </c>
      <c r="I3454">
        <f>INDEX(Limits!$C$2:$C$5,MATCH(E3454,Limits!$A$2:$A$5,0))</f>
        <v/>
      </c>
      <c r="J3454">
        <f>IF(F3454&gt;=I3454,"Action",IF(F3454&gt;=H3454,"Alert","Pass"))</f>
        <v/>
      </c>
      <c r="K3454" s="4">
        <f>DATE(YEAR(B3454),MONTH(B3454),1)</f>
        <v/>
      </c>
    </row>
    <row r="3455">
      <c r="A3455" t="inlineStr">
        <is>
          <t>EM003454</t>
        </is>
      </c>
      <c r="B3455" s="7" t="n">
        <v>46280</v>
      </c>
      <c r="C3455" t="inlineStr">
        <is>
          <t>CR-202</t>
        </is>
      </c>
      <c r="D3455" t="inlineStr">
        <is>
          <t>ISO 8</t>
        </is>
      </c>
      <c r="E3455" t="inlineStr">
        <is>
          <t>Compressed air</t>
        </is>
      </c>
      <c r="F3455" t="n">
        <v>0</v>
      </c>
      <c r="G3455" t="inlineStr">
        <is>
          <t>Tech A</t>
        </is>
      </c>
      <c r="H3455">
        <f>INDEX(Limits!$B$2:$B$5,MATCH(E3455,Limits!$A$2:$A$5,0))</f>
        <v/>
      </c>
      <c r="I3455">
        <f>INDEX(Limits!$C$2:$C$5,MATCH(E3455,Limits!$A$2:$A$5,0))</f>
        <v/>
      </c>
      <c r="J3455">
        <f>IF(F3455&gt;=I3455,"Action",IF(F3455&gt;=H3455,"Alert","Pass"))</f>
        <v/>
      </c>
      <c r="K3455" s="4">
        <f>DATE(YEAR(B3455),MONTH(B3455),1)</f>
        <v/>
      </c>
    </row>
    <row r="3456">
      <c r="A3456" t="inlineStr">
        <is>
          <t>EM003455</t>
        </is>
      </c>
      <c r="B3456" s="7" t="n">
        <v>46280</v>
      </c>
      <c r="C3456" t="inlineStr">
        <is>
          <t>CR-202</t>
        </is>
      </c>
      <c r="D3456" t="inlineStr">
        <is>
          <t>ISO 8</t>
        </is>
      </c>
      <c r="E3456" t="inlineStr">
        <is>
          <t>Personnel glove</t>
        </is>
      </c>
      <c r="F3456" t="n">
        <v>0</v>
      </c>
      <c r="G3456" t="inlineStr">
        <is>
          <t>Tech C</t>
        </is>
      </c>
      <c r="H3456">
        <f>INDEX(Limits!$B$2:$B$5,MATCH(E3456,Limits!$A$2:$A$5,0))</f>
        <v/>
      </c>
      <c r="I3456">
        <f>INDEX(Limits!$C$2:$C$5,MATCH(E3456,Limits!$A$2:$A$5,0))</f>
        <v/>
      </c>
      <c r="J3456">
        <f>IF(F3456&gt;=I3456,"Action",IF(F3456&gt;=H3456,"Alert","Pass"))</f>
        <v/>
      </c>
      <c r="K3456" s="4">
        <f>DATE(YEAR(B3456),MONTH(B3456),1)</f>
        <v/>
      </c>
    </row>
    <row r="3457">
      <c r="A3457" t="inlineStr">
        <is>
          <t>EM003456</t>
        </is>
      </c>
      <c r="B3457" s="7" t="n">
        <v>46280</v>
      </c>
      <c r="C3457" t="inlineStr">
        <is>
          <t>Gowning</t>
        </is>
      </c>
      <c r="D3457" t="inlineStr">
        <is>
          <t>ISO 8</t>
        </is>
      </c>
      <c r="E3457" t="inlineStr">
        <is>
          <t>Active air</t>
        </is>
      </c>
      <c r="F3457" t="n">
        <v>1</v>
      </c>
      <c r="G3457" t="inlineStr">
        <is>
          <t>Tech A</t>
        </is>
      </c>
      <c r="H3457">
        <f>INDEX(Limits!$B$2:$B$5,MATCH(E3457,Limits!$A$2:$A$5,0))</f>
        <v/>
      </c>
      <c r="I3457">
        <f>INDEX(Limits!$C$2:$C$5,MATCH(E3457,Limits!$A$2:$A$5,0))</f>
        <v/>
      </c>
      <c r="J3457">
        <f>IF(F3457&gt;=I3457,"Action",IF(F3457&gt;=H3457,"Alert","Pass"))</f>
        <v/>
      </c>
      <c r="K3457" s="4">
        <f>DATE(YEAR(B3457),MONTH(B3457),1)</f>
        <v/>
      </c>
    </row>
    <row r="3458">
      <c r="A3458" t="inlineStr">
        <is>
          <t>EM003457</t>
        </is>
      </c>
      <c r="B3458" s="7" t="n">
        <v>46280</v>
      </c>
      <c r="C3458" t="inlineStr">
        <is>
          <t>Gowning</t>
        </is>
      </c>
      <c r="D3458" t="inlineStr">
        <is>
          <t>ISO 8</t>
        </is>
      </c>
      <c r="E3458" t="inlineStr">
        <is>
          <t>Surface contact</t>
        </is>
      </c>
      <c r="F3458" t="n">
        <v>2</v>
      </c>
      <c r="G3458" t="inlineStr">
        <is>
          <t>Tech B</t>
        </is>
      </c>
      <c r="H3458">
        <f>INDEX(Limits!$B$2:$B$5,MATCH(E3458,Limits!$A$2:$A$5,0))</f>
        <v/>
      </c>
      <c r="I3458">
        <f>INDEX(Limits!$C$2:$C$5,MATCH(E3458,Limits!$A$2:$A$5,0))</f>
        <v/>
      </c>
      <c r="J3458">
        <f>IF(F3458&gt;=I3458,"Action",IF(F3458&gt;=H3458,"Alert","Pass"))</f>
        <v/>
      </c>
      <c r="K3458" s="4">
        <f>DATE(YEAR(B3458),MONTH(B3458),1)</f>
        <v/>
      </c>
    </row>
    <row r="3459">
      <c r="A3459" t="inlineStr">
        <is>
          <t>EM003458</t>
        </is>
      </c>
      <c r="B3459" s="7" t="n">
        <v>46280</v>
      </c>
      <c r="C3459" t="inlineStr">
        <is>
          <t>Gowning</t>
        </is>
      </c>
      <c r="D3459" t="inlineStr">
        <is>
          <t>ISO 8</t>
        </is>
      </c>
      <c r="E3459" t="inlineStr">
        <is>
          <t>Personnel glove</t>
        </is>
      </c>
      <c r="F3459" t="n">
        <v>1</v>
      </c>
      <c r="G3459" t="inlineStr">
        <is>
          <t>Tech B</t>
        </is>
      </c>
      <c r="H3459">
        <f>INDEX(Limits!$B$2:$B$5,MATCH(E3459,Limits!$A$2:$A$5,0))</f>
        <v/>
      </c>
      <c r="I3459">
        <f>INDEX(Limits!$C$2:$C$5,MATCH(E3459,Limits!$A$2:$A$5,0))</f>
        <v/>
      </c>
      <c r="J3459">
        <f>IF(F3459&gt;=I3459,"Action",IF(F3459&gt;=H3459,"Alert","Pass"))</f>
        <v/>
      </c>
      <c r="K3459" s="4">
        <f>DATE(YEAR(B3459),MONTH(B3459),1)</f>
        <v/>
      </c>
    </row>
    <row r="3460">
      <c r="A3460" t="inlineStr">
        <is>
          <t>EM003459</t>
        </is>
      </c>
      <c r="B3460" s="7" t="n">
        <v>46281</v>
      </c>
      <c r="C3460" t="inlineStr">
        <is>
          <t>CR-101</t>
        </is>
      </c>
      <c r="D3460" t="inlineStr">
        <is>
          <t>ISO 7</t>
        </is>
      </c>
      <c r="E3460" t="inlineStr">
        <is>
          <t>Active air</t>
        </is>
      </c>
      <c r="F3460" t="n">
        <v>0</v>
      </c>
      <c r="G3460" t="inlineStr">
        <is>
          <t>Tech A</t>
        </is>
      </c>
      <c r="H3460">
        <f>INDEX(Limits!$B$2:$B$5,MATCH(E3460,Limits!$A$2:$A$5,0))</f>
        <v/>
      </c>
      <c r="I3460">
        <f>INDEX(Limits!$C$2:$C$5,MATCH(E3460,Limits!$A$2:$A$5,0))</f>
        <v/>
      </c>
      <c r="J3460">
        <f>IF(F3460&gt;=I3460,"Action",IF(F3460&gt;=H3460,"Alert","Pass"))</f>
        <v/>
      </c>
      <c r="K3460" s="4">
        <f>DATE(YEAR(B3460),MONTH(B3460),1)</f>
        <v/>
      </c>
    </row>
    <row r="3461">
      <c r="A3461" t="inlineStr">
        <is>
          <t>EM003460</t>
        </is>
      </c>
      <c r="B3461" s="7" t="n">
        <v>46281</v>
      </c>
      <c r="C3461" t="inlineStr">
        <is>
          <t>CR-101</t>
        </is>
      </c>
      <c r="D3461" t="inlineStr">
        <is>
          <t>ISO 7</t>
        </is>
      </c>
      <c r="E3461" t="inlineStr">
        <is>
          <t>Surface contact</t>
        </is>
      </c>
      <c r="F3461" t="n">
        <v>1</v>
      </c>
      <c r="G3461" t="inlineStr">
        <is>
          <t>Tech A</t>
        </is>
      </c>
      <c r="H3461">
        <f>INDEX(Limits!$B$2:$B$5,MATCH(E3461,Limits!$A$2:$A$5,0))</f>
        <v/>
      </c>
      <c r="I3461">
        <f>INDEX(Limits!$C$2:$C$5,MATCH(E3461,Limits!$A$2:$A$5,0))</f>
        <v/>
      </c>
      <c r="J3461">
        <f>IF(F3461&gt;=I3461,"Action",IF(F3461&gt;=H3461,"Alert","Pass"))</f>
        <v/>
      </c>
      <c r="K3461" s="4">
        <f>DATE(YEAR(B3461),MONTH(B3461),1)</f>
        <v/>
      </c>
    </row>
    <row r="3462">
      <c r="A3462" t="inlineStr">
        <is>
          <t>EM003461</t>
        </is>
      </c>
      <c r="B3462" s="7" t="n">
        <v>46281</v>
      </c>
      <c r="C3462" t="inlineStr">
        <is>
          <t>CR-101</t>
        </is>
      </c>
      <c r="D3462" t="inlineStr">
        <is>
          <t>ISO 7</t>
        </is>
      </c>
      <c r="E3462" t="inlineStr">
        <is>
          <t>Compressed air</t>
        </is>
      </c>
      <c r="F3462" t="n">
        <v>0</v>
      </c>
      <c r="G3462" t="inlineStr">
        <is>
          <t>Tech C</t>
        </is>
      </c>
      <c r="H3462">
        <f>INDEX(Limits!$B$2:$B$5,MATCH(E3462,Limits!$A$2:$A$5,0))</f>
        <v/>
      </c>
      <c r="I3462">
        <f>INDEX(Limits!$C$2:$C$5,MATCH(E3462,Limits!$A$2:$A$5,0))</f>
        <v/>
      </c>
      <c r="J3462">
        <f>IF(F3462&gt;=I3462,"Action",IF(F3462&gt;=H3462,"Alert","Pass"))</f>
        <v/>
      </c>
      <c r="K3462" s="4">
        <f>DATE(YEAR(B3462),MONTH(B3462),1)</f>
        <v/>
      </c>
    </row>
    <row r="3463">
      <c r="A3463" t="inlineStr">
        <is>
          <t>EM003462</t>
        </is>
      </c>
      <c r="B3463" s="7" t="n">
        <v>46281</v>
      </c>
      <c r="C3463" t="inlineStr">
        <is>
          <t>CR-101</t>
        </is>
      </c>
      <c r="D3463" t="inlineStr">
        <is>
          <t>ISO 7</t>
        </is>
      </c>
      <c r="E3463" t="inlineStr">
        <is>
          <t>Personnel glove</t>
        </is>
      </c>
      <c r="F3463" t="n">
        <v>0</v>
      </c>
      <c r="G3463" t="inlineStr">
        <is>
          <t>Tech B</t>
        </is>
      </c>
      <c r="H3463">
        <f>INDEX(Limits!$B$2:$B$5,MATCH(E3463,Limits!$A$2:$A$5,0))</f>
        <v/>
      </c>
      <c r="I3463">
        <f>INDEX(Limits!$C$2:$C$5,MATCH(E3463,Limits!$A$2:$A$5,0))</f>
        <v/>
      </c>
      <c r="J3463">
        <f>IF(F3463&gt;=I3463,"Action",IF(F3463&gt;=H3463,"Alert","Pass"))</f>
        <v/>
      </c>
      <c r="K3463" s="4">
        <f>DATE(YEAR(B3463),MONTH(B3463),1)</f>
        <v/>
      </c>
    </row>
    <row r="3464">
      <c r="A3464" t="inlineStr">
        <is>
          <t>EM003463</t>
        </is>
      </c>
      <c r="B3464" s="7" t="n">
        <v>46281</v>
      </c>
      <c r="C3464" t="inlineStr">
        <is>
          <t>CR-102</t>
        </is>
      </c>
      <c r="D3464" t="inlineStr">
        <is>
          <t>ISO 7</t>
        </is>
      </c>
      <c r="E3464" t="inlineStr">
        <is>
          <t>Active air</t>
        </is>
      </c>
      <c r="F3464" t="n">
        <v>1</v>
      </c>
      <c r="G3464" t="inlineStr">
        <is>
          <t>Tech B</t>
        </is>
      </c>
      <c r="H3464">
        <f>INDEX(Limits!$B$2:$B$5,MATCH(E3464,Limits!$A$2:$A$5,0))</f>
        <v/>
      </c>
      <c r="I3464">
        <f>INDEX(Limits!$C$2:$C$5,MATCH(E3464,Limits!$A$2:$A$5,0))</f>
        <v/>
      </c>
      <c r="J3464">
        <f>IF(F3464&gt;=I3464,"Action",IF(F3464&gt;=H3464,"Alert","Pass"))</f>
        <v/>
      </c>
      <c r="K3464" s="4">
        <f>DATE(YEAR(B3464),MONTH(B3464),1)</f>
        <v/>
      </c>
    </row>
    <row r="3465">
      <c r="A3465" t="inlineStr">
        <is>
          <t>EM003464</t>
        </is>
      </c>
      <c r="B3465" s="7" t="n">
        <v>46281</v>
      </c>
      <c r="C3465" t="inlineStr">
        <is>
          <t>CR-102</t>
        </is>
      </c>
      <c r="D3465" t="inlineStr">
        <is>
          <t>ISO 7</t>
        </is>
      </c>
      <c r="E3465" t="inlineStr">
        <is>
          <t>Surface contact</t>
        </is>
      </c>
      <c r="F3465" t="n">
        <v>0</v>
      </c>
      <c r="G3465" t="inlineStr">
        <is>
          <t>Tech A</t>
        </is>
      </c>
      <c r="H3465">
        <f>INDEX(Limits!$B$2:$B$5,MATCH(E3465,Limits!$A$2:$A$5,0))</f>
        <v/>
      </c>
      <c r="I3465">
        <f>INDEX(Limits!$C$2:$C$5,MATCH(E3465,Limits!$A$2:$A$5,0))</f>
        <v/>
      </c>
      <c r="J3465">
        <f>IF(F3465&gt;=I3465,"Action",IF(F3465&gt;=H3465,"Alert","Pass"))</f>
        <v/>
      </c>
      <c r="K3465" s="4">
        <f>DATE(YEAR(B3465),MONTH(B3465),1)</f>
        <v/>
      </c>
    </row>
    <row r="3466">
      <c r="A3466" t="inlineStr">
        <is>
          <t>EM003465</t>
        </is>
      </c>
      <c r="B3466" s="7" t="n">
        <v>46281</v>
      </c>
      <c r="C3466" t="inlineStr">
        <is>
          <t>CR-102</t>
        </is>
      </c>
      <c r="D3466" t="inlineStr">
        <is>
          <t>ISO 7</t>
        </is>
      </c>
      <c r="E3466" t="inlineStr">
        <is>
          <t>Compressed air</t>
        </is>
      </c>
      <c r="F3466" t="n">
        <v>0</v>
      </c>
      <c r="G3466" t="inlineStr">
        <is>
          <t>Tech A</t>
        </is>
      </c>
      <c r="H3466">
        <f>INDEX(Limits!$B$2:$B$5,MATCH(E3466,Limits!$A$2:$A$5,0))</f>
        <v/>
      </c>
      <c r="I3466">
        <f>INDEX(Limits!$C$2:$C$5,MATCH(E3466,Limits!$A$2:$A$5,0))</f>
        <v/>
      </c>
      <c r="J3466">
        <f>IF(F3466&gt;=I3466,"Action",IF(F3466&gt;=H3466,"Alert","Pass"))</f>
        <v/>
      </c>
      <c r="K3466" s="4">
        <f>DATE(YEAR(B3466),MONTH(B3466),1)</f>
        <v/>
      </c>
    </row>
    <row r="3467">
      <c r="A3467" t="inlineStr">
        <is>
          <t>EM003466</t>
        </is>
      </c>
      <c r="B3467" s="7" t="n">
        <v>46281</v>
      </c>
      <c r="C3467" t="inlineStr">
        <is>
          <t>CR-102</t>
        </is>
      </c>
      <c r="D3467" t="inlineStr">
        <is>
          <t>ISO 7</t>
        </is>
      </c>
      <c r="E3467" t="inlineStr">
        <is>
          <t>Personnel glove</t>
        </is>
      </c>
      <c r="F3467" t="n">
        <v>0</v>
      </c>
      <c r="G3467" t="inlineStr">
        <is>
          <t>Tech C</t>
        </is>
      </c>
      <c r="H3467">
        <f>INDEX(Limits!$B$2:$B$5,MATCH(E3467,Limits!$A$2:$A$5,0))</f>
        <v/>
      </c>
      <c r="I3467">
        <f>INDEX(Limits!$C$2:$C$5,MATCH(E3467,Limits!$A$2:$A$5,0))</f>
        <v/>
      </c>
      <c r="J3467">
        <f>IF(F3467&gt;=I3467,"Action",IF(F3467&gt;=H3467,"Alert","Pass"))</f>
        <v/>
      </c>
      <c r="K3467" s="4">
        <f>DATE(YEAR(B3467),MONTH(B3467),1)</f>
        <v/>
      </c>
    </row>
    <row r="3468">
      <c r="A3468" t="inlineStr">
        <is>
          <t>EM003467</t>
        </is>
      </c>
      <c r="B3468" s="7" t="n">
        <v>46281</v>
      </c>
      <c r="C3468" t="inlineStr">
        <is>
          <t>CR-201</t>
        </is>
      </c>
      <c r="D3468" t="inlineStr">
        <is>
          <t>ISO 8</t>
        </is>
      </c>
      <c r="E3468" t="inlineStr">
        <is>
          <t>Active air</t>
        </is>
      </c>
      <c r="F3468" t="n">
        <v>1</v>
      </c>
      <c r="G3468" t="inlineStr">
        <is>
          <t>Tech D</t>
        </is>
      </c>
      <c r="H3468">
        <f>INDEX(Limits!$B$2:$B$5,MATCH(E3468,Limits!$A$2:$A$5,0))</f>
        <v/>
      </c>
      <c r="I3468">
        <f>INDEX(Limits!$C$2:$C$5,MATCH(E3468,Limits!$A$2:$A$5,0))</f>
        <v/>
      </c>
      <c r="J3468">
        <f>IF(F3468&gt;=I3468,"Action",IF(F3468&gt;=H3468,"Alert","Pass"))</f>
        <v/>
      </c>
      <c r="K3468" s="4">
        <f>DATE(YEAR(B3468),MONTH(B3468),1)</f>
        <v/>
      </c>
    </row>
    <row r="3469">
      <c r="A3469" t="inlineStr">
        <is>
          <t>EM003468</t>
        </is>
      </c>
      <c r="B3469" s="7" t="n">
        <v>46281</v>
      </c>
      <c r="C3469" t="inlineStr">
        <is>
          <t>CR-201</t>
        </is>
      </c>
      <c r="D3469" t="inlineStr">
        <is>
          <t>ISO 8</t>
        </is>
      </c>
      <c r="E3469" t="inlineStr">
        <is>
          <t>Surface contact</t>
        </is>
      </c>
      <c r="F3469" t="n">
        <v>3</v>
      </c>
      <c r="G3469" t="inlineStr">
        <is>
          <t>Tech C</t>
        </is>
      </c>
      <c r="H3469">
        <f>INDEX(Limits!$B$2:$B$5,MATCH(E3469,Limits!$A$2:$A$5,0))</f>
        <v/>
      </c>
      <c r="I3469">
        <f>INDEX(Limits!$C$2:$C$5,MATCH(E3469,Limits!$A$2:$A$5,0))</f>
        <v/>
      </c>
      <c r="J3469">
        <f>IF(F3469&gt;=I3469,"Action",IF(F3469&gt;=H3469,"Alert","Pass"))</f>
        <v/>
      </c>
      <c r="K3469" s="4">
        <f>DATE(YEAR(B3469),MONTH(B3469),1)</f>
        <v/>
      </c>
    </row>
    <row r="3470">
      <c r="A3470" t="inlineStr">
        <is>
          <t>EM003469</t>
        </is>
      </c>
      <c r="B3470" s="7" t="n">
        <v>46281</v>
      </c>
      <c r="C3470" t="inlineStr">
        <is>
          <t>CR-201</t>
        </is>
      </c>
      <c r="D3470" t="inlineStr">
        <is>
          <t>ISO 8</t>
        </is>
      </c>
      <c r="E3470" t="inlineStr">
        <is>
          <t>Compressed air</t>
        </is>
      </c>
      <c r="F3470" t="n">
        <v>0</v>
      </c>
      <c r="G3470" t="inlineStr">
        <is>
          <t>Tech D</t>
        </is>
      </c>
      <c r="H3470">
        <f>INDEX(Limits!$B$2:$B$5,MATCH(E3470,Limits!$A$2:$A$5,0))</f>
        <v/>
      </c>
      <c r="I3470">
        <f>INDEX(Limits!$C$2:$C$5,MATCH(E3470,Limits!$A$2:$A$5,0))</f>
        <v/>
      </c>
      <c r="J3470">
        <f>IF(F3470&gt;=I3470,"Action",IF(F3470&gt;=H3470,"Alert","Pass"))</f>
        <v/>
      </c>
      <c r="K3470" s="4">
        <f>DATE(YEAR(B3470),MONTH(B3470),1)</f>
        <v/>
      </c>
    </row>
    <row r="3471">
      <c r="A3471" t="inlineStr">
        <is>
          <t>EM003470</t>
        </is>
      </c>
      <c r="B3471" s="7" t="n">
        <v>46281</v>
      </c>
      <c r="C3471" t="inlineStr">
        <is>
          <t>CR-201</t>
        </is>
      </c>
      <c r="D3471" t="inlineStr">
        <is>
          <t>ISO 8</t>
        </is>
      </c>
      <c r="E3471" t="inlineStr">
        <is>
          <t>Personnel glove</t>
        </is>
      </c>
      <c r="F3471" t="n">
        <v>0</v>
      </c>
      <c r="G3471" t="inlineStr">
        <is>
          <t>Tech B</t>
        </is>
      </c>
      <c r="H3471">
        <f>INDEX(Limits!$B$2:$B$5,MATCH(E3471,Limits!$A$2:$A$5,0))</f>
        <v/>
      </c>
      <c r="I3471">
        <f>INDEX(Limits!$C$2:$C$5,MATCH(E3471,Limits!$A$2:$A$5,0))</f>
        <v/>
      </c>
      <c r="J3471">
        <f>IF(F3471&gt;=I3471,"Action",IF(F3471&gt;=H3471,"Alert","Pass"))</f>
        <v/>
      </c>
      <c r="K3471" s="4">
        <f>DATE(YEAR(B3471),MONTH(B3471),1)</f>
        <v/>
      </c>
    </row>
    <row r="3472">
      <c r="A3472" t="inlineStr">
        <is>
          <t>EM003471</t>
        </is>
      </c>
      <c r="B3472" s="7" t="n">
        <v>46281</v>
      </c>
      <c r="C3472" t="inlineStr">
        <is>
          <t>CR-202</t>
        </is>
      </c>
      <c r="D3472" t="inlineStr">
        <is>
          <t>ISO 8</t>
        </is>
      </c>
      <c r="E3472" t="inlineStr">
        <is>
          <t>Active air</t>
        </is>
      </c>
      <c r="F3472" t="n">
        <v>2</v>
      </c>
      <c r="G3472" t="inlineStr">
        <is>
          <t>Tech D</t>
        </is>
      </c>
      <c r="H3472">
        <f>INDEX(Limits!$B$2:$B$5,MATCH(E3472,Limits!$A$2:$A$5,0))</f>
        <v/>
      </c>
      <c r="I3472">
        <f>INDEX(Limits!$C$2:$C$5,MATCH(E3472,Limits!$A$2:$A$5,0))</f>
        <v/>
      </c>
      <c r="J3472">
        <f>IF(F3472&gt;=I3472,"Action",IF(F3472&gt;=H3472,"Alert","Pass"))</f>
        <v/>
      </c>
      <c r="K3472" s="4">
        <f>DATE(YEAR(B3472),MONTH(B3472),1)</f>
        <v/>
      </c>
    </row>
    <row r="3473">
      <c r="A3473" t="inlineStr">
        <is>
          <t>EM003472</t>
        </is>
      </c>
      <c r="B3473" s="7" t="n">
        <v>46281</v>
      </c>
      <c r="C3473" t="inlineStr">
        <is>
          <t>CR-202</t>
        </is>
      </c>
      <c r="D3473" t="inlineStr">
        <is>
          <t>ISO 8</t>
        </is>
      </c>
      <c r="E3473" t="inlineStr">
        <is>
          <t>Surface contact</t>
        </is>
      </c>
      <c r="F3473" t="n">
        <v>1</v>
      </c>
      <c r="G3473" t="inlineStr">
        <is>
          <t>Tech D</t>
        </is>
      </c>
      <c r="H3473">
        <f>INDEX(Limits!$B$2:$B$5,MATCH(E3473,Limits!$A$2:$A$5,0))</f>
        <v/>
      </c>
      <c r="I3473">
        <f>INDEX(Limits!$C$2:$C$5,MATCH(E3473,Limits!$A$2:$A$5,0))</f>
        <v/>
      </c>
      <c r="J3473">
        <f>IF(F3473&gt;=I3473,"Action",IF(F3473&gt;=H3473,"Alert","Pass"))</f>
        <v/>
      </c>
      <c r="K3473" s="4">
        <f>DATE(YEAR(B3473),MONTH(B3473),1)</f>
        <v/>
      </c>
    </row>
    <row r="3474">
      <c r="A3474" t="inlineStr">
        <is>
          <t>EM003473</t>
        </is>
      </c>
      <c r="B3474" s="7" t="n">
        <v>46281</v>
      </c>
      <c r="C3474" t="inlineStr">
        <is>
          <t>CR-202</t>
        </is>
      </c>
      <c r="D3474" t="inlineStr">
        <is>
          <t>ISO 8</t>
        </is>
      </c>
      <c r="E3474" t="inlineStr">
        <is>
          <t>Compressed air</t>
        </is>
      </c>
      <c r="F3474" t="n">
        <v>0</v>
      </c>
      <c r="G3474" t="inlineStr">
        <is>
          <t>Tech B</t>
        </is>
      </c>
      <c r="H3474">
        <f>INDEX(Limits!$B$2:$B$5,MATCH(E3474,Limits!$A$2:$A$5,0))</f>
        <v/>
      </c>
      <c r="I3474">
        <f>INDEX(Limits!$C$2:$C$5,MATCH(E3474,Limits!$A$2:$A$5,0))</f>
        <v/>
      </c>
      <c r="J3474">
        <f>IF(F3474&gt;=I3474,"Action",IF(F3474&gt;=H3474,"Alert","Pass"))</f>
        <v/>
      </c>
      <c r="K3474" s="4">
        <f>DATE(YEAR(B3474),MONTH(B3474),1)</f>
        <v/>
      </c>
    </row>
    <row r="3475">
      <c r="A3475" t="inlineStr">
        <is>
          <t>EM003474</t>
        </is>
      </c>
      <c r="B3475" s="7" t="n">
        <v>46281</v>
      </c>
      <c r="C3475" t="inlineStr">
        <is>
          <t>CR-202</t>
        </is>
      </c>
      <c r="D3475" t="inlineStr">
        <is>
          <t>ISO 8</t>
        </is>
      </c>
      <c r="E3475" t="inlineStr">
        <is>
          <t>Personnel glove</t>
        </is>
      </c>
      <c r="F3475" t="n">
        <v>0</v>
      </c>
      <c r="G3475" t="inlineStr">
        <is>
          <t>Tech D</t>
        </is>
      </c>
      <c r="H3475">
        <f>INDEX(Limits!$B$2:$B$5,MATCH(E3475,Limits!$A$2:$A$5,0))</f>
        <v/>
      </c>
      <c r="I3475">
        <f>INDEX(Limits!$C$2:$C$5,MATCH(E3475,Limits!$A$2:$A$5,0))</f>
        <v/>
      </c>
      <c r="J3475">
        <f>IF(F3475&gt;=I3475,"Action",IF(F3475&gt;=H3475,"Alert","Pass"))</f>
        <v/>
      </c>
      <c r="K3475" s="4">
        <f>DATE(YEAR(B3475),MONTH(B3475),1)</f>
        <v/>
      </c>
    </row>
    <row r="3476">
      <c r="A3476" t="inlineStr">
        <is>
          <t>EM003475</t>
        </is>
      </c>
      <c r="B3476" s="7" t="n">
        <v>46281</v>
      </c>
      <c r="C3476" t="inlineStr">
        <is>
          <t>Gowning</t>
        </is>
      </c>
      <c r="D3476" t="inlineStr">
        <is>
          <t>ISO 8</t>
        </is>
      </c>
      <c r="E3476" t="inlineStr">
        <is>
          <t>Active air</t>
        </is>
      </c>
      <c r="F3476" t="n">
        <v>2</v>
      </c>
      <c r="G3476" t="inlineStr">
        <is>
          <t>Tech B</t>
        </is>
      </c>
      <c r="H3476">
        <f>INDEX(Limits!$B$2:$B$5,MATCH(E3476,Limits!$A$2:$A$5,0))</f>
        <v/>
      </c>
      <c r="I3476">
        <f>INDEX(Limits!$C$2:$C$5,MATCH(E3476,Limits!$A$2:$A$5,0))</f>
        <v/>
      </c>
      <c r="J3476">
        <f>IF(F3476&gt;=I3476,"Action",IF(F3476&gt;=H3476,"Alert","Pass"))</f>
        <v/>
      </c>
      <c r="K3476" s="4">
        <f>DATE(YEAR(B3476),MONTH(B3476),1)</f>
        <v/>
      </c>
    </row>
    <row r="3477">
      <c r="A3477" t="inlineStr">
        <is>
          <t>EM003476</t>
        </is>
      </c>
      <c r="B3477" s="7" t="n">
        <v>46281</v>
      </c>
      <c r="C3477" t="inlineStr">
        <is>
          <t>Gowning</t>
        </is>
      </c>
      <c r="D3477" t="inlineStr">
        <is>
          <t>ISO 8</t>
        </is>
      </c>
      <c r="E3477" t="inlineStr">
        <is>
          <t>Surface contact</t>
        </is>
      </c>
      <c r="F3477" t="n">
        <v>1</v>
      </c>
      <c r="G3477" t="inlineStr">
        <is>
          <t>Tech D</t>
        </is>
      </c>
      <c r="H3477">
        <f>INDEX(Limits!$B$2:$B$5,MATCH(E3477,Limits!$A$2:$A$5,0))</f>
        <v/>
      </c>
      <c r="I3477">
        <f>INDEX(Limits!$C$2:$C$5,MATCH(E3477,Limits!$A$2:$A$5,0))</f>
        <v/>
      </c>
      <c r="J3477">
        <f>IF(F3477&gt;=I3477,"Action",IF(F3477&gt;=H3477,"Alert","Pass"))</f>
        <v/>
      </c>
      <c r="K3477" s="4">
        <f>DATE(YEAR(B3477),MONTH(B3477),1)</f>
        <v/>
      </c>
    </row>
    <row r="3478">
      <c r="A3478" t="inlineStr">
        <is>
          <t>EM003477</t>
        </is>
      </c>
      <c r="B3478" s="7" t="n">
        <v>46281</v>
      </c>
      <c r="C3478" t="inlineStr">
        <is>
          <t>Gowning</t>
        </is>
      </c>
      <c r="D3478" t="inlineStr">
        <is>
          <t>ISO 8</t>
        </is>
      </c>
      <c r="E3478" t="inlineStr">
        <is>
          <t>Personnel glove</t>
        </is>
      </c>
      <c r="F3478" t="n">
        <v>0</v>
      </c>
      <c r="G3478" t="inlineStr">
        <is>
          <t>Tech D</t>
        </is>
      </c>
      <c r="H3478">
        <f>INDEX(Limits!$B$2:$B$5,MATCH(E3478,Limits!$A$2:$A$5,0))</f>
        <v/>
      </c>
      <c r="I3478">
        <f>INDEX(Limits!$C$2:$C$5,MATCH(E3478,Limits!$A$2:$A$5,0))</f>
        <v/>
      </c>
      <c r="J3478">
        <f>IF(F3478&gt;=I3478,"Action",IF(F3478&gt;=H3478,"Alert","Pass"))</f>
        <v/>
      </c>
      <c r="K3478" s="4">
        <f>DATE(YEAR(B3478),MONTH(B3478),1)</f>
        <v/>
      </c>
    </row>
    <row r="3479">
      <c r="A3479" t="inlineStr">
        <is>
          <t>EM003478</t>
        </is>
      </c>
      <c r="B3479" s="7" t="n">
        <v>46282</v>
      </c>
      <c r="C3479" t="inlineStr">
        <is>
          <t>CR-101</t>
        </is>
      </c>
      <c r="D3479" t="inlineStr">
        <is>
          <t>ISO 7</t>
        </is>
      </c>
      <c r="E3479" t="inlineStr">
        <is>
          <t>Active air</t>
        </is>
      </c>
      <c r="F3479" t="n">
        <v>0</v>
      </c>
      <c r="G3479" t="inlineStr">
        <is>
          <t>Tech B</t>
        </is>
      </c>
      <c r="H3479">
        <f>INDEX(Limits!$B$2:$B$5,MATCH(E3479,Limits!$A$2:$A$5,0))</f>
        <v/>
      </c>
      <c r="I3479">
        <f>INDEX(Limits!$C$2:$C$5,MATCH(E3479,Limits!$A$2:$A$5,0))</f>
        <v/>
      </c>
      <c r="J3479">
        <f>IF(F3479&gt;=I3479,"Action",IF(F3479&gt;=H3479,"Alert","Pass"))</f>
        <v/>
      </c>
      <c r="K3479" s="4">
        <f>DATE(YEAR(B3479),MONTH(B3479),1)</f>
        <v/>
      </c>
    </row>
    <row r="3480">
      <c r="A3480" t="inlineStr">
        <is>
          <t>EM003479</t>
        </is>
      </c>
      <c r="B3480" s="7" t="n">
        <v>46282</v>
      </c>
      <c r="C3480" t="inlineStr">
        <is>
          <t>CR-101</t>
        </is>
      </c>
      <c r="D3480" t="inlineStr">
        <is>
          <t>ISO 7</t>
        </is>
      </c>
      <c r="E3480" t="inlineStr">
        <is>
          <t>Surface contact</t>
        </is>
      </c>
      <c r="F3480" t="n">
        <v>0</v>
      </c>
      <c r="G3480" t="inlineStr">
        <is>
          <t>Tech A</t>
        </is>
      </c>
      <c r="H3480">
        <f>INDEX(Limits!$B$2:$B$5,MATCH(E3480,Limits!$A$2:$A$5,0))</f>
        <v/>
      </c>
      <c r="I3480">
        <f>INDEX(Limits!$C$2:$C$5,MATCH(E3480,Limits!$A$2:$A$5,0))</f>
        <v/>
      </c>
      <c r="J3480">
        <f>IF(F3480&gt;=I3480,"Action",IF(F3480&gt;=H3480,"Alert","Pass"))</f>
        <v/>
      </c>
      <c r="K3480" s="4">
        <f>DATE(YEAR(B3480),MONTH(B3480),1)</f>
        <v/>
      </c>
    </row>
    <row r="3481">
      <c r="A3481" t="inlineStr">
        <is>
          <t>EM003480</t>
        </is>
      </c>
      <c r="B3481" s="7" t="n">
        <v>46282</v>
      </c>
      <c r="C3481" t="inlineStr">
        <is>
          <t>CR-101</t>
        </is>
      </c>
      <c r="D3481" t="inlineStr">
        <is>
          <t>ISO 7</t>
        </is>
      </c>
      <c r="E3481" t="inlineStr">
        <is>
          <t>Compressed air</t>
        </is>
      </c>
      <c r="F3481" t="n">
        <v>0</v>
      </c>
      <c r="G3481" t="inlineStr">
        <is>
          <t>Tech D</t>
        </is>
      </c>
      <c r="H3481">
        <f>INDEX(Limits!$B$2:$B$5,MATCH(E3481,Limits!$A$2:$A$5,0))</f>
        <v/>
      </c>
      <c r="I3481">
        <f>INDEX(Limits!$C$2:$C$5,MATCH(E3481,Limits!$A$2:$A$5,0))</f>
        <v/>
      </c>
      <c r="J3481">
        <f>IF(F3481&gt;=I3481,"Action",IF(F3481&gt;=H3481,"Alert","Pass"))</f>
        <v/>
      </c>
      <c r="K3481" s="4">
        <f>DATE(YEAR(B3481),MONTH(B3481),1)</f>
        <v/>
      </c>
    </row>
    <row r="3482">
      <c r="A3482" t="inlineStr">
        <is>
          <t>EM003481</t>
        </is>
      </c>
      <c r="B3482" s="7" t="n">
        <v>46282</v>
      </c>
      <c r="C3482" t="inlineStr">
        <is>
          <t>CR-101</t>
        </is>
      </c>
      <c r="D3482" t="inlineStr">
        <is>
          <t>ISO 7</t>
        </is>
      </c>
      <c r="E3482" t="inlineStr">
        <is>
          <t>Personnel glove</t>
        </is>
      </c>
      <c r="F3482" t="n">
        <v>0</v>
      </c>
      <c r="G3482" t="inlineStr">
        <is>
          <t>Tech D</t>
        </is>
      </c>
      <c r="H3482">
        <f>INDEX(Limits!$B$2:$B$5,MATCH(E3482,Limits!$A$2:$A$5,0))</f>
        <v/>
      </c>
      <c r="I3482">
        <f>INDEX(Limits!$C$2:$C$5,MATCH(E3482,Limits!$A$2:$A$5,0))</f>
        <v/>
      </c>
      <c r="J3482">
        <f>IF(F3482&gt;=I3482,"Action",IF(F3482&gt;=H3482,"Alert","Pass"))</f>
        <v/>
      </c>
      <c r="K3482" s="4">
        <f>DATE(YEAR(B3482),MONTH(B3482),1)</f>
        <v/>
      </c>
    </row>
    <row r="3483">
      <c r="A3483" t="inlineStr">
        <is>
          <t>EM003482</t>
        </is>
      </c>
      <c r="B3483" s="7" t="n">
        <v>46282</v>
      </c>
      <c r="C3483" t="inlineStr">
        <is>
          <t>CR-102</t>
        </is>
      </c>
      <c r="D3483" t="inlineStr">
        <is>
          <t>ISO 7</t>
        </is>
      </c>
      <c r="E3483" t="inlineStr">
        <is>
          <t>Active air</t>
        </is>
      </c>
      <c r="F3483" t="n">
        <v>3</v>
      </c>
      <c r="G3483" t="inlineStr">
        <is>
          <t>Tech C</t>
        </is>
      </c>
      <c r="H3483">
        <f>INDEX(Limits!$B$2:$B$5,MATCH(E3483,Limits!$A$2:$A$5,0))</f>
        <v/>
      </c>
      <c r="I3483">
        <f>INDEX(Limits!$C$2:$C$5,MATCH(E3483,Limits!$A$2:$A$5,0))</f>
        <v/>
      </c>
      <c r="J3483">
        <f>IF(F3483&gt;=I3483,"Action",IF(F3483&gt;=H3483,"Alert","Pass"))</f>
        <v/>
      </c>
      <c r="K3483" s="4">
        <f>DATE(YEAR(B3483),MONTH(B3483),1)</f>
        <v/>
      </c>
    </row>
    <row r="3484">
      <c r="A3484" t="inlineStr">
        <is>
          <t>EM003483</t>
        </is>
      </c>
      <c r="B3484" s="7" t="n">
        <v>46282</v>
      </c>
      <c r="C3484" t="inlineStr">
        <is>
          <t>CR-102</t>
        </is>
      </c>
      <c r="D3484" t="inlineStr">
        <is>
          <t>ISO 7</t>
        </is>
      </c>
      <c r="E3484" t="inlineStr">
        <is>
          <t>Surface contact</t>
        </is>
      </c>
      <c r="F3484" t="n">
        <v>0</v>
      </c>
      <c r="G3484" t="inlineStr">
        <is>
          <t>Tech D</t>
        </is>
      </c>
      <c r="H3484">
        <f>INDEX(Limits!$B$2:$B$5,MATCH(E3484,Limits!$A$2:$A$5,0))</f>
        <v/>
      </c>
      <c r="I3484">
        <f>INDEX(Limits!$C$2:$C$5,MATCH(E3484,Limits!$A$2:$A$5,0))</f>
        <v/>
      </c>
      <c r="J3484">
        <f>IF(F3484&gt;=I3484,"Action",IF(F3484&gt;=H3484,"Alert","Pass"))</f>
        <v/>
      </c>
      <c r="K3484" s="4">
        <f>DATE(YEAR(B3484),MONTH(B3484),1)</f>
        <v/>
      </c>
    </row>
    <row r="3485">
      <c r="A3485" t="inlineStr">
        <is>
          <t>EM003484</t>
        </is>
      </c>
      <c r="B3485" s="7" t="n">
        <v>46282</v>
      </c>
      <c r="C3485" t="inlineStr">
        <is>
          <t>CR-102</t>
        </is>
      </c>
      <c r="D3485" t="inlineStr">
        <is>
          <t>ISO 7</t>
        </is>
      </c>
      <c r="E3485" t="inlineStr">
        <is>
          <t>Compressed air</t>
        </is>
      </c>
      <c r="F3485" t="n">
        <v>0</v>
      </c>
      <c r="G3485" t="inlineStr">
        <is>
          <t>Tech B</t>
        </is>
      </c>
      <c r="H3485">
        <f>INDEX(Limits!$B$2:$B$5,MATCH(E3485,Limits!$A$2:$A$5,0))</f>
        <v/>
      </c>
      <c r="I3485">
        <f>INDEX(Limits!$C$2:$C$5,MATCH(E3485,Limits!$A$2:$A$5,0))</f>
        <v/>
      </c>
      <c r="J3485">
        <f>IF(F3485&gt;=I3485,"Action",IF(F3485&gt;=H3485,"Alert","Pass"))</f>
        <v/>
      </c>
      <c r="K3485" s="4">
        <f>DATE(YEAR(B3485),MONTH(B3485),1)</f>
        <v/>
      </c>
    </row>
    <row r="3486">
      <c r="A3486" t="inlineStr">
        <is>
          <t>EM003485</t>
        </is>
      </c>
      <c r="B3486" s="7" t="n">
        <v>46282</v>
      </c>
      <c r="C3486" t="inlineStr">
        <is>
          <t>CR-102</t>
        </is>
      </c>
      <c r="D3486" t="inlineStr">
        <is>
          <t>ISO 7</t>
        </is>
      </c>
      <c r="E3486" t="inlineStr">
        <is>
          <t>Personnel glove</t>
        </is>
      </c>
      <c r="F3486" t="n">
        <v>0</v>
      </c>
      <c r="G3486" t="inlineStr">
        <is>
          <t>Tech A</t>
        </is>
      </c>
      <c r="H3486">
        <f>INDEX(Limits!$B$2:$B$5,MATCH(E3486,Limits!$A$2:$A$5,0))</f>
        <v/>
      </c>
      <c r="I3486">
        <f>INDEX(Limits!$C$2:$C$5,MATCH(E3486,Limits!$A$2:$A$5,0))</f>
        <v/>
      </c>
      <c r="J3486">
        <f>IF(F3486&gt;=I3486,"Action",IF(F3486&gt;=H3486,"Alert","Pass"))</f>
        <v/>
      </c>
      <c r="K3486" s="4">
        <f>DATE(YEAR(B3486),MONTH(B3486),1)</f>
        <v/>
      </c>
    </row>
    <row r="3487">
      <c r="A3487" t="inlineStr">
        <is>
          <t>EM003486</t>
        </is>
      </c>
      <c r="B3487" s="7" t="n">
        <v>46282</v>
      </c>
      <c r="C3487" t="inlineStr">
        <is>
          <t>CR-201</t>
        </is>
      </c>
      <c r="D3487" t="inlineStr">
        <is>
          <t>ISO 8</t>
        </is>
      </c>
      <c r="E3487" t="inlineStr">
        <is>
          <t>Active air</t>
        </is>
      </c>
      <c r="F3487" t="n">
        <v>1</v>
      </c>
      <c r="G3487" t="inlineStr">
        <is>
          <t>Tech C</t>
        </is>
      </c>
      <c r="H3487">
        <f>INDEX(Limits!$B$2:$B$5,MATCH(E3487,Limits!$A$2:$A$5,0))</f>
        <v/>
      </c>
      <c r="I3487">
        <f>INDEX(Limits!$C$2:$C$5,MATCH(E3487,Limits!$A$2:$A$5,0))</f>
        <v/>
      </c>
      <c r="J3487">
        <f>IF(F3487&gt;=I3487,"Action",IF(F3487&gt;=H3487,"Alert","Pass"))</f>
        <v/>
      </c>
      <c r="K3487" s="4">
        <f>DATE(YEAR(B3487),MONTH(B3487),1)</f>
        <v/>
      </c>
    </row>
    <row r="3488">
      <c r="A3488" t="inlineStr">
        <is>
          <t>EM003487</t>
        </is>
      </c>
      <c r="B3488" s="7" t="n">
        <v>46282</v>
      </c>
      <c r="C3488" t="inlineStr">
        <is>
          <t>CR-201</t>
        </is>
      </c>
      <c r="D3488" t="inlineStr">
        <is>
          <t>ISO 8</t>
        </is>
      </c>
      <c r="E3488" t="inlineStr">
        <is>
          <t>Surface contact</t>
        </is>
      </c>
      <c r="F3488" t="n">
        <v>0</v>
      </c>
      <c r="G3488" t="inlineStr">
        <is>
          <t>Tech B</t>
        </is>
      </c>
      <c r="H3488">
        <f>INDEX(Limits!$B$2:$B$5,MATCH(E3488,Limits!$A$2:$A$5,0))</f>
        <v/>
      </c>
      <c r="I3488">
        <f>INDEX(Limits!$C$2:$C$5,MATCH(E3488,Limits!$A$2:$A$5,0))</f>
        <v/>
      </c>
      <c r="J3488">
        <f>IF(F3488&gt;=I3488,"Action",IF(F3488&gt;=H3488,"Alert","Pass"))</f>
        <v/>
      </c>
      <c r="K3488" s="4">
        <f>DATE(YEAR(B3488),MONTH(B3488),1)</f>
        <v/>
      </c>
    </row>
    <row r="3489">
      <c r="A3489" t="inlineStr">
        <is>
          <t>EM003488</t>
        </is>
      </c>
      <c r="B3489" s="7" t="n">
        <v>46282</v>
      </c>
      <c r="C3489" t="inlineStr">
        <is>
          <t>CR-201</t>
        </is>
      </c>
      <c r="D3489" t="inlineStr">
        <is>
          <t>ISO 8</t>
        </is>
      </c>
      <c r="E3489" t="inlineStr">
        <is>
          <t>Compressed air</t>
        </is>
      </c>
      <c r="F3489" t="n">
        <v>0</v>
      </c>
      <c r="G3489" t="inlineStr">
        <is>
          <t>Tech B</t>
        </is>
      </c>
      <c r="H3489">
        <f>INDEX(Limits!$B$2:$B$5,MATCH(E3489,Limits!$A$2:$A$5,0))</f>
        <v/>
      </c>
      <c r="I3489">
        <f>INDEX(Limits!$C$2:$C$5,MATCH(E3489,Limits!$A$2:$A$5,0))</f>
        <v/>
      </c>
      <c r="J3489">
        <f>IF(F3489&gt;=I3489,"Action",IF(F3489&gt;=H3489,"Alert","Pass"))</f>
        <v/>
      </c>
      <c r="K3489" s="4">
        <f>DATE(YEAR(B3489),MONTH(B3489),1)</f>
        <v/>
      </c>
    </row>
    <row r="3490">
      <c r="A3490" t="inlineStr">
        <is>
          <t>EM003489</t>
        </is>
      </c>
      <c r="B3490" s="7" t="n">
        <v>46282</v>
      </c>
      <c r="C3490" t="inlineStr">
        <is>
          <t>CR-201</t>
        </is>
      </c>
      <c r="D3490" t="inlineStr">
        <is>
          <t>ISO 8</t>
        </is>
      </c>
      <c r="E3490" t="inlineStr">
        <is>
          <t>Personnel glove</t>
        </is>
      </c>
      <c r="F3490" t="n">
        <v>0</v>
      </c>
      <c r="G3490" t="inlineStr">
        <is>
          <t>Tech C</t>
        </is>
      </c>
      <c r="H3490">
        <f>INDEX(Limits!$B$2:$B$5,MATCH(E3490,Limits!$A$2:$A$5,0))</f>
        <v/>
      </c>
      <c r="I3490">
        <f>INDEX(Limits!$C$2:$C$5,MATCH(E3490,Limits!$A$2:$A$5,0))</f>
        <v/>
      </c>
      <c r="J3490">
        <f>IF(F3490&gt;=I3490,"Action",IF(F3490&gt;=H3490,"Alert","Pass"))</f>
        <v/>
      </c>
      <c r="K3490" s="4">
        <f>DATE(YEAR(B3490),MONTH(B3490),1)</f>
        <v/>
      </c>
    </row>
    <row r="3491">
      <c r="A3491" t="inlineStr">
        <is>
          <t>EM003490</t>
        </is>
      </c>
      <c r="B3491" s="7" t="n">
        <v>46282</v>
      </c>
      <c r="C3491" t="inlineStr">
        <is>
          <t>CR-202</t>
        </is>
      </c>
      <c r="D3491" t="inlineStr">
        <is>
          <t>ISO 8</t>
        </is>
      </c>
      <c r="E3491" t="inlineStr">
        <is>
          <t>Active air</t>
        </is>
      </c>
      <c r="F3491" t="n">
        <v>2</v>
      </c>
      <c r="G3491" t="inlineStr">
        <is>
          <t>Tech B</t>
        </is>
      </c>
      <c r="H3491">
        <f>INDEX(Limits!$B$2:$B$5,MATCH(E3491,Limits!$A$2:$A$5,0))</f>
        <v/>
      </c>
      <c r="I3491">
        <f>INDEX(Limits!$C$2:$C$5,MATCH(E3491,Limits!$A$2:$A$5,0))</f>
        <v/>
      </c>
      <c r="J3491">
        <f>IF(F3491&gt;=I3491,"Action",IF(F3491&gt;=H3491,"Alert","Pass"))</f>
        <v/>
      </c>
      <c r="K3491" s="4">
        <f>DATE(YEAR(B3491),MONTH(B3491),1)</f>
        <v/>
      </c>
    </row>
    <row r="3492">
      <c r="A3492" t="inlineStr">
        <is>
          <t>EM003491</t>
        </is>
      </c>
      <c r="B3492" s="7" t="n">
        <v>46282</v>
      </c>
      <c r="C3492" t="inlineStr">
        <is>
          <t>CR-202</t>
        </is>
      </c>
      <c r="D3492" t="inlineStr">
        <is>
          <t>ISO 8</t>
        </is>
      </c>
      <c r="E3492" t="inlineStr">
        <is>
          <t>Surface contact</t>
        </is>
      </c>
      <c r="F3492" t="n">
        <v>2</v>
      </c>
      <c r="G3492" t="inlineStr">
        <is>
          <t>Tech D</t>
        </is>
      </c>
      <c r="H3492">
        <f>INDEX(Limits!$B$2:$B$5,MATCH(E3492,Limits!$A$2:$A$5,0))</f>
        <v/>
      </c>
      <c r="I3492">
        <f>INDEX(Limits!$C$2:$C$5,MATCH(E3492,Limits!$A$2:$A$5,0))</f>
        <v/>
      </c>
      <c r="J3492">
        <f>IF(F3492&gt;=I3492,"Action",IF(F3492&gt;=H3492,"Alert","Pass"))</f>
        <v/>
      </c>
      <c r="K3492" s="4">
        <f>DATE(YEAR(B3492),MONTH(B3492),1)</f>
        <v/>
      </c>
    </row>
    <row r="3493">
      <c r="A3493" t="inlineStr">
        <is>
          <t>EM003492</t>
        </is>
      </c>
      <c r="B3493" s="7" t="n">
        <v>46282</v>
      </c>
      <c r="C3493" t="inlineStr">
        <is>
          <t>CR-202</t>
        </is>
      </c>
      <c r="D3493" t="inlineStr">
        <is>
          <t>ISO 8</t>
        </is>
      </c>
      <c r="E3493" t="inlineStr">
        <is>
          <t>Compressed air</t>
        </is>
      </c>
      <c r="F3493" t="n">
        <v>1</v>
      </c>
      <c r="G3493" t="inlineStr">
        <is>
          <t>Tech D</t>
        </is>
      </c>
      <c r="H3493">
        <f>INDEX(Limits!$B$2:$B$5,MATCH(E3493,Limits!$A$2:$A$5,0))</f>
        <v/>
      </c>
      <c r="I3493">
        <f>INDEX(Limits!$C$2:$C$5,MATCH(E3493,Limits!$A$2:$A$5,0))</f>
        <v/>
      </c>
      <c r="J3493">
        <f>IF(F3493&gt;=I3493,"Action",IF(F3493&gt;=H3493,"Alert","Pass"))</f>
        <v/>
      </c>
      <c r="K3493" s="4">
        <f>DATE(YEAR(B3493),MONTH(B3493),1)</f>
        <v/>
      </c>
    </row>
    <row r="3494">
      <c r="A3494" t="inlineStr">
        <is>
          <t>EM003493</t>
        </is>
      </c>
      <c r="B3494" s="7" t="n">
        <v>46282</v>
      </c>
      <c r="C3494" t="inlineStr">
        <is>
          <t>CR-202</t>
        </is>
      </c>
      <c r="D3494" t="inlineStr">
        <is>
          <t>ISO 8</t>
        </is>
      </c>
      <c r="E3494" t="inlineStr">
        <is>
          <t>Personnel glove</t>
        </is>
      </c>
      <c r="F3494" t="n">
        <v>0</v>
      </c>
      <c r="G3494" t="inlineStr">
        <is>
          <t>Tech A</t>
        </is>
      </c>
      <c r="H3494">
        <f>INDEX(Limits!$B$2:$B$5,MATCH(E3494,Limits!$A$2:$A$5,0))</f>
        <v/>
      </c>
      <c r="I3494">
        <f>INDEX(Limits!$C$2:$C$5,MATCH(E3494,Limits!$A$2:$A$5,0))</f>
        <v/>
      </c>
      <c r="J3494">
        <f>IF(F3494&gt;=I3494,"Action",IF(F3494&gt;=H3494,"Alert","Pass"))</f>
        <v/>
      </c>
      <c r="K3494" s="4">
        <f>DATE(YEAR(B3494),MONTH(B3494),1)</f>
        <v/>
      </c>
    </row>
    <row r="3495">
      <c r="A3495" t="inlineStr">
        <is>
          <t>EM003494</t>
        </is>
      </c>
      <c r="B3495" s="7" t="n">
        <v>46282</v>
      </c>
      <c r="C3495" t="inlineStr">
        <is>
          <t>Gowning</t>
        </is>
      </c>
      <c r="D3495" t="inlineStr">
        <is>
          <t>ISO 8</t>
        </is>
      </c>
      <c r="E3495" t="inlineStr">
        <is>
          <t>Active air</t>
        </is>
      </c>
      <c r="F3495" t="n">
        <v>1</v>
      </c>
      <c r="G3495" t="inlineStr">
        <is>
          <t>Tech C</t>
        </is>
      </c>
      <c r="H3495">
        <f>INDEX(Limits!$B$2:$B$5,MATCH(E3495,Limits!$A$2:$A$5,0))</f>
        <v/>
      </c>
      <c r="I3495">
        <f>INDEX(Limits!$C$2:$C$5,MATCH(E3495,Limits!$A$2:$A$5,0))</f>
        <v/>
      </c>
      <c r="J3495">
        <f>IF(F3495&gt;=I3495,"Action",IF(F3495&gt;=H3495,"Alert","Pass"))</f>
        <v/>
      </c>
      <c r="K3495" s="4">
        <f>DATE(YEAR(B3495),MONTH(B3495),1)</f>
        <v/>
      </c>
    </row>
    <row r="3496">
      <c r="A3496" t="inlineStr">
        <is>
          <t>EM003495</t>
        </is>
      </c>
      <c r="B3496" s="7" t="n">
        <v>46282</v>
      </c>
      <c r="C3496" t="inlineStr">
        <is>
          <t>Gowning</t>
        </is>
      </c>
      <c r="D3496" t="inlineStr">
        <is>
          <t>ISO 8</t>
        </is>
      </c>
      <c r="E3496" t="inlineStr">
        <is>
          <t>Surface contact</t>
        </is>
      </c>
      <c r="F3496" t="n">
        <v>1</v>
      </c>
      <c r="G3496" t="inlineStr">
        <is>
          <t>Tech B</t>
        </is>
      </c>
      <c r="H3496">
        <f>INDEX(Limits!$B$2:$B$5,MATCH(E3496,Limits!$A$2:$A$5,0))</f>
        <v/>
      </c>
      <c r="I3496">
        <f>INDEX(Limits!$C$2:$C$5,MATCH(E3496,Limits!$A$2:$A$5,0))</f>
        <v/>
      </c>
      <c r="J3496">
        <f>IF(F3496&gt;=I3496,"Action",IF(F3496&gt;=H3496,"Alert","Pass"))</f>
        <v/>
      </c>
      <c r="K3496" s="4">
        <f>DATE(YEAR(B3496),MONTH(B3496),1)</f>
        <v/>
      </c>
    </row>
    <row r="3497">
      <c r="A3497" t="inlineStr">
        <is>
          <t>EM003496</t>
        </is>
      </c>
      <c r="B3497" s="7" t="n">
        <v>46282</v>
      </c>
      <c r="C3497" t="inlineStr">
        <is>
          <t>Gowning</t>
        </is>
      </c>
      <c r="D3497" t="inlineStr">
        <is>
          <t>ISO 8</t>
        </is>
      </c>
      <c r="E3497" t="inlineStr">
        <is>
          <t>Personnel glove</t>
        </is>
      </c>
      <c r="F3497" t="n">
        <v>0</v>
      </c>
      <c r="G3497" t="inlineStr">
        <is>
          <t>Tech C</t>
        </is>
      </c>
      <c r="H3497">
        <f>INDEX(Limits!$B$2:$B$5,MATCH(E3497,Limits!$A$2:$A$5,0))</f>
        <v/>
      </c>
      <c r="I3497">
        <f>INDEX(Limits!$C$2:$C$5,MATCH(E3497,Limits!$A$2:$A$5,0))</f>
        <v/>
      </c>
      <c r="J3497">
        <f>IF(F3497&gt;=I3497,"Action",IF(F3497&gt;=H3497,"Alert","Pass"))</f>
        <v/>
      </c>
      <c r="K3497" s="4">
        <f>DATE(YEAR(B3497),MONTH(B3497),1)</f>
        <v/>
      </c>
    </row>
    <row r="3498">
      <c r="A3498" t="inlineStr">
        <is>
          <t>EM003497</t>
        </is>
      </c>
      <c r="B3498" s="7" t="n">
        <v>46283</v>
      </c>
      <c r="C3498" t="inlineStr">
        <is>
          <t>CR-101</t>
        </is>
      </c>
      <c r="D3498" t="inlineStr">
        <is>
          <t>ISO 7</t>
        </is>
      </c>
      <c r="E3498" t="inlineStr">
        <is>
          <t>Active air</t>
        </is>
      </c>
      <c r="F3498" t="n">
        <v>1</v>
      </c>
      <c r="G3498" t="inlineStr">
        <is>
          <t>Tech B</t>
        </is>
      </c>
      <c r="H3498">
        <f>INDEX(Limits!$B$2:$B$5,MATCH(E3498,Limits!$A$2:$A$5,0))</f>
        <v/>
      </c>
      <c r="I3498">
        <f>INDEX(Limits!$C$2:$C$5,MATCH(E3498,Limits!$A$2:$A$5,0))</f>
        <v/>
      </c>
      <c r="J3498">
        <f>IF(F3498&gt;=I3498,"Action",IF(F3498&gt;=H3498,"Alert","Pass"))</f>
        <v/>
      </c>
      <c r="K3498" s="4">
        <f>DATE(YEAR(B3498),MONTH(B3498),1)</f>
        <v/>
      </c>
    </row>
    <row r="3499">
      <c r="A3499" t="inlineStr">
        <is>
          <t>EM003498</t>
        </is>
      </c>
      <c r="B3499" s="7" t="n">
        <v>46283</v>
      </c>
      <c r="C3499" t="inlineStr">
        <is>
          <t>CR-101</t>
        </is>
      </c>
      <c r="D3499" t="inlineStr">
        <is>
          <t>ISO 7</t>
        </is>
      </c>
      <c r="E3499" t="inlineStr">
        <is>
          <t>Surface contact</t>
        </is>
      </c>
      <c r="F3499" t="n">
        <v>0</v>
      </c>
      <c r="G3499" t="inlineStr">
        <is>
          <t>Tech A</t>
        </is>
      </c>
      <c r="H3499">
        <f>INDEX(Limits!$B$2:$B$5,MATCH(E3499,Limits!$A$2:$A$5,0))</f>
        <v/>
      </c>
      <c r="I3499">
        <f>INDEX(Limits!$C$2:$C$5,MATCH(E3499,Limits!$A$2:$A$5,0))</f>
        <v/>
      </c>
      <c r="J3499">
        <f>IF(F3499&gt;=I3499,"Action",IF(F3499&gt;=H3499,"Alert","Pass"))</f>
        <v/>
      </c>
      <c r="K3499" s="4">
        <f>DATE(YEAR(B3499),MONTH(B3499),1)</f>
        <v/>
      </c>
    </row>
    <row r="3500">
      <c r="A3500" t="inlineStr">
        <is>
          <t>EM003499</t>
        </is>
      </c>
      <c r="B3500" s="7" t="n">
        <v>46283</v>
      </c>
      <c r="C3500" t="inlineStr">
        <is>
          <t>CR-101</t>
        </is>
      </c>
      <c r="D3500" t="inlineStr">
        <is>
          <t>ISO 7</t>
        </is>
      </c>
      <c r="E3500" t="inlineStr">
        <is>
          <t>Compressed air</t>
        </is>
      </c>
      <c r="F3500" t="n">
        <v>0</v>
      </c>
      <c r="G3500" t="inlineStr">
        <is>
          <t>Tech A</t>
        </is>
      </c>
      <c r="H3500">
        <f>INDEX(Limits!$B$2:$B$5,MATCH(E3500,Limits!$A$2:$A$5,0))</f>
        <v/>
      </c>
      <c r="I3500">
        <f>INDEX(Limits!$C$2:$C$5,MATCH(E3500,Limits!$A$2:$A$5,0))</f>
        <v/>
      </c>
      <c r="J3500">
        <f>IF(F3500&gt;=I3500,"Action",IF(F3500&gt;=H3500,"Alert","Pass"))</f>
        <v/>
      </c>
      <c r="K3500" s="4">
        <f>DATE(YEAR(B3500),MONTH(B3500),1)</f>
        <v/>
      </c>
    </row>
    <row r="3501">
      <c r="A3501" t="inlineStr">
        <is>
          <t>EM003500</t>
        </is>
      </c>
      <c r="B3501" s="7" t="n">
        <v>46283</v>
      </c>
      <c r="C3501" t="inlineStr">
        <is>
          <t>CR-101</t>
        </is>
      </c>
      <c r="D3501" t="inlineStr">
        <is>
          <t>ISO 7</t>
        </is>
      </c>
      <c r="E3501" t="inlineStr">
        <is>
          <t>Personnel glove</t>
        </is>
      </c>
      <c r="F3501" t="n">
        <v>1</v>
      </c>
      <c r="G3501" t="inlineStr">
        <is>
          <t>Tech D</t>
        </is>
      </c>
      <c r="H3501">
        <f>INDEX(Limits!$B$2:$B$5,MATCH(E3501,Limits!$A$2:$A$5,0))</f>
        <v/>
      </c>
      <c r="I3501">
        <f>INDEX(Limits!$C$2:$C$5,MATCH(E3501,Limits!$A$2:$A$5,0))</f>
        <v/>
      </c>
      <c r="J3501">
        <f>IF(F3501&gt;=I3501,"Action",IF(F3501&gt;=H3501,"Alert","Pass"))</f>
        <v/>
      </c>
      <c r="K3501" s="4">
        <f>DATE(YEAR(B3501),MONTH(B3501),1)</f>
        <v/>
      </c>
    </row>
    <row r="3502">
      <c r="A3502" t="inlineStr">
        <is>
          <t>EM003501</t>
        </is>
      </c>
      <c r="B3502" s="7" t="n">
        <v>46283</v>
      </c>
      <c r="C3502" t="inlineStr">
        <is>
          <t>CR-102</t>
        </is>
      </c>
      <c r="D3502" t="inlineStr">
        <is>
          <t>ISO 7</t>
        </is>
      </c>
      <c r="E3502" t="inlineStr">
        <is>
          <t>Active air</t>
        </is>
      </c>
      <c r="F3502" t="n">
        <v>0</v>
      </c>
      <c r="G3502" t="inlineStr">
        <is>
          <t>Tech C</t>
        </is>
      </c>
      <c r="H3502">
        <f>INDEX(Limits!$B$2:$B$5,MATCH(E3502,Limits!$A$2:$A$5,0))</f>
        <v/>
      </c>
      <c r="I3502">
        <f>INDEX(Limits!$C$2:$C$5,MATCH(E3502,Limits!$A$2:$A$5,0))</f>
        <v/>
      </c>
      <c r="J3502">
        <f>IF(F3502&gt;=I3502,"Action",IF(F3502&gt;=H3502,"Alert","Pass"))</f>
        <v/>
      </c>
      <c r="K3502" s="4">
        <f>DATE(YEAR(B3502),MONTH(B3502),1)</f>
        <v/>
      </c>
    </row>
    <row r="3503">
      <c r="A3503" t="inlineStr">
        <is>
          <t>EM003502</t>
        </is>
      </c>
      <c r="B3503" s="7" t="n">
        <v>46283</v>
      </c>
      <c r="C3503" t="inlineStr">
        <is>
          <t>CR-102</t>
        </is>
      </c>
      <c r="D3503" t="inlineStr">
        <is>
          <t>ISO 7</t>
        </is>
      </c>
      <c r="E3503" t="inlineStr">
        <is>
          <t>Surface contact</t>
        </is>
      </c>
      <c r="F3503" t="n">
        <v>0</v>
      </c>
      <c r="G3503" t="inlineStr">
        <is>
          <t>Tech C</t>
        </is>
      </c>
      <c r="H3503">
        <f>INDEX(Limits!$B$2:$B$5,MATCH(E3503,Limits!$A$2:$A$5,0))</f>
        <v/>
      </c>
      <c r="I3503">
        <f>INDEX(Limits!$C$2:$C$5,MATCH(E3503,Limits!$A$2:$A$5,0))</f>
        <v/>
      </c>
      <c r="J3503">
        <f>IF(F3503&gt;=I3503,"Action",IF(F3503&gt;=H3503,"Alert","Pass"))</f>
        <v/>
      </c>
      <c r="K3503" s="4">
        <f>DATE(YEAR(B3503),MONTH(B3503),1)</f>
        <v/>
      </c>
    </row>
    <row r="3504">
      <c r="A3504" t="inlineStr">
        <is>
          <t>EM003503</t>
        </is>
      </c>
      <c r="B3504" s="7" t="n">
        <v>46283</v>
      </c>
      <c r="C3504" t="inlineStr">
        <is>
          <t>CR-102</t>
        </is>
      </c>
      <c r="D3504" t="inlineStr">
        <is>
          <t>ISO 7</t>
        </is>
      </c>
      <c r="E3504" t="inlineStr">
        <is>
          <t>Compressed air</t>
        </is>
      </c>
      <c r="F3504" t="n">
        <v>0</v>
      </c>
      <c r="G3504" t="inlineStr">
        <is>
          <t>Tech A</t>
        </is>
      </c>
      <c r="H3504">
        <f>INDEX(Limits!$B$2:$B$5,MATCH(E3504,Limits!$A$2:$A$5,0))</f>
        <v/>
      </c>
      <c r="I3504">
        <f>INDEX(Limits!$C$2:$C$5,MATCH(E3504,Limits!$A$2:$A$5,0))</f>
        <v/>
      </c>
      <c r="J3504">
        <f>IF(F3504&gt;=I3504,"Action",IF(F3504&gt;=H3504,"Alert","Pass"))</f>
        <v/>
      </c>
      <c r="K3504" s="4">
        <f>DATE(YEAR(B3504),MONTH(B3504),1)</f>
        <v/>
      </c>
    </row>
    <row r="3505">
      <c r="A3505" t="inlineStr">
        <is>
          <t>EM003504</t>
        </is>
      </c>
      <c r="B3505" s="7" t="n">
        <v>46283</v>
      </c>
      <c r="C3505" t="inlineStr">
        <is>
          <t>CR-102</t>
        </is>
      </c>
      <c r="D3505" t="inlineStr">
        <is>
          <t>ISO 7</t>
        </is>
      </c>
      <c r="E3505" t="inlineStr">
        <is>
          <t>Personnel glove</t>
        </is>
      </c>
      <c r="F3505" t="n">
        <v>0</v>
      </c>
      <c r="G3505" t="inlineStr">
        <is>
          <t>Tech A</t>
        </is>
      </c>
      <c r="H3505">
        <f>INDEX(Limits!$B$2:$B$5,MATCH(E3505,Limits!$A$2:$A$5,0))</f>
        <v/>
      </c>
      <c r="I3505">
        <f>INDEX(Limits!$C$2:$C$5,MATCH(E3505,Limits!$A$2:$A$5,0))</f>
        <v/>
      </c>
      <c r="J3505">
        <f>IF(F3505&gt;=I3505,"Action",IF(F3505&gt;=H3505,"Alert","Pass"))</f>
        <v/>
      </c>
      <c r="K3505" s="4">
        <f>DATE(YEAR(B3505),MONTH(B3505),1)</f>
        <v/>
      </c>
    </row>
    <row r="3506">
      <c r="A3506" t="inlineStr">
        <is>
          <t>EM003505</t>
        </is>
      </c>
      <c r="B3506" s="7" t="n">
        <v>46283</v>
      </c>
      <c r="C3506" t="inlineStr">
        <is>
          <t>CR-201</t>
        </is>
      </c>
      <c r="D3506" t="inlineStr">
        <is>
          <t>ISO 8</t>
        </is>
      </c>
      <c r="E3506" t="inlineStr">
        <is>
          <t>Active air</t>
        </is>
      </c>
      <c r="F3506" t="n">
        <v>2</v>
      </c>
      <c r="G3506" t="inlineStr">
        <is>
          <t>Tech C</t>
        </is>
      </c>
      <c r="H3506">
        <f>INDEX(Limits!$B$2:$B$5,MATCH(E3506,Limits!$A$2:$A$5,0))</f>
        <v/>
      </c>
      <c r="I3506">
        <f>INDEX(Limits!$C$2:$C$5,MATCH(E3506,Limits!$A$2:$A$5,0))</f>
        <v/>
      </c>
      <c r="J3506">
        <f>IF(F3506&gt;=I3506,"Action",IF(F3506&gt;=H3506,"Alert","Pass"))</f>
        <v/>
      </c>
      <c r="K3506" s="4">
        <f>DATE(YEAR(B3506),MONTH(B3506),1)</f>
        <v/>
      </c>
    </row>
    <row r="3507">
      <c r="A3507" t="inlineStr">
        <is>
          <t>EM003506</t>
        </is>
      </c>
      <c r="B3507" s="7" t="n">
        <v>46283</v>
      </c>
      <c r="C3507" t="inlineStr">
        <is>
          <t>CR-201</t>
        </is>
      </c>
      <c r="D3507" t="inlineStr">
        <is>
          <t>ISO 8</t>
        </is>
      </c>
      <c r="E3507" t="inlineStr">
        <is>
          <t>Surface contact</t>
        </is>
      </c>
      <c r="F3507" t="n">
        <v>0</v>
      </c>
      <c r="G3507" t="inlineStr">
        <is>
          <t>Tech A</t>
        </is>
      </c>
      <c r="H3507">
        <f>INDEX(Limits!$B$2:$B$5,MATCH(E3507,Limits!$A$2:$A$5,0))</f>
        <v/>
      </c>
      <c r="I3507">
        <f>INDEX(Limits!$C$2:$C$5,MATCH(E3507,Limits!$A$2:$A$5,0))</f>
        <v/>
      </c>
      <c r="J3507">
        <f>IF(F3507&gt;=I3507,"Action",IF(F3507&gt;=H3507,"Alert","Pass"))</f>
        <v/>
      </c>
      <c r="K3507" s="4">
        <f>DATE(YEAR(B3507),MONTH(B3507),1)</f>
        <v/>
      </c>
    </row>
    <row r="3508">
      <c r="A3508" t="inlineStr">
        <is>
          <t>EM003507</t>
        </is>
      </c>
      <c r="B3508" s="7" t="n">
        <v>46283</v>
      </c>
      <c r="C3508" t="inlineStr">
        <is>
          <t>CR-201</t>
        </is>
      </c>
      <c r="D3508" t="inlineStr">
        <is>
          <t>ISO 8</t>
        </is>
      </c>
      <c r="E3508" t="inlineStr">
        <is>
          <t>Compressed air</t>
        </is>
      </c>
      <c r="F3508" t="n">
        <v>1</v>
      </c>
      <c r="G3508" t="inlineStr">
        <is>
          <t>Tech B</t>
        </is>
      </c>
      <c r="H3508">
        <f>INDEX(Limits!$B$2:$B$5,MATCH(E3508,Limits!$A$2:$A$5,0))</f>
        <v/>
      </c>
      <c r="I3508">
        <f>INDEX(Limits!$C$2:$C$5,MATCH(E3508,Limits!$A$2:$A$5,0))</f>
        <v/>
      </c>
      <c r="J3508">
        <f>IF(F3508&gt;=I3508,"Action",IF(F3508&gt;=H3508,"Alert","Pass"))</f>
        <v/>
      </c>
      <c r="K3508" s="4">
        <f>DATE(YEAR(B3508),MONTH(B3508),1)</f>
        <v/>
      </c>
    </row>
    <row r="3509">
      <c r="A3509" t="inlineStr">
        <is>
          <t>EM003508</t>
        </is>
      </c>
      <c r="B3509" s="7" t="n">
        <v>46283</v>
      </c>
      <c r="C3509" t="inlineStr">
        <is>
          <t>CR-201</t>
        </is>
      </c>
      <c r="D3509" t="inlineStr">
        <is>
          <t>ISO 8</t>
        </is>
      </c>
      <c r="E3509" t="inlineStr">
        <is>
          <t>Personnel glove</t>
        </is>
      </c>
      <c r="F3509" t="n">
        <v>1</v>
      </c>
      <c r="G3509" t="inlineStr">
        <is>
          <t>Tech B</t>
        </is>
      </c>
      <c r="H3509">
        <f>INDEX(Limits!$B$2:$B$5,MATCH(E3509,Limits!$A$2:$A$5,0))</f>
        <v/>
      </c>
      <c r="I3509">
        <f>INDEX(Limits!$C$2:$C$5,MATCH(E3509,Limits!$A$2:$A$5,0))</f>
        <v/>
      </c>
      <c r="J3509">
        <f>IF(F3509&gt;=I3509,"Action",IF(F3509&gt;=H3509,"Alert","Pass"))</f>
        <v/>
      </c>
      <c r="K3509" s="4">
        <f>DATE(YEAR(B3509),MONTH(B3509),1)</f>
        <v/>
      </c>
    </row>
    <row r="3510">
      <c r="A3510" t="inlineStr">
        <is>
          <t>EM003509</t>
        </is>
      </c>
      <c r="B3510" s="7" t="n">
        <v>46283</v>
      </c>
      <c r="C3510" t="inlineStr">
        <is>
          <t>CR-202</t>
        </is>
      </c>
      <c r="D3510" t="inlineStr">
        <is>
          <t>ISO 8</t>
        </is>
      </c>
      <c r="E3510" t="inlineStr">
        <is>
          <t>Active air</t>
        </is>
      </c>
      <c r="F3510" t="n">
        <v>2</v>
      </c>
      <c r="G3510" t="inlineStr">
        <is>
          <t>Tech D</t>
        </is>
      </c>
      <c r="H3510">
        <f>INDEX(Limits!$B$2:$B$5,MATCH(E3510,Limits!$A$2:$A$5,0))</f>
        <v/>
      </c>
      <c r="I3510">
        <f>INDEX(Limits!$C$2:$C$5,MATCH(E3510,Limits!$A$2:$A$5,0))</f>
        <v/>
      </c>
      <c r="J3510">
        <f>IF(F3510&gt;=I3510,"Action",IF(F3510&gt;=H3510,"Alert","Pass"))</f>
        <v/>
      </c>
      <c r="K3510" s="4">
        <f>DATE(YEAR(B3510),MONTH(B3510),1)</f>
        <v/>
      </c>
    </row>
    <row r="3511">
      <c r="A3511" t="inlineStr">
        <is>
          <t>EM003510</t>
        </is>
      </c>
      <c r="B3511" s="7" t="n">
        <v>46283</v>
      </c>
      <c r="C3511" t="inlineStr">
        <is>
          <t>CR-202</t>
        </is>
      </c>
      <c r="D3511" t="inlineStr">
        <is>
          <t>ISO 8</t>
        </is>
      </c>
      <c r="E3511" t="inlineStr">
        <is>
          <t>Surface contact</t>
        </is>
      </c>
      <c r="F3511" t="n">
        <v>1</v>
      </c>
      <c r="G3511" t="inlineStr">
        <is>
          <t>Tech A</t>
        </is>
      </c>
      <c r="H3511">
        <f>INDEX(Limits!$B$2:$B$5,MATCH(E3511,Limits!$A$2:$A$5,0))</f>
        <v/>
      </c>
      <c r="I3511">
        <f>INDEX(Limits!$C$2:$C$5,MATCH(E3511,Limits!$A$2:$A$5,0))</f>
        <v/>
      </c>
      <c r="J3511">
        <f>IF(F3511&gt;=I3511,"Action",IF(F3511&gt;=H3511,"Alert","Pass"))</f>
        <v/>
      </c>
      <c r="K3511" s="4">
        <f>DATE(YEAR(B3511),MONTH(B3511),1)</f>
        <v/>
      </c>
    </row>
    <row r="3512">
      <c r="A3512" t="inlineStr">
        <is>
          <t>EM003511</t>
        </is>
      </c>
      <c r="B3512" s="7" t="n">
        <v>46283</v>
      </c>
      <c r="C3512" t="inlineStr">
        <is>
          <t>CR-202</t>
        </is>
      </c>
      <c r="D3512" t="inlineStr">
        <is>
          <t>ISO 8</t>
        </is>
      </c>
      <c r="E3512" t="inlineStr">
        <is>
          <t>Compressed air</t>
        </is>
      </c>
      <c r="F3512" t="n">
        <v>0</v>
      </c>
      <c r="G3512" t="inlineStr">
        <is>
          <t>Tech B</t>
        </is>
      </c>
      <c r="H3512">
        <f>INDEX(Limits!$B$2:$B$5,MATCH(E3512,Limits!$A$2:$A$5,0))</f>
        <v/>
      </c>
      <c r="I3512">
        <f>INDEX(Limits!$C$2:$C$5,MATCH(E3512,Limits!$A$2:$A$5,0))</f>
        <v/>
      </c>
      <c r="J3512">
        <f>IF(F3512&gt;=I3512,"Action",IF(F3512&gt;=H3512,"Alert","Pass"))</f>
        <v/>
      </c>
      <c r="K3512" s="4">
        <f>DATE(YEAR(B3512),MONTH(B3512),1)</f>
        <v/>
      </c>
    </row>
    <row r="3513">
      <c r="A3513" t="inlineStr">
        <is>
          <t>EM003512</t>
        </is>
      </c>
      <c r="B3513" s="7" t="n">
        <v>46283</v>
      </c>
      <c r="C3513" t="inlineStr">
        <is>
          <t>CR-202</t>
        </is>
      </c>
      <c r="D3513" t="inlineStr">
        <is>
          <t>ISO 8</t>
        </is>
      </c>
      <c r="E3513" t="inlineStr">
        <is>
          <t>Personnel glove</t>
        </is>
      </c>
      <c r="F3513" t="n">
        <v>0</v>
      </c>
      <c r="G3513" t="inlineStr">
        <is>
          <t>Tech D</t>
        </is>
      </c>
      <c r="H3513">
        <f>INDEX(Limits!$B$2:$B$5,MATCH(E3513,Limits!$A$2:$A$5,0))</f>
        <v/>
      </c>
      <c r="I3513">
        <f>INDEX(Limits!$C$2:$C$5,MATCH(E3513,Limits!$A$2:$A$5,0))</f>
        <v/>
      </c>
      <c r="J3513">
        <f>IF(F3513&gt;=I3513,"Action",IF(F3513&gt;=H3513,"Alert","Pass"))</f>
        <v/>
      </c>
      <c r="K3513" s="4">
        <f>DATE(YEAR(B3513),MONTH(B3513),1)</f>
        <v/>
      </c>
    </row>
    <row r="3514">
      <c r="A3514" t="inlineStr">
        <is>
          <t>EM003513</t>
        </is>
      </c>
      <c r="B3514" s="7" t="n">
        <v>46283</v>
      </c>
      <c r="C3514" t="inlineStr">
        <is>
          <t>Gowning</t>
        </is>
      </c>
      <c r="D3514" t="inlineStr">
        <is>
          <t>ISO 8</t>
        </is>
      </c>
      <c r="E3514" t="inlineStr">
        <is>
          <t>Active air</t>
        </is>
      </c>
      <c r="F3514" t="n">
        <v>1</v>
      </c>
      <c r="G3514" t="inlineStr">
        <is>
          <t>Tech D</t>
        </is>
      </c>
      <c r="H3514">
        <f>INDEX(Limits!$B$2:$B$5,MATCH(E3514,Limits!$A$2:$A$5,0))</f>
        <v/>
      </c>
      <c r="I3514">
        <f>INDEX(Limits!$C$2:$C$5,MATCH(E3514,Limits!$A$2:$A$5,0))</f>
        <v/>
      </c>
      <c r="J3514">
        <f>IF(F3514&gt;=I3514,"Action",IF(F3514&gt;=H3514,"Alert","Pass"))</f>
        <v/>
      </c>
      <c r="K3514" s="4">
        <f>DATE(YEAR(B3514),MONTH(B3514),1)</f>
        <v/>
      </c>
    </row>
    <row r="3515">
      <c r="A3515" t="inlineStr">
        <is>
          <t>EM003514</t>
        </is>
      </c>
      <c r="B3515" s="7" t="n">
        <v>46283</v>
      </c>
      <c r="C3515" t="inlineStr">
        <is>
          <t>Gowning</t>
        </is>
      </c>
      <c r="D3515" t="inlineStr">
        <is>
          <t>ISO 8</t>
        </is>
      </c>
      <c r="E3515" t="inlineStr">
        <is>
          <t>Surface contact</t>
        </is>
      </c>
      <c r="F3515" t="n">
        <v>0</v>
      </c>
      <c r="G3515" t="inlineStr">
        <is>
          <t>Tech C</t>
        </is>
      </c>
      <c r="H3515">
        <f>INDEX(Limits!$B$2:$B$5,MATCH(E3515,Limits!$A$2:$A$5,0))</f>
        <v/>
      </c>
      <c r="I3515">
        <f>INDEX(Limits!$C$2:$C$5,MATCH(E3515,Limits!$A$2:$A$5,0))</f>
        <v/>
      </c>
      <c r="J3515">
        <f>IF(F3515&gt;=I3515,"Action",IF(F3515&gt;=H3515,"Alert","Pass"))</f>
        <v/>
      </c>
      <c r="K3515" s="4">
        <f>DATE(YEAR(B3515),MONTH(B3515),1)</f>
        <v/>
      </c>
    </row>
    <row r="3516">
      <c r="A3516" t="inlineStr">
        <is>
          <t>EM003515</t>
        </is>
      </c>
      <c r="B3516" s="7" t="n">
        <v>46283</v>
      </c>
      <c r="C3516" t="inlineStr">
        <is>
          <t>Gowning</t>
        </is>
      </c>
      <c r="D3516" t="inlineStr">
        <is>
          <t>ISO 8</t>
        </is>
      </c>
      <c r="E3516" t="inlineStr">
        <is>
          <t>Personnel glove</t>
        </is>
      </c>
      <c r="F3516" t="n">
        <v>0</v>
      </c>
      <c r="G3516" t="inlineStr">
        <is>
          <t>Tech B</t>
        </is>
      </c>
      <c r="H3516">
        <f>INDEX(Limits!$B$2:$B$5,MATCH(E3516,Limits!$A$2:$A$5,0))</f>
        <v/>
      </c>
      <c r="I3516">
        <f>INDEX(Limits!$C$2:$C$5,MATCH(E3516,Limits!$A$2:$A$5,0))</f>
        <v/>
      </c>
      <c r="J3516">
        <f>IF(F3516&gt;=I3516,"Action",IF(F3516&gt;=H3516,"Alert","Pass"))</f>
        <v/>
      </c>
      <c r="K3516" s="4">
        <f>DATE(YEAR(B3516),MONTH(B3516),1)</f>
        <v/>
      </c>
    </row>
    <row r="3517">
      <c r="A3517" t="inlineStr">
        <is>
          <t>EM003516</t>
        </is>
      </c>
      <c r="B3517" s="7" t="n">
        <v>46286</v>
      </c>
      <c r="C3517" t="inlineStr">
        <is>
          <t>CR-101</t>
        </is>
      </c>
      <c r="D3517" t="inlineStr">
        <is>
          <t>ISO 7</t>
        </is>
      </c>
      <c r="E3517" t="inlineStr">
        <is>
          <t>Active air</t>
        </is>
      </c>
      <c r="F3517" t="n">
        <v>2</v>
      </c>
      <c r="G3517" t="inlineStr">
        <is>
          <t>Tech C</t>
        </is>
      </c>
      <c r="H3517">
        <f>INDEX(Limits!$B$2:$B$5,MATCH(E3517,Limits!$A$2:$A$5,0))</f>
        <v/>
      </c>
      <c r="I3517">
        <f>INDEX(Limits!$C$2:$C$5,MATCH(E3517,Limits!$A$2:$A$5,0))</f>
        <v/>
      </c>
      <c r="J3517">
        <f>IF(F3517&gt;=I3517,"Action",IF(F3517&gt;=H3517,"Alert","Pass"))</f>
        <v/>
      </c>
      <c r="K3517" s="4">
        <f>DATE(YEAR(B3517),MONTH(B3517),1)</f>
        <v/>
      </c>
    </row>
    <row r="3518">
      <c r="A3518" t="inlineStr">
        <is>
          <t>EM003517</t>
        </is>
      </c>
      <c r="B3518" s="7" t="n">
        <v>46286</v>
      </c>
      <c r="C3518" t="inlineStr">
        <is>
          <t>CR-101</t>
        </is>
      </c>
      <c r="D3518" t="inlineStr">
        <is>
          <t>ISO 7</t>
        </is>
      </c>
      <c r="E3518" t="inlineStr">
        <is>
          <t>Surface contact</t>
        </is>
      </c>
      <c r="F3518" t="n">
        <v>0</v>
      </c>
      <c r="G3518" t="inlineStr">
        <is>
          <t>Tech C</t>
        </is>
      </c>
      <c r="H3518">
        <f>INDEX(Limits!$B$2:$B$5,MATCH(E3518,Limits!$A$2:$A$5,0))</f>
        <v/>
      </c>
      <c r="I3518">
        <f>INDEX(Limits!$C$2:$C$5,MATCH(E3518,Limits!$A$2:$A$5,0))</f>
        <v/>
      </c>
      <c r="J3518">
        <f>IF(F3518&gt;=I3518,"Action",IF(F3518&gt;=H3518,"Alert","Pass"))</f>
        <v/>
      </c>
      <c r="K3518" s="4">
        <f>DATE(YEAR(B3518),MONTH(B3518),1)</f>
        <v/>
      </c>
    </row>
    <row r="3519">
      <c r="A3519" t="inlineStr">
        <is>
          <t>EM003518</t>
        </is>
      </c>
      <c r="B3519" s="7" t="n">
        <v>46286</v>
      </c>
      <c r="C3519" t="inlineStr">
        <is>
          <t>CR-101</t>
        </is>
      </c>
      <c r="D3519" t="inlineStr">
        <is>
          <t>ISO 7</t>
        </is>
      </c>
      <c r="E3519" t="inlineStr">
        <is>
          <t>Compressed air</t>
        </is>
      </c>
      <c r="F3519" t="n">
        <v>0</v>
      </c>
      <c r="G3519" t="inlineStr">
        <is>
          <t>Tech C</t>
        </is>
      </c>
      <c r="H3519">
        <f>INDEX(Limits!$B$2:$B$5,MATCH(E3519,Limits!$A$2:$A$5,0))</f>
        <v/>
      </c>
      <c r="I3519">
        <f>INDEX(Limits!$C$2:$C$5,MATCH(E3519,Limits!$A$2:$A$5,0))</f>
        <v/>
      </c>
      <c r="J3519">
        <f>IF(F3519&gt;=I3519,"Action",IF(F3519&gt;=H3519,"Alert","Pass"))</f>
        <v/>
      </c>
      <c r="K3519" s="4">
        <f>DATE(YEAR(B3519),MONTH(B3519),1)</f>
        <v/>
      </c>
    </row>
    <row r="3520">
      <c r="A3520" t="inlineStr">
        <is>
          <t>EM003519</t>
        </is>
      </c>
      <c r="B3520" s="7" t="n">
        <v>46286</v>
      </c>
      <c r="C3520" t="inlineStr">
        <is>
          <t>CR-101</t>
        </is>
      </c>
      <c r="D3520" t="inlineStr">
        <is>
          <t>ISO 7</t>
        </is>
      </c>
      <c r="E3520" t="inlineStr">
        <is>
          <t>Personnel glove</t>
        </is>
      </c>
      <c r="F3520" t="n">
        <v>0</v>
      </c>
      <c r="G3520" t="inlineStr">
        <is>
          <t>Tech B</t>
        </is>
      </c>
      <c r="H3520">
        <f>INDEX(Limits!$B$2:$B$5,MATCH(E3520,Limits!$A$2:$A$5,0))</f>
        <v/>
      </c>
      <c r="I3520">
        <f>INDEX(Limits!$C$2:$C$5,MATCH(E3520,Limits!$A$2:$A$5,0))</f>
        <v/>
      </c>
      <c r="J3520">
        <f>IF(F3520&gt;=I3520,"Action",IF(F3520&gt;=H3520,"Alert","Pass"))</f>
        <v/>
      </c>
      <c r="K3520" s="4">
        <f>DATE(YEAR(B3520),MONTH(B3520),1)</f>
        <v/>
      </c>
    </row>
    <row r="3521">
      <c r="A3521" t="inlineStr">
        <is>
          <t>EM003520</t>
        </is>
      </c>
      <c r="B3521" s="7" t="n">
        <v>46286</v>
      </c>
      <c r="C3521" t="inlineStr">
        <is>
          <t>CR-102</t>
        </is>
      </c>
      <c r="D3521" t="inlineStr">
        <is>
          <t>ISO 7</t>
        </is>
      </c>
      <c r="E3521" t="inlineStr">
        <is>
          <t>Active air</t>
        </is>
      </c>
      <c r="F3521" t="n">
        <v>3</v>
      </c>
      <c r="G3521" t="inlineStr">
        <is>
          <t>Tech D</t>
        </is>
      </c>
      <c r="H3521">
        <f>INDEX(Limits!$B$2:$B$5,MATCH(E3521,Limits!$A$2:$A$5,0))</f>
        <v/>
      </c>
      <c r="I3521">
        <f>INDEX(Limits!$C$2:$C$5,MATCH(E3521,Limits!$A$2:$A$5,0))</f>
        <v/>
      </c>
      <c r="J3521">
        <f>IF(F3521&gt;=I3521,"Action",IF(F3521&gt;=H3521,"Alert","Pass"))</f>
        <v/>
      </c>
      <c r="K3521" s="4">
        <f>DATE(YEAR(B3521),MONTH(B3521),1)</f>
        <v/>
      </c>
    </row>
    <row r="3522">
      <c r="A3522" t="inlineStr">
        <is>
          <t>EM003521</t>
        </is>
      </c>
      <c r="B3522" s="7" t="n">
        <v>46286</v>
      </c>
      <c r="C3522" t="inlineStr">
        <is>
          <t>CR-102</t>
        </is>
      </c>
      <c r="D3522" t="inlineStr">
        <is>
          <t>ISO 7</t>
        </is>
      </c>
      <c r="E3522" t="inlineStr">
        <is>
          <t>Surface contact</t>
        </is>
      </c>
      <c r="F3522" t="n">
        <v>0</v>
      </c>
      <c r="G3522" t="inlineStr">
        <is>
          <t>Tech B</t>
        </is>
      </c>
      <c r="H3522">
        <f>INDEX(Limits!$B$2:$B$5,MATCH(E3522,Limits!$A$2:$A$5,0))</f>
        <v/>
      </c>
      <c r="I3522">
        <f>INDEX(Limits!$C$2:$C$5,MATCH(E3522,Limits!$A$2:$A$5,0))</f>
        <v/>
      </c>
      <c r="J3522">
        <f>IF(F3522&gt;=I3522,"Action",IF(F3522&gt;=H3522,"Alert","Pass"))</f>
        <v/>
      </c>
      <c r="K3522" s="4">
        <f>DATE(YEAR(B3522),MONTH(B3522),1)</f>
        <v/>
      </c>
    </row>
    <row r="3523">
      <c r="A3523" t="inlineStr">
        <is>
          <t>EM003522</t>
        </is>
      </c>
      <c r="B3523" s="7" t="n">
        <v>46286</v>
      </c>
      <c r="C3523" t="inlineStr">
        <is>
          <t>CR-102</t>
        </is>
      </c>
      <c r="D3523" t="inlineStr">
        <is>
          <t>ISO 7</t>
        </is>
      </c>
      <c r="E3523" t="inlineStr">
        <is>
          <t>Compressed air</t>
        </is>
      </c>
      <c r="F3523" t="n">
        <v>0</v>
      </c>
      <c r="G3523" t="inlineStr">
        <is>
          <t>Tech D</t>
        </is>
      </c>
      <c r="H3523">
        <f>INDEX(Limits!$B$2:$B$5,MATCH(E3523,Limits!$A$2:$A$5,0))</f>
        <v/>
      </c>
      <c r="I3523">
        <f>INDEX(Limits!$C$2:$C$5,MATCH(E3523,Limits!$A$2:$A$5,0))</f>
        <v/>
      </c>
      <c r="J3523">
        <f>IF(F3523&gt;=I3523,"Action",IF(F3523&gt;=H3523,"Alert","Pass"))</f>
        <v/>
      </c>
      <c r="K3523" s="4">
        <f>DATE(YEAR(B3523),MONTH(B3523),1)</f>
        <v/>
      </c>
    </row>
    <row r="3524">
      <c r="A3524" t="inlineStr">
        <is>
          <t>EM003523</t>
        </is>
      </c>
      <c r="B3524" s="7" t="n">
        <v>46286</v>
      </c>
      <c r="C3524" t="inlineStr">
        <is>
          <t>CR-102</t>
        </is>
      </c>
      <c r="D3524" t="inlineStr">
        <is>
          <t>ISO 7</t>
        </is>
      </c>
      <c r="E3524" t="inlineStr">
        <is>
          <t>Personnel glove</t>
        </is>
      </c>
      <c r="F3524" t="n">
        <v>0</v>
      </c>
      <c r="G3524" t="inlineStr">
        <is>
          <t>Tech D</t>
        </is>
      </c>
      <c r="H3524">
        <f>INDEX(Limits!$B$2:$B$5,MATCH(E3524,Limits!$A$2:$A$5,0))</f>
        <v/>
      </c>
      <c r="I3524">
        <f>INDEX(Limits!$C$2:$C$5,MATCH(E3524,Limits!$A$2:$A$5,0))</f>
        <v/>
      </c>
      <c r="J3524">
        <f>IF(F3524&gt;=I3524,"Action",IF(F3524&gt;=H3524,"Alert","Pass"))</f>
        <v/>
      </c>
      <c r="K3524" s="4">
        <f>DATE(YEAR(B3524),MONTH(B3524),1)</f>
        <v/>
      </c>
    </row>
    <row r="3525">
      <c r="A3525" t="inlineStr">
        <is>
          <t>EM003524</t>
        </is>
      </c>
      <c r="B3525" s="7" t="n">
        <v>46286</v>
      </c>
      <c r="C3525" t="inlineStr">
        <is>
          <t>CR-201</t>
        </is>
      </c>
      <c r="D3525" t="inlineStr">
        <is>
          <t>ISO 8</t>
        </is>
      </c>
      <c r="E3525" t="inlineStr">
        <is>
          <t>Active air</t>
        </is>
      </c>
      <c r="F3525" t="n">
        <v>1</v>
      </c>
      <c r="G3525" t="inlineStr">
        <is>
          <t>Tech B</t>
        </is>
      </c>
      <c r="H3525">
        <f>INDEX(Limits!$B$2:$B$5,MATCH(E3525,Limits!$A$2:$A$5,0))</f>
        <v/>
      </c>
      <c r="I3525">
        <f>INDEX(Limits!$C$2:$C$5,MATCH(E3525,Limits!$A$2:$A$5,0))</f>
        <v/>
      </c>
      <c r="J3525">
        <f>IF(F3525&gt;=I3525,"Action",IF(F3525&gt;=H3525,"Alert","Pass"))</f>
        <v/>
      </c>
      <c r="K3525" s="4">
        <f>DATE(YEAR(B3525),MONTH(B3525),1)</f>
        <v/>
      </c>
    </row>
    <row r="3526">
      <c r="A3526" t="inlineStr">
        <is>
          <t>EM003525</t>
        </is>
      </c>
      <c r="B3526" s="7" t="n">
        <v>46286</v>
      </c>
      <c r="C3526" t="inlineStr">
        <is>
          <t>CR-201</t>
        </is>
      </c>
      <c r="D3526" t="inlineStr">
        <is>
          <t>ISO 8</t>
        </is>
      </c>
      <c r="E3526" t="inlineStr">
        <is>
          <t>Surface contact</t>
        </is>
      </c>
      <c r="F3526" t="n">
        <v>0</v>
      </c>
      <c r="G3526" t="inlineStr">
        <is>
          <t>Tech D</t>
        </is>
      </c>
      <c r="H3526">
        <f>INDEX(Limits!$B$2:$B$5,MATCH(E3526,Limits!$A$2:$A$5,0))</f>
        <v/>
      </c>
      <c r="I3526">
        <f>INDEX(Limits!$C$2:$C$5,MATCH(E3526,Limits!$A$2:$A$5,0))</f>
        <v/>
      </c>
      <c r="J3526">
        <f>IF(F3526&gt;=I3526,"Action",IF(F3526&gt;=H3526,"Alert","Pass"))</f>
        <v/>
      </c>
      <c r="K3526" s="4">
        <f>DATE(YEAR(B3526),MONTH(B3526),1)</f>
        <v/>
      </c>
    </row>
    <row r="3527">
      <c r="A3527" t="inlineStr">
        <is>
          <t>EM003526</t>
        </is>
      </c>
      <c r="B3527" s="7" t="n">
        <v>46286</v>
      </c>
      <c r="C3527" t="inlineStr">
        <is>
          <t>CR-201</t>
        </is>
      </c>
      <c r="D3527" t="inlineStr">
        <is>
          <t>ISO 8</t>
        </is>
      </c>
      <c r="E3527" t="inlineStr">
        <is>
          <t>Compressed air</t>
        </is>
      </c>
      <c r="F3527" t="n">
        <v>0</v>
      </c>
      <c r="G3527" t="inlineStr">
        <is>
          <t>Tech A</t>
        </is>
      </c>
      <c r="H3527">
        <f>INDEX(Limits!$B$2:$B$5,MATCH(E3527,Limits!$A$2:$A$5,0))</f>
        <v/>
      </c>
      <c r="I3527">
        <f>INDEX(Limits!$C$2:$C$5,MATCH(E3527,Limits!$A$2:$A$5,0))</f>
        <v/>
      </c>
      <c r="J3527">
        <f>IF(F3527&gt;=I3527,"Action",IF(F3527&gt;=H3527,"Alert","Pass"))</f>
        <v/>
      </c>
      <c r="K3527" s="4">
        <f>DATE(YEAR(B3527),MONTH(B3527),1)</f>
        <v/>
      </c>
    </row>
    <row r="3528">
      <c r="A3528" t="inlineStr">
        <is>
          <t>EM003527</t>
        </is>
      </c>
      <c r="B3528" s="7" t="n">
        <v>46286</v>
      </c>
      <c r="C3528" t="inlineStr">
        <is>
          <t>CR-201</t>
        </is>
      </c>
      <c r="D3528" t="inlineStr">
        <is>
          <t>ISO 8</t>
        </is>
      </c>
      <c r="E3528" t="inlineStr">
        <is>
          <t>Personnel glove</t>
        </is>
      </c>
      <c r="F3528" t="n">
        <v>0</v>
      </c>
      <c r="G3528" t="inlineStr">
        <is>
          <t>Tech B</t>
        </is>
      </c>
      <c r="H3528">
        <f>INDEX(Limits!$B$2:$B$5,MATCH(E3528,Limits!$A$2:$A$5,0))</f>
        <v/>
      </c>
      <c r="I3528">
        <f>INDEX(Limits!$C$2:$C$5,MATCH(E3528,Limits!$A$2:$A$5,0))</f>
        <v/>
      </c>
      <c r="J3528">
        <f>IF(F3528&gt;=I3528,"Action",IF(F3528&gt;=H3528,"Alert","Pass"))</f>
        <v/>
      </c>
      <c r="K3528" s="4">
        <f>DATE(YEAR(B3528),MONTH(B3528),1)</f>
        <v/>
      </c>
    </row>
    <row r="3529">
      <c r="A3529" t="inlineStr">
        <is>
          <t>EM003528</t>
        </is>
      </c>
      <c r="B3529" s="7" t="n">
        <v>46286</v>
      </c>
      <c r="C3529" t="inlineStr">
        <is>
          <t>CR-202</t>
        </is>
      </c>
      <c r="D3529" t="inlineStr">
        <is>
          <t>ISO 8</t>
        </is>
      </c>
      <c r="E3529" t="inlineStr">
        <is>
          <t>Active air</t>
        </is>
      </c>
      <c r="F3529" t="n">
        <v>2</v>
      </c>
      <c r="G3529" t="inlineStr">
        <is>
          <t>Tech D</t>
        </is>
      </c>
      <c r="H3529">
        <f>INDEX(Limits!$B$2:$B$5,MATCH(E3529,Limits!$A$2:$A$5,0))</f>
        <v/>
      </c>
      <c r="I3529">
        <f>INDEX(Limits!$C$2:$C$5,MATCH(E3529,Limits!$A$2:$A$5,0))</f>
        <v/>
      </c>
      <c r="J3529">
        <f>IF(F3529&gt;=I3529,"Action",IF(F3529&gt;=H3529,"Alert","Pass"))</f>
        <v/>
      </c>
      <c r="K3529" s="4">
        <f>DATE(YEAR(B3529),MONTH(B3529),1)</f>
        <v/>
      </c>
    </row>
    <row r="3530">
      <c r="A3530" t="inlineStr">
        <is>
          <t>EM003529</t>
        </is>
      </c>
      <c r="B3530" s="7" t="n">
        <v>46286</v>
      </c>
      <c r="C3530" t="inlineStr">
        <is>
          <t>CR-202</t>
        </is>
      </c>
      <c r="D3530" t="inlineStr">
        <is>
          <t>ISO 8</t>
        </is>
      </c>
      <c r="E3530" t="inlineStr">
        <is>
          <t>Surface contact</t>
        </is>
      </c>
      <c r="F3530" t="n">
        <v>0</v>
      </c>
      <c r="G3530" t="inlineStr">
        <is>
          <t>Tech A</t>
        </is>
      </c>
      <c r="H3530">
        <f>INDEX(Limits!$B$2:$B$5,MATCH(E3530,Limits!$A$2:$A$5,0))</f>
        <v/>
      </c>
      <c r="I3530">
        <f>INDEX(Limits!$C$2:$C$5,MATCH(E3530,Limits!$A$2:$A$5,0))</f>
        <v/>
      </c>
      <c r="J3530">
        <f>IF(F3530&gt;=I3530,"Action",IF(F3530&gt;=H3530,"Alert","Pass"))</f>
        <v/>
      </c>
      <c r="K3530" s="4">
        <f>DATE(YEAR(B3530),MONTH(B3530),1)</f>
        <v/>
      </c>
    </row>
    <row r="3531">
      <c r="A3531" t="inlineStr">
        <is>
          <t>EM003530</t>
        </is>
      </c>
      <c r="B3531" s="7" t="n">
        <v>46286</v>
      </c>
      <c r="C3531" t="inlineStr">
        <is>
          <t>CR-202</t>
        </is>
      </c>
      <c r="D3531" t="inlineStr">
        <is>
          <t>ISO 8</t>
        </is>
      </c>
      <c r="E3531" t="inlineStr">
        <is>
          <t>Compressed air</t>
        </is>
      </c>
      <c r="F3531" t="n">
        <v>0</v>
      </c>
      <c r="G3531" t="inlineStr">
        <is>
          <t>Tech D</t>
        </is>
      </c>
      <c r="H3531">
        <f>INDEX(Limits!$B$2:$B$5,MATCH(E3531,Limits!$A$2:$A$5,0))</f>
        <v/>
      </c>
      <c r="I3531">
        <f>INDEX(Limits!$C$2:$C$5,MATCH(E3531,Limits!$A$2:$A$5,0))</f>
        <v/>
      </c>
      <c r="J3531">
        <f>IF(F3531&gt;=I3531,"Action",IF(F3531&gt;=H3531,"Alert","Pass"))</f>
        <v/>
      </c>
      <c r="K3531" s="4">
        <f>DATE(YEAR(B3531),MONTH(B3531),1)</f>
        <v/>
      </c>
    </row>
    <row r="3532">
      <c r="A3532" t="inlineStr">
        <is>
          <t>EM003531</t>
        </is>
      </c>
      <c r="B3532" s="7" t="n">
        <v>46286</v>
      </c>
      <c r="C3532" t="inlineStr">
        <is>
          <t>CR-202</t>
        </is>
      </c>
      <c r="D3532" t="inlineStr">
        <is>
          <t>ISO 8</t>
        </is>
      </c>
      <c r="E3532" t="inlineStr">
        <is>
          <t>Personnel glove</t>
        </is>
      </c>
      <c r="F3532" t="n">
        <v>0</v>
      </c>
      <c r="G3532" t="inlineStr">
        <is>
          <t>Tech D</t>
        </is>
      </c>
      <c r="H3532">
        <f>INDEX(Limits!$B$2:$B$5,MATCH(E3532,Limits!$A$2:$A$5,0))</f>
        <v/>
      </c>
      <c r="I3532">
        <f>INDEX(Limits!$C$2:$C$5,MATCH(E3532,Limits!$A$2:$A$5,0))</f>
        <v/>
      </c>
      <c r="J3532">
        <f>IF(F3532&gt;=I3532,"Action",IF(F3532&gt;=H3532,"Alert","Pass"))</f>
        <v/>
      </c>
      <c r="K3532" s="4">
        <f>DATE(YEAR(B3532),MONTH(B3532),1)</f>
        <v/>
      </c>
    </row>
    <row r="3533">
      <c r="A3533" t="inlineStr">
        <is>
          <t>EM003532</t>
        </is>
      </c>
      <c r="B3533" s="7" t="n">
        <v>46286</v>
      </c>
      <c r="C3533" t="inlineStr">
        <is>
          <t>Gowning</t>
        </is>
      </c>
      <c r="D3533" t="inlineStr">
        <is>
          <t>ISO 8</t>
        </is>
      </c>
      <c r="E3533" t="inlineStr">
        <is>
          <t>Active air</t>
        </is>
      </c>
      <c r="F3533" t="n">
        <v>2</v>
      </c>
      <c r="G3533" t="inlineStr">
        <is>
          <t>Tech D</t>
        </is>
      </c>
      <c r="H3533">
        <f>INDEX(Limits!$B$2:$B$5,MATCH(E3533,Limits!$A$2:$A$5,0))</f>
        <v/>
      </c>
      <c r="I3533">
        <f>INDEX(Limits!$C$2:$C$5,MATCH(E3533,Limits!$A$2:$A$5,0))</f>
        <v/>
      </c>
      <c r="J3533">
        <f>IF(F3533&gt;=I3533,"Action",IF(F3533&gt;=H3533,"Alert","Pass"))</f>
        <v/>
      </c>
      <c r="K3533" s="4">
        <f>DATE(YEAR(B3533),MONTH(B3533),1)</f>
        <v/>
      </c>
    </row>
    <row r="3534">
      <c r="A3534" t="inlineStr">
        <is>
          <t>EM003533</t>
        </is>
      </c>
      <c r="B3534" s="7" t="n">
        <v>46286</v>
      </c>
      <c r="C3534" t="inlineStr">
        <is>
          <t>Gowning</t>
        </is>
      </c>
      <c r="D3534" t="inlineStr">
        <is>
          <t>ISO 8</t>
        </is>
      </c>
      <c r="E3534" t="inlineStr">
        <is>
          <t>Surface contact</t>
        </is>
      </c>
      <c r="F3534" t="n">
        <v>0</v>
      </c>
      <c r="G3534" t="inlineStr">
        <is>
          <t>Tech C</t>
        </is>
      </c>
      <c r="H3534">
        <f>INDEX(Limits!$B$2:$B$5,MATCH(E3534,Limits!$A$2:$A$5,0))</f>
        <v/>
      </c>
      <c r="I3534">
        <f>INDEX(Limits!$C$2:$C$5,MATCH(E3534,Limits!$A$2:$A$5,0))</f>
        <v/>
      </c>
      <c r="J3534">
        <f>IF(F3534&gt;=I3534,"Action",IF(F3534&gt;=H3534,"Alert","Pass"))</f>
        <v/>
      </c>
      <c r="K3534" s="4">
        <f>DATE(YEAR(B3534),MONTH(B3534),1)</f>
        <v/>
      </c>
    </row>
    <row r="3535">
      <c r="A3535" t="inlineStr">
        <is>
          <t>EM003534</t>
        </is>
      </c>
      <c r="B3535" s="7" t="n">
        <v>46286</v>
      </c>
      <c r="C3535" t="inlineStr">
        <is>
          <t>Gowning</t>
        </is>
      </c>
      <c r="D3535" t="inlineStr">
        <is>
          <t>ISO 8</t>
        </is>
      </c>
      <c r="E3535" t="inlineStr">
        <is>
          <t>Personnel glove</t>
        </is>
      </c>
      <c r="F3535" t="n">
        <v>0</v>
      </c>
      <c r="G3535" t="inlineStr">
        <is>
          <t>Tech D</t>
        </is>
      </c>
      <c r="H3535">
        <f>INDEX(Limits!$B$2:$B$5,MATCH(E3535,Limits!$A$2:$A$5,0))</f>
        <v/>
      </c>
      <c r="I3535">
        <f>INDEX(Limits!$C$2:$C$5,MATCH(E3535,Limits!$A$2:$A$5,0))</f>
        <v/>
      </c>
      <c r="J3535">
        <f>IF(F3535&gt;=I3535,"Action",IF(F3535&gt;=H3535,"Alert","Pass"))</f>
        <v/>
      </c>
      <c r="K3535" s="4">
        <f>DATE(YEAR(B3535),MONTH(B3535),1)</f>
        <v/>
      </c>
    </row>
    <row r="3536">
      <c r="A3536" t="inlineStr">
        <is>
          <t>EM003535</t>
        </is>
      </c>
      <c r="B3536" s="7" t="n">
        <v>46287</v>
      </c>
      <c r="C3536" t="inlineStr">
        <is>
          <t>CR-101</t>
        </is>
      </c>
      <c r="D3536" t="inlineStr">
        <is>
          <t>ISO 7</t>
        </is>
      </c>
      <c r="E3536" t="inlineStr">
        <is>
          <t>Active air</t>
        </is>
      </c>
      <c r="F3536" t="n">
        <v>1</v>
      </c>
      <c r="G3536" t="inlineStr">
        <is>
          <t>Tech A</t>
        </is>
      </c>
      <c r="H3536">
        <f>INDEX(Limits!$B$2:$B$5,MATCH(E3536,Limits!$A$2:$A$5,0))</f>
        <v/>
      </c>
      <c r="I3536">
        <f>INDEX(Limits!$C$2:$C$5,MATCH(E3536,Limits!$A$2:$A$5,0))</f>
        <v/>
      </c>
      <c r="J3536">
        <f>IF(F3536&gt;=I3536,"Action",IF(F3536&gt;=H3536,"Alert","Pass"))</f>
        <v/>
      </c>
      <c r="K3536" s="4">
        <f>DATE(YEAR(B3536),MONTH(B3536),1)</f>
        <v/>
      </c>
    </row>
    <row r="3537">
      <c r="A3537" t="inlineStr">
        <is>
          <t>EM003536</t>
        </is>
      </c>
      <c r="B3537" s="7" t="n">
        <v>46287</v>
      </c>
      <c r="C3537" t="inlineStr">
        <is>
          <t>CR-101</t>
        </is>
      </c>
      <c r="D3537" t="inlineStr">
        <is>
          <t>ISO 7</t>
        </is>
      </c>
      <c r="E3537" t="inlineStr">
        <is>
          <t>Surface contact</t>
        </is>
      </c>
      <c r="F3537" t="n">
        <v>0</v>
      </c>
      <c r="G3537" t="inlineStr">
        <is>
          <t>Tech C</t>
        </is>
      </c>
      <c r="H3537">
        <f>INDEX(Limits!$B$2:$B$5,MATCH(E3537,Limits!$A$2:$A$5,0))</f>
        <v/>
      </c>
      <c r="I3537">
        <f>INDEX(Limits!$C$2:$C$5,MATCH(E3537,Limits!$A$2:$A$5,0))</f>
        <v/>
      </c>
      <c r="J3537">
        <f>IF(F3537&gt;=I3537,"Action",IF(F3537&gt;=H3537,"Alert","Pass"))</f>
        <v/>
      </c>
      <c r="K3537" s="4">
        <f>DATE(YEAR(B3537),MONTH(B3537),1)</f>
        <v/>
      </c>
    </row>
    <row r="3538">
      <c r="A3538" t="inlineStr">
        <is>
          <t>EM003537</t>
        </is>
      </c>
      <c r="B3538" s="7" t="n">
        <v>46287</v>
      </c>
      <c r="C3538" t="inlineStr">
        <is>
          <t>CR-101</t>
        </is>
      </c>
      <c r="D3538" t="inlineStr">
        <is>
          <t>ISO 7</t>
        </is>
      </c>
      <c r="E3538" t="inlineStr">
        <is>
          <t>Compressed air</t>
        </is>
      </c>
      <c r="F3538" t="n">
        <v>0</v>
      </c>
      <c r="G3538" t="inlineStr">
        <is>
          <t>Tech C</t>
        </is>
      </c>
      <c r="H3538">
        <f>INDEX(Limits!$B$2:$B$5,MATCH(E3538,Limits!$A$2:$A$5,0))</f>
        <v/>
      </c>
      <c r="I3538">
        <f>INDEX(Limits!$C$2:$C$5,MATCH(E3538,Limits!$A$2:$A$5,0))</f>
        <v/>
      </c>
      <c r="J3538">
        <f>IF(F3538&gt;=I3538,"Action",IF(F3538&gt;=H3538,"Alert","Pass"))</f>
        <v/>
      </c>
      <c r="K3538" s="4">
        <f>DATE(YEAR(B3538),MONTH(B3538),1)</f>
        <v/>
      </c>
    </row>
    <row r="3539">
      <c r="A3539" t="inlineStr">
        <is>
          <t>EM003538</t>
        </is>
      </c>
      <c r="B3539" s="7" t="n">
        <v>46287</v>
      </c>
      <c r="C3539" t="inlineStr">
        <is>
          <t>CR-101</t>
        </is>
      </c>
      <c r="D3539" t="inlineStr">
        <is>
          <t>ISO 7</t>
        </is>
      </c>
      <c r="E3539" t="inlineStr">
        <is>
          <t>Personnel glove</t>
        </is>
      </c>
      <c r="F3539" t="n">
        <v>0</v>
      </c>
      <c r="G3539" t="inlineStr">
        <is>
          <t>Tech C</t>
        </is>
      </c>
      <c r="H3539">
        <f>INDEX(Limits!$B$2:$B$5,MATCH(E3539,Limits!$A$2:$A$5,0))</f>
        <v/>
      </c>
      <c r="I3539">
        <f>INDEX(Limits!$C$2:$C$5,MATCH(E3539,Limits!$A$2:$A$5,0))</f>
        <v/>
      </c>
      <c r="J3539">
        <f>IF(F3539&gt;=I3539,"Action",IF(F3539&gt;=H3539,"Alert","Pass"))</f>
        <v/>
      </c>
      <c r="K3539" s="4">
        <f>DATE(YEAR(B3539),MONTH(B3539),1)</f>
        <v/>
      </c>
    </row>
    <row r="3540">
      <c r="A3540" t="inlineStr">
        <is>
          <t>EM003539</t>
        </is>
      </c>
      <c r="B3540" s="7" t="n">
        <v>46287</v>
      </c>
      <c r="C3540" t="inlineStr">
        <is>
          <t>CR-102</t>
        </is>
      </c>
      <c r="D3540" t="inlineStr">
        <is>
          <t>ISO 7</t>
        </is>
      </c>
      <c r="E3540" t="inlineStr">
        <is>
          <t>Active air</t>
        </is>
      </c>
      <c r="F3540" t="n">
        <v>0</v>
      </c>
      <c r="G3540" t="inlineStr">
        <is>
          <t>Tech D</t>
        </is>
      </c>
      <c r="H3540">
        <f>INDEX(Limits!$B$2:$B$5,MATCH(E3540,Limits!$A$2:$A$5,0))</f>
        <v/>
      </c>
      <c r="I3540">
        <f>INDEX(Limits!$C$2:$C$5,MATCH(E3540,Limits!$A$2:$A$5,0))</f>
        <v/>
      </c>
      <c r="J3540">
        <f>IF(F3540&gt;=I3540,"Action",IF(F3540&gt;=H3540,"Alert","Pass"))</f>
        <v/>
      </c>
      <c r="K3540" s="4">
        <f>DATE(YEAR(B3540),MONTH(B3540),1)</f>
        <v/>
      </c>
    </row>
    <row r="3541">
      <c r="A3541" t="inlineStr">
        <is>
          <t>EM003540</t>
        </is>
      </c>
      <c r="B3541" s="7" t="n">
        <v>46287</v>
      </c>
      <c r="C3541" t="inlineStr">
        <is>
          <t>CR-102</t>
        </is>
      </c>
      <c r="D3541" t="inlineStr">
        <is>
          <t>ISO 7</t>
        </is>
      </c>
      <c r="E3541" t="inlineStr">
        <is>
          <t>Surface contact</t>
        </is>
      </c>
      <c r="F3541" t="n">
        <v>0</v>
      </c>
      <c r="G3541" t="inlineStr">
        <is>
          <t>Tech C</t>
        </is>
      </c>
      <c r="H3541">
        <f>INDEX(Limits!$B$2:$B$5,MATCH(E3541,Limits!$A$2:$A$5,0))</f>
        <v/>
      </c>
      <c r="I3541">
        <f>INDEX(Limits!$C$2:$C$5,MATCH(E3541,Limits!$A$2:$A$5,0))</f>
        <v/>
      </c>
      <c r="J3541">
        <f>IF(F3541&gt;=I3541,"Action",IF(F3541&gt;=H3541,"Alert","Pass"))</f>
        <v/>
      </c>
      <c r="K3541" s="4">
        <f>DATE(YEAR(B3541),MONTH(B3541),1)</f>
        <v/>
      </c>
    </row>
    <row r="3542">
      <c r="A3542" t="inlineStr">
        <is>
          <t>EM003541</t>
        </is>
      </c>
      <c r="B3542" s="7" t="n">
        <v>46287</v>
      </c>
      <c r="C3542" t="inlineStr">
        <is>
          <t>CR-102</t>
        </is>
      </c>
      <c r="D3542" t="inlineStr">
        <is>
          <t>ISO 7</t>
        </is>
      </c>
      <c r="E3542" t="inlineStr">
        <is>
          <t>Compressed air</t>
        </is>
      </c>
      <c r="F3542" t="n">
        <v>1</v>
      </c>
      <c r="G3542" t="inlineStr">
        <is>
          <t>Tech B</t>
        </is>
      </c>
      <c r="H3542">
        <f>INDEX(Limits!$B$2:$B$5,MATCH(E3542,Limits!$A$2:$A$5,0))</f>
        <v/>
      </c>
      <c r="I3542">
        <f>INDEX(Limits!$C$2:$C$5,MATCH(E3542,Limits!$A$2:$A$5,0))</f>
        <v/>
      </c>
      <c r="J3542">
        <f>IF(F3542&gt;=I3542,"Action",IF(F3542&gt;=H3542,"Alert","Pass"))</f>
        <v/>
      </c>
      <c r="K3542" s="4">
        <f>DATE(YEAR(B3542),MONTH(B3542),1)</f>
        <v/>
      </c>
    </row>
    <row r="3543">
      <c r="A3543" t="inlineStr">
        <is>
          <t>EM003542</t>
        </is>
      </c>
      <c r="B3543" s="7" t="n">
        <v>46287</v>
      </c>
      <c r="C3543" t="inlineStr">
        <is>
          <t>CR-102</t>
        </is>
      </c>
      <c r="D3543" t="inlineStr">
        <is>
          <t>ISO 7</t>
        </is>
      </c>
      <c r="E3543" t="inlineStr">
        <is>
          <t>Personnel glove</t>
        </is>
      </c>
      <c r="F3543" t="n">
        <v>0</v>
      </c>
      <c r="G3543" t="inlineStr">
        <is>
          <t>Tech D</t>
        </is>
      </c>
      <c r="H3543">
        <f>INDEX(Limits!$B$2:$B$5,MATCH(E3543,Limits!$A$2:$A$5,0))</f>
        <v/>
      </c>
      <c r="I3543">
        <f>INDEX(Limits!$C$2:$C$5,MATCH(E3543,Limits!$A$2:$A$5,0))</f>
        <v/>
      </c>
      <c r="J3543">
        <f>IF(F3543&gt;=I3543,"Action",IF(F3543&gt;=H3543,"Alert","Pass"))</f>
        <v/>
      </c>
      <c r="K3543" s="4">
        <f>DATE(YEAR(B3543),MONTH(B3543),1)</f>
        <v/>
      </c>
    </row>
    <row r="3544">
      <c r="A3544" t="inlineStr">
        <is>
          <t>EM003543</t>
        </is>
      </c>
      <c r="B3544" s="7" t="n">
        <v>46287</v>
      </c>
      <c r="C3544" t="inlineStr">
        <is>
          <t>CR-201</t>
        </is>
      </c>
      <c r="D3544" t="inlineStr">
        <is>
          <t>ISO 8</t>
        </is>
      </c>
      <c r="E3544" t="inlineStr">
        <is>
          <t>Active air</t>
        </is>
      </c>
      <c r="F3544" t="n">
        <v>1</v>
      </c>
      <c r="G3544" t="inlineStr">
        <is>
          <t>Tech D</t>
        </is>
      </c>
      <c r="H3544">
        <f>INDEX(Limits!$B$2:$B$5,MATCH(E3544,Limits!$A$2:$A$5,0))</f>
        <v/>
      </c>
      <c r="I3544">
        <f>INDEX(Limits!$C$2:$C$5,MATCH(E3544,Limits!$A$2:$A$5,0))</f>
        <v/>
      </c>
      <c r="J3544">
        <f>IF(F3544&gt;=I3544,"Action",IF(F3544&gt;=H3544,"Alert","Pass"))</f>
        <v/>
      </c>
      <c r="K3544" s="4">
        <f>DATE(YEAR(B3544),MONTH(B3544),1)</f>
        <v/>
      </c>
    </row>
    <row r="3545">
      <c r="A3545" t="inlineStr">
        <is>
          <t>EM003544</t>
        </is>
      </c>
      <c r="B3545" s="7" t="n">
        <v>46287</v>
      </c>
      <c r="C3545" t="inlineStr">
        <is>
          <t>CR-201</t>
        </is>
      </c>
      <c r="D3545" t="inlineStr">
        <is>
          <t>ISO 8</t>
        </is>
      </c>
      <c r="E3545" t="inlineStr">
        <is>
          <t>Surface contact</t>
        </is>
      </c>
      <c r="F3545" t="n">
        <v>0</v>
      </c>
      <c r="G3545" t="inlineStr">
        <is>
          <t>Tech C</t>
        </is>
      </c>
      <c r="H3545">
        <f>INDEX(Limits!$B$2:$B$5,MATCH(E3545,Limits!$A$2:$A$5,0))</f>
        <v/>
      </c>
      <c r="I3545">
        <f>INDEX(Limits!$C$2:$C$5,MATCH(E3545,Limits!$A$2:$A$5,0))</f>
        <v/>
      </c>
      <c r="J3545">
        <f>IF(F3545&gt;=I3545,"Action",IF(F3545&gt;=H3545,"Alert","Pass"))</f>
        <v/>
      </c>
      <c r="K3545" s="4">
        <f>DATE(YEAR(B3545),MONTH(B3545),1)</f>
        <v/>
      </c>
    </row>
    <row r="3546">
      <c r="A3546" t="inlineStr">
        <is>
          <t>EM003545</t>
        </is>
      </c>
      <c r="B3546" s="7" t="n">
        <v>46287</v>
      </c>
      <c r="C3546" t="inlineStr">
        <is>
          <t>CR-201</t>
        </is>
      </c>
      <c r="D3546" t="inlineStr">
        <is>
          <t>ISO 8</t>
        </is>
      </c>
      <c r="E3546" t="inlineStr">
        <is>
          <t>Compressed air</t>
        </is>
      </c>
      <c r="F3546" t="n">
        <v>0</v>
      </c>
      <c r="G3546" t="inlineStr">
        <is>
          <t>Tech C</t>
        </is>
      </c>
      <c r="H3546">
        <f>INDEX(Limits!$B$2:$B$5,MATCH(E3546,Limits!$A$2:$A$5,0))</f>
        <v/>
      </c>
      <c r="I3546">
        <f>INDEX(Limits!$C$2:$C$5,MATCH(E3546,Limits!$A$2:$A$5,0))</f>
        <v/>
      </c>
      <c r="J3546">
        <f>IF(F3546&gt;=I3546,"Action",IF(F3546&gt;=H3546,"Alert","Pass"))</f>
        <v/>
      </c>
      <c r="K3546" s="4">
        <f>DATE(YEAR(B3546),MONTH(B3546),1)</f>
        <v/>
      </c>
    </row>
    <row r="3547">
      <c r="A3547" t="inlineStr">
        <is>
          <t>EM003546</t>
        </is>
      </c>
      <c r="B3547" s="7" t="n">
        <v>46287</v>
      </c>
      <c r="C3547" t="inlineStr">
        <is>
          <t>CR-201</t>
        </is>
      </c>
      <c r="D3547" t="inlineStr">
        <is>
          <t>ISO 8</t>
        </is>
      </c>
      <c r="E3547" t="inlineStr">
        <is>
          <t>Personnel glove</t>
        </is>
      </c>
      <c r="F3547" t="n">
        <v>0</v>
      </c>
      <c r="G3547" t="inlineStr">
        <is>
          <t>Tech C</t>
        </is>
      </c>
      <c r="H3547">
        <f>INDEX(Limits!$B$2:$B$5,MATCH(E3547,Limits!$A$2:$A$5,0))</f>
        <v/>
      </c>
      <c r="I3547">
        <f>INDEX(Limits!$C$2:$C$5,MATCH(E3547,Limits!$A$2:$A$5,0))</f>
        <v/>
      </c>
      <c r="J3547">
        <f>IF(F3547&gt;=I3547,"Action",IF(F3547&gt;=H3547,"Alert","Pass"))</f>
        <v/>
      </c>
      <c r="K3547" s="4">
        <f>DATE(YEAR(B3547),MONTH(B3547),1)</f>
        <v/>
      </c>
    </row>
    <row r="3548">
      <c r="A3548" t="inlineStr">
        <is>
          <t>EM003547</t>
        </is>
      </c>
      <c r="B3548" s="7" t="n">
        <v>46287</v>
      </c>
      <c r="C3548" t="inlineStr">
        <is>
          <t>CR-202</t>
        </is>
      </c>
      <c r="D3548" t="inlineStr">
        <is>
          <t>ISO 8</t>
        </is>
      </c>
      <c r="E3548" t="inlineStr">
        <is>
          <t>Active air</t>
        </is>
      </c>
      <c r="F3548" t="n">
        <v>1</v>
      </c>
      <c r="G3548" t="inlineStr">
        <is>
          <t>Tech A</t>
        </is>
      </c>
      <c r="H3548">
        <f>INDEX(Limits!$B$2:$B$5,MATCH(E3548,Limits!$A$2:$A$5,0))</f>
        <v/>
      </c>
      <c r="I3548">
        <f>INDEX(Limits!$C$2:$C$5,MATCH(E3548,Limits!$A$2:$A$5,0))</f>
        <v/>
      </c>
      <c r="J3548">
        <f>IF(F3548&gt;=I3548,"Action",IF(F3548&gt;=H3548,"Alert","Pass"))</f>
        <v/>
      </c>
      <c r="K3548" s="4">
        <f>DATE(YEAR(B3548),MONTH(B3548),1)</f>
        <v/>
      </c>
    </row>
    <row r="3549">
      <c r="A3549" t="inlineStr">
        <is>
          <t>EM003548</t>
        </is>
      </c>
      <c r="B3549" s="7" t="n">
        <v>46287</v>
      </c>
      <c r="C3549" t="inlineStr">
        <is>
          <t>CR-202</t>
        </is>
      </c>
      <c r="D3549" t="inlineStr">
        <is>
          <t>ISO 8</t>
        </is>
      </c>
      <c r="E3549" t="inlineStr">
        <is>
          <t>Surface contact</t>
        </is>
      </c>
      <c r="F3549" t="n">
        <v>2</v>
      </c>
      <c r="G3549" t="inlineStr">
        <is>
          <t>Tech C</t>
        </is>
      </c>
      <c r="H3549">
        <f>INDEX(Limits!$B$2:$B$5,MATCH(E3549,Limits!$A$2:$A$5,0))</f>
        <v/>
      </c>
      <c r="I3549">
        <f>INDEX(Limits!$C$2:$C$5,MATCH(E3549,Limits!$A$2:$A$5,0))</f>
        <v/>
      </c>
      <c r="J3549">
        <f>IF(F3549&gt;=I3549,"Action",IF(F3549&gt;=H3549,"Alert","Pass"))</f>
        <v/>
      </c>
      <c r="K3549" s="4">
        <f>DATE(YEAR(B3549),MONTH(B3549),1)</f>
        <v/>
      </c>
    </row>
    <row r="3550">
      <c r="A3550" t="inlineStr">
        <is>
          <t>EM003549</t>
        </is>
      </c>
      <c r="B3550" s="7" t="n">
        <v>46287</v>
      </c>
      <c r="C3550" t="inlineStr">
        <is>
          <t>CR-202</t>
        </is>
      </c>
      <c r="D3550" t="inlineStr">
        <is>
          <t>ISO 8</t>
        </is>
      </c>
      <c r="E3550" t="inlineStr">
        <is>
          <t>Compressed air</t>
        </is>
      </c>
      <c r="F3550" t="n">
        <v>0</v>
      </c>
      <c r="G3550" t="inlineStr">
        <is>
          <t>Tech C</t>
        </is>
      </c>
      <c r="H3550">
        <f>INDEX(Limits!$B$2:$B$5,MATCH(E3550,Limits!$A$2:$A$5,0))</f>
        <v/>
      </c>
      <c r="I3550">
        <f>INDEX(Limits!$C$2:$C$5,MATCH(E3550,Limits!$A$2:$A$5,0))</f>
        <v/>
      </c>
      <c r="J3550">
        <f>IF(F3550&gt;=I3550,"Action",IF(F3550&gt;=H3550,"Alert","Pass"))</f>
        <v/>
      </c>
      <c r="K3550" s="4">
        <f>DATE(YEAR(B3550),MONTH(B3550),1)</f>
        <v/>
      </c>
    </row>
    <row r="3551">
      <c r="A3551" t="inlineStr">
        <is>
          <t>EM003550</t>
        </is>
      </c>
      <c r="B3551" s="7" t="n">
        <v>46287</v>
      </c>
      <c r="C3551" t="inlineStr">
        <is>
          <t>CR-202</t>
        </is>
      </c>
      <c r="D3551" t="inlineStr">
        <is>
          <t>ISO 8</t>
        </is>
      </c>
      <c r="E3551" t="inlineStr">
        <is>
          <t>Personnel glove</t>
        </is>
      </c>
      <c r="F3551" t="n">
        <v>0</v>
      </c>
      <c r="G3551" t="inlineStr">
        <is>
          <t>Tech D</t>
        </is>
      </c>
      <c r="H3551">
        <f>INDEX(Limits!$B$2:$B$5,MATCH(E3551,Limits!$A$2:$A$5,0))</f>
        <v/>
      </c>
      <c r="I3551">
        <f>INDEX(Limits!$C$2:$C$5,MATCH(E3551,Limits!$A$2:$A$5,0))</f>
        <v/>
      </c>
      <c r="J3551">
        <f>IF(F3551&gt;=I3551,"Action",IF(F3551&gt;=H3551,"Alert","Pass"))</f>
        <v/>
      </c>
      <c r="K3551" s="4">
        <f>DATE(YEAR(B3551),MONTH(B3551),1)</f>
        <v/>
      </c>
    </row>
    <row r="3552">
      <c r="A3552" t="inlineStr">
        <is>
          <t>EM003551</t>
        </is>
      </c>
      <c r="B3552" s="7" t="n">
        <v>46287</v>
      </c>
      <c r="C3552" t="inlineStr">
        <is>
          <t>Gowning</t>
        </is>
      </c>
      <c r="D3552" t="inlineStr">
        <is>
          <t>ISO 8</t>
        </is>
      </c>
      <c r="E3552" t="inlineStr">
        <is>
          <t>Active air</t>
        </is>
      </c>
      <c r="F3552" t="n">
        <v>5</v>
      </c>
      <c r="G3552" t="inlineStr">
        <is>
          <t>Tech A</t>
        </is>
      </c>
      <c r="H3552">
        <f>INDEX(Limits!$B$2:$B$5,MATCH(E3552,Limits!$A$2:$A$5,0))</f>
        <v/>
      </c>
      <c r="I3552">
        <f>INDEX(Limits!$C$2:$C$5,MATCH(E3552,Limits!$A$2:$A$5,0))</f>
        <v/>
      </c>
      <c r="J3552">
        <f>IF(F3552&gt;=I3552,"Action",IF(F3552&gt;=H3552,"Alert","Pass"))</f>
        <v/>
      </c>
      <c r="K3552" s="4">
        <f>DATE(YEAR(B3552),MONTH(B3552),1)</f>
        <v/>
      </c>
    </row>
    <row r="3553">
      <c r="A3553" t="inlineStr">
        <is>
          <t>EM003552</t>
        </is>
      </c>
      <c r="B3553" s="7" t="n">
        <v>46287</v>
      </c>
      <c r="C3553" t="inlineStr">
        <is>
          <t>Gowning</t>
        </is>
      </c>
      <c r="D3553" t="inlineStr">
        <is>
          <t>ISO 8</t>
        </is>
      </c>
      <c r="E3553" t="inlineStr">
        <is>
          <t>Surface contact</t>
        </is>
      </c>
      <c r="F3553" t="n">
        <v>1</v>
      </c>
      <c r="G3553" t="inlineStr">
        <is>
          <t>Tech B</t>
        </is>
      </c>
      <c r="H3553">
        <f>INDEX(Limits!$B$2:$B$5,MATCH(E3553,Limits!$A$2:$A$5,0))</f>
        <v/>
      </c>
      <c r="I3553">
        <f>INDEX(Limits!$C$2:$C$5,MATCH(E3553,Limits!$A$2:$A$5,0))</f>
        <v/>
      </c>
      <c r="J3553">
        <f>IF(F3553&gt;=I3553,"Action",IF(F3553&gt;=H3553,"Alert","Pass"))</f>
        <v/>
      </c>
      <c r="K3553" s="4">
        <f>DATE(YEAR(B3553),MONTH(B3553),1)</f>
        <v/>
      </c>
    </row>
    <row r="3554">
      <c r="A3554" t="inlineStr">
        <is>
          <t>EM003553</t>
        </is>
      </c>
      <c r="B3554" s="7" t="n">
        <v>46287</v>
      </c>
      <c r="C3554" t="inlineStr">
        <is>
          <t>Gowning</t>
        </is>
      </c>
      <c r="D3554" t="inlineStr">
        <is>
          <t>ISO 8</t>
        </is>
      </c>
      <c r="E3554" t="inlineStr">
        <is>
          <t>Personnel glove</t>
        </is>
      </c>
      <c r="F3554" t="n">
        <v>0</v>
      </c>
      <c r="G3554" t="inlineStr">
        <is>
          <t>Tech D</t>
        </is>
      </c>
      <c r="H3554">
        <f>INDEX(Limits!$B$2:$B$5,MATCH(E3554,Limits!$A$2:$A$5,0))</f>
        <v/>
      </c>
      <c r="I3554">
        <f>INDEX(Limits!$C$2:$C$5,MATCH(E3554,Limits!$A$2:$A$5,0))</f>
        <v/>
      </c>
      <c r="J3554">
        <f>IF(F3554&gt;=I3554,"Action",IF(F3554&gt;=H3554,"Alert","Pass"))</f>
        <v/>
      </c>
      <c r="K3554" s="4">
        <f>DATE(YEAR(B3554),MONTH(B3554),1)</f>
        <v/>
      </c>
    </row>
    <row r="3555">
      <c r="A3555" t="inlineStr">
        <is>
          <t>EM003554</t>
        </is>
      </c>
      <c r="B3555" s="7" t="n">
        <v>46288</v>
      </c>
      <c r="C3555" t="inlineStr">
        <is>
          <t>CR-101</t>
        </is>
      </c>
      <c r="D3555" t="inlineStr">
        <is>
          <t>ISO 7</t>
        </is>
      </c>
      <c r="E3555" t="inlineStr">
        <is>
          <t>Active air</t>
        </is>
      </c>
      <c r="F3555" t="n">
        <v>1</v>
      </c>
      <c r="G3555" t="inlineStr">
        <is>
          <t>Tech B</t>
        </is>
      </c>
      <c r="H3555">
        <f>INDEX(Limits!$B$2:$B$5,MATCH(E3555,Limits!$A$2:$A$5,0))</f>
        <v/>
      </c>
      <c r="I3555">
        <f>INDEX(Limits!$C$2:$C$5,MATCH(E3555,Limits!$A$2:$A$5,0))</f>
        <v/>
      </c>
      <c r="J3555">
        <f>IF(F3555&gt;=I3555,"Action",IF(F3555&gt;=H3555,"Alert","Pass"))</f>
        <v/>
      </c>
      <c r="K3555" s="4">
        <f>DATE(YEAR(B3555),MONTH(B3555),1)</f>
        <v/>
      </c>
    </row>
    <row r="3556">
      <c r="A3556" t="inlineStr">
        <is>
          <t>EM003555</t>
        </is>
      </c>
      <c r="B3556" s="7" t="n">
        <v>46288</v>
      </c>
      <c r="C3556" t="inlineStr">
        <is>
          <t>CR-101</t>
        </is>
      </c>
      <c r="D3556" t="inlineStr">
        <is>
          <t>ISO 7</t>
        </is>
      </c>
      <c r="E3556" t="inlineStr">
        <is>
          <t>Surface contact</t>
        </is>
      </c>
      <c r="F3556" t="n">
        <v>0</v>
      </c>
      <c r="G3556" t="inlineStr">
        <is>
          <t>Tech B</t>
        </is>
      </c>
      <c r="H3556">
        <f>INDEX(Limits!$B$2:$B$5,MATCH(E3556,Limits!$A$2:$A$5,0))</f>
        <v/>
      </c>
      <c r="I3556">
        <f>INDEX(Limits!$C$2:$C$5,MATCH(E3556,Limits!$A$2:$A$5,0))</f>
        <v/>
      </c>
      <c r="J3556">
        <f>IF(F3556&gt;=I3556,"Action",IF(F3556&gt;=H3556,"Alert","Pass"))</f>
        <v/>
      </c>
      <c r="K3556" s="4">
        <f>DATE(YEAR(B3556),MONTH(B3556),1)</f>
        <v/>
      </c>
    </row>
    <row r="3557">
      <c r="A3557" t="inlineStr">
        <is>
          <t>EM003556</t>
        </is>
      </c>
      <c r="B3557" s="7" t="n">
        <v>46288</v>
      </c>
      <c r="C3557" t="inlineStr">
        <is>
          <t>CR-101</t>
        </is>
      </c>
      <c r="D3557" t="inlineStr">
        <is>
          <t>ISO 7</t>
        </is>
      </c>
      <c r="E3557" t="inlineStr">
        <is>
          <t>Compressed air</t>
        </is>
      </c>
      <c r="F3557" t="n">
        <v>0</v>
      </c>
      <c r="G3557" t="inlineStr">
        <is>
          <t>Tech B</t>
        </is>
      </c>
      <c r="H3557">
        <f>INDEX(Limits!$B$2:$B$5,MATCH(E3557,Limits!$A$2:$A$5,0))</f>
        <v/>
      </c>
      <c r="I3557">
        <f>INDEX(Limits!$C$2:$C$5,MATCH(E3557,Limits!$A$2:$A$5,0))</f>
        <v/>
      </c>
      <c r="J3557">
        <f>IF(F3557&gt;=I3557,"Action",IF(F3557&gt;=H3557,"Alert","Pass"))</f>
        <v/>
      </c>
      <c r="K3557" s="4">
        <f>DATE(YEAR(B3557),MONTH(B3557),1)</f>
        <v/>
      </c>
    </row>
    <row r="3558">
      <c r="A3558" t="inlineStr">
        <is>
          <t>EM003557</t>
        </is>
      </c>
      <c r="B3558" s="7" t="n">
        <v>46288</v>
      </c>
      <c r="C3558" t="inlineStr">
        <is>
          <t>CR-101</t>
        </is>
      </c>
      <c r="D3558" t="inlineStr">
        <is>
          <t>ISO 7</t>
        </is>
      </c>
      <c r="E3558" t="inlineStr">
        <is>
          <t>Personnel glove</t>
        </is>
      </c>
      <c r="F3558" t="n">
        <v>1</v>
      </c>
      <c r="G3558" t="inlineStr">
        <is>
          <t>Tech C</t>
        </is>
      </c>
      <c r="H3558">
        <f>INDEX(Limits!$B$2:$B$5,MATCH(E3558,Limits!$A$2:$A$5,0))</f>
        <v/>
      </c>
      <c r="I3558">
        <f>INDEX(Limits!$C$2:$C$5,MATCH(E3558,Limits!$A$2:$A$5,0))</f>
        <v/>
      </c>
      <c r="J3558">
        <f>IF(F3558&gt;=I3558,"Action",IF(F3558&gt;=H3558,"Alert","Pass"))</f>
        <v/>
      </c>
      <c r="K3558" s="4">
        <f>DATE(YEAR(B3558),MONTH(B3558),1)</f>
        <v/>
      </c>
    </row>
    <row r="3559">
      <c r="A3559" t="inlineStr">
        <is>
          <t>EM003558</t>
        </is>
      </c>
      <c r="B3559" s="7" t="n">
        <v>46288</v>
      </c>
      <c r="C3559" t="inlineStr">
        <is>
          <t>CR-102</t>
        </is>
      </c>
      <c r="D3559" t="inlineStr">
        <is>
          <t>ISO 7</t>
        </is>
      </c>
      <c r="E3559" t="inlineStr">
        <is>
          <t>Active air</t>
        </is>
      </c>
      <c r="F3559" t="n">
        <v>1</v>
      </c>
      <c r="G3559" t="inlineStr">
        <is>
          <t>Tech A</t>
        </is>
      </c>
      <c r="H3559">
        <f>INDEX(Limits!$B$2:$B$5,MATCH(E3559,Limits!$A$2:$A$5,0))</f>
        <v/>
      </c>
      <c r="I3559">
        <f>INDEX(Limits!$C$2:$C$5,MATCH(E3559,Limits!$A$2:$A$5,0))</f>
        <v/>
      </c>
      <c r="J3559">
        <f>IF(F3559&gt;=I3559,"Action",IF(F3559&gt;=H3559,"Alert","Pass"))</f>
        <v/>
      </c>
      <c r="K3559" s="4">
        <f>DATE(YEAR(B3559),MONTH(B3559),1)</f>
        <v/>
      </c>
    </row>
    <row r="3560">
      <c r="A3560" t="inlineStr">
        <is>
          <t>EM003559</t>
        </is>
      </c>
      <c r="B3560" s="7" t="n">
        <v>46288</v>
      </c>
      <c r="C3560" t="inlineStr">
        <is>
          <t>CR-102</t>
        </is>
      </c>
      <c r="D3560" t="inlineStr">
        <is>
          <t>ISO 7</t>
        </is>
      </c>
      <c r="E3560" t="inlineStr">
        <is>
          <t>Surface contact</t>
        </is>
      </c>
      <c r="F3560" t="n">
        <v>1</v>
      </c>
      <c r="G3560" t="inlineStr">
        <is>
          <t>Tech B</t>
        </is>
      </c>
      <c r="H3560">
        <f>INDEX(Limits!$B$2:$B$5,MATCH(E3560,Limits!$A$2:$A$5,0))</f>
        <v/>
      </c>
      <c r="I3560">
        <f>INDEX(Limits!$C$2:$C$5,MATCH(E3560,Limits!$A$2:$A$5,0))</f>
        <v/>
      </c>
      <c r="J3560">
        <f>IF(F3560&gt;=I3560,"Action",IF(F3560&gt;=H3560,"Alert","Pass"))</f>
        <v/>
      </c>
      <c r="K3560" s="4">
        <f>DATE(YEAR(B3560),MONTH(B3560),1)</f>
        <v/>
      </c>
    </row>
    <row r="3561">
      <c r="A3561" t="inlineStr">
        <is>
          <t>EM003560</t>
        </is>
      </c>
      <c r="B3561" s="7" t="n">
        <v>46288</v>
      </c>
      <c r="C3561" t="inlineStr">
        <is>
          <t>CR-102</t>
        </is>
      </c>
      <c r="D3561" t="inlineStr">
        <is>
          <t>ISO 7</t>
        </is>
      </c>
      <c r="E3561" t="inlineStr">
        <is>
          <t>Compressed air</t>
        </is>
      </c>
      <c r="F3561" t="n">
        <v>0</v>
      </c>
      <c r="G3561" t="inlineStr">
        <is>
          <t>Tech C</t>
        </is>
      </c>
      <c r="H3561">
        <f>INDEX(Limits!$B$2:$B$5,MATCH(E3561,Limits!$A$2:$A$5,0))</f>
        <v/>
      </c>
      <c r="I3561">
        <f>INDEX(Limits!$C$2:$C$5,MATCH(E3561,Limits!$A$2:$A$5,0))</f>
        <v/>
      </c>
      <c r="J3561">
        <f>IF(F3561&gt;=I3561,"Action",IF(F3561&gt;=H3561,"Alert","Pass"))</f>
        <v/>
      </c>
      <c r="K3561" s="4">
        <f>DATE(YEAR(B3561),MONTH(B3561),1)</f>
        <v/>
      </c>
    </row>
    <row r="3562">
      <c r="A3562" t="inlineStr">
        <is>
          <t>EM003561</t>
        </is>
      </c>
      <c r="B3562" s="7" t="n">
        <v>46288</v>
      </c>
      <c r="C3562" t="inlineStr">
        <is>
          <t>CR-102</t>
        </is>
      </c>
      <c r="D3562" t="inlineStr">
        <is>
          <t>ISO 7</t>
        </is>
      </c>
      <c r="E3562" t="inlineStr">
        <is>
          <t>Personnel glove</t>
        </is>
      </c>
      <c r="F3562" t="n">
        <v>0</v>
      </c>
      <c r="G3562" t="inlineStr">
        <is>
          <t>Tech D</t>
        </is>
      </c>
      <c r="H3562">
        <f>INDEX(Limits!$B$2:$B$5,MATCH(E3562,Limits!$A$2:$A$5,0))</f>
        <v/>
      </c>
      <c r="I3562">
        <f>INDEX(Limits!$C$2:$C$5,MATCH(E3562,Limits!$A$2:$A$5,0))</f>
        <v/>
      </c>
      <c r="J3562">
        <f>IF(F3562&gt;=I3562,"Action",IF(F3562&gt;=H3562,"Alert","Pass"))</f>
        <v/>
      </c>
      <c r="K3562" s="4">
        <f>DATE(YEAR(B3562),MONTH(B3562),1)</f>
        <v/>
      </c>
    </row>
    <row r="3563">
      <c r="A3563" t="inlineStr">
        <is>
          <t>EM003562</t>
        </is>
      </c>
      <c r="B3563" s="7" t="n">
        <v>46288</v>
      </c>
      <c r="C3563" t="inlineStr">
        <is>
          <t>CR-201</t>
        </is>
      </c>
      <c r="D3563" t="inlineStr">
        <is>
          <t>ISO 8</t>
        </is>
      </c>
      <c r="E3563" t="inlineStr">
        <is>
          <t>Active air</t>
        </is>
      </c>
      <c r="F3563" t="n">
        <v>1</v>
      </c>
      <c r="G3563" t="inlineStr">
        <is>
          <t>Tech D</t>
        </is>
      </c>
      <c r="H3563">
        <f>INDEX(Limits!$B$2:$B$5,MATCH(E3563,Limits!$A$2:$A$5,0))</f>
        <v/>
      </c>
      <c r="I3563">
        <f>INDEX(Limits!$C$2:$C$5,MATCH(E3563,Limits!$A$2:$A$5,0))</f>
        <v/>
      </c>
      <c r="J3563">
        <f>IF(F3563&gt;=I3563,"Action",IF(F3563&gt;=H3563,"Alert","Pass"))</f>
        <v/>
      </c>
      <c r="K3563" s="4">
        <f>DATE(YEAR(B3563),MONTH(B3563),1)</f>
        <v/>
      </c>
    </row>
    <row r="3564">
      <c r="A3564" t="inlineStr">
        <is>
          <t>EM003563</t>
        </is>
      </c>
      <c r="B3564" s="7" t="n">
        <v>46288</v>
      </c>
      <c r="C3564" t="inlineStr">
        <is>
          <t>CR-201</t>
        </is>
      </c>
      <c r="D3564" t="inlineStr">
        <is>
          <t>ISO 8</t>
        </is>
      </c>
      <c r="E3564" t="inlineStr">
        <is>
          <t>Surface contact</t>
        </is>
      </c>
      <c r="F3564" t="n">
        <v>1</v>
      </c>
      <c r="G3564" t="inlineStr">
        <is>
          <t>Tech C</t>
        </is>
      </c>
      <c r="H3564">
        <f>INDEX(Limits!$B$2:$B$5,MATCH(E3564,Limits!$A$2:$A$5,0))</f>
        <v/>
      </c>
      <c r="I3564">
        <f>INDEX(Limits!$C$2:$C$5,MATCH(E3564,Limits!$A$2:$A$5,0))</f>
        <v/>
      </c>
      <c r="J3564">
        <f>IF(F3564&gt;=I3564,"Action",IF(F3564&gt;=H3564,"Alert","Pass"))</f>
        <v/>
      </c>
      <c r="K3564" s="4">
        <f>DATE(YEAR(B3564),MONTH(B3564),1)</f>
        <v/>
      </c>
    </row>
    <row r="3565">
      <c r="A3565" t="inlineStr">
        <is>
          <t>EM003564</t>
        </is>
      </c>
      <c r="B3565" s="7" t="n">
        <v>46288</v>
      </c>
      <c r="C3565" t="inlineStr">
        <is>
          <t>CR-201</t>
        </is>
      </c>
      <c r="D3565" t="inlineStr">
        <is>
          <t>ISO 8</t>
        </is>
      </c>
      <c r="E3565" t="inlineStr">
        <is>
          <t>Compressed air</t>
        </is>
      </c>
      <c r="F3565" t="n">
        <v>0</v>
      </c>
      <c r="G3565" t="inlineStr">
        <is>
          <t>Tech A</t>
        </is>
      </c>
      <c r="H3565">
        <f>INDEX(Limits!$B$2:$B$5,MATCH(E3565,Limits!$A$2:$A$5,0))</f>
        <v/>
      </c>
      <c r="I3565">
        <f>INDEX(Limits!$C$2:$C$5,MATCH(E3565,Limits!$A$2:$A$5,0))</f>
        <v/>
      </c>
      <c r="J3565">
        <f>IF(F3565&gt;=I3565,"Action",IF(F3565&gt;=H3565,"Alert","Pass"))</f>
        <v/>
      </c>
      <c r="K3565" s="4">
        <f>DATE(YEAR(B3565),MONTH(B3565),1)</f>
        <v/>
      </c>
    </row>
    <row r="3566">
      <c r="A3566" t="inlineStr">
        <is>
          <t>EM003565</t>
        </is>
      </c>
      <c r="B3566" s="7" t="n">
        <v>46288</v>
      </c>
      <c r="C3566" t="inlineStr">
        <is>
          <t>CR-201</t>
        </is>
      </c>
      <c r="D3566" t="inlineStr">
        <is>
          <t>ISO 8</t>
        </is>
      </c>
      <c r="E3566" t="inlineStr">
        <is>
          <t>Personnel glove</t>
        </is>
      </c>
      <c r="F3566" t="n">
        <v>0</v>
      </c>
      <c r="G3566" t="inlineStr">
        <is>
          <t>Tech A</t>
        </is>
      </c>
      <c r="H3566">
        <f>INDEX(Limits!$B$2:$B$5,MATCH(E3566,Limits!$A$2:$A$5,0))</f>
        <v/>
      </c>
      <c r="I3566">
        <f>INDEX(Limits!$C$2:$C$5,MATCH(E3566,Limits!$A$2:$A$5,0))</f>
        <v/>
      </c>
      <c r="J3566">
        <f>IF(F3566&gt;=I3566,"Action",IF(F3566&gt;=H3566,"Alert","Pass"))</f>
        <v/>
      </c>
      <c r="K3566" s="4">
        <f>DATE(YEAR(B3566),MONTH(B3566),1)</f>
        <v/>
      </c>
    </row>
    <row r="3567">
      <c r="A3567" t="inlineStr">
        <is>
          <t>EM003566</t>
        </is>
      </c>
      <c r="B3567" s="7" t="n">
        <v>46288</v>
      </c>
      <c r="C3567" t="inlineStr">
        <is>
          <t>CR-202</t>
        </is>
      </c>
      <c r="D3567" t="inlineStr">
        <is>
          <t>ISO 8</t>
        </is>
      </c>
      <c r="E3567" t="inlineStr">
        <is>
          <t>Active air</t>
        </is>
      </c>
      <c r="F3567" t="n">
        <v>1</v>
      </c>
      <c r="G3567" t="inlineStr">
        <is>
          <t>Tech B</t>
        </is>
      </c>
      <c r="H3567">
        <f>INDEX(Limits!$B$2:$B$5,MATCH(E3567,Limits!$A$2:$A$5,0))</f>
        <v/>
      </c>
      <c r="I3567">
        <f>INDEX(Limits!$C$2:$C$5,MATCH(E3567,Limits!$A$2:$A$5,0))</f>
        <v/>
      </c>
      <c r="J3567">
        <f>IF(F3567&gt;=I3567,"Action",IF(F3567&gt;=H3567,"Alert","Pass"))</f>
        <v/>
      </c>
      <c r="K3567" s="4">
        <f>DATE(YEAR(B3567),MONTH(B3567),1)</f>
        <v/>
      </c>
    </row>
    <row r="3568">
      <c r="A3568" t="inlineStr">
        <is>
          <t>EM003567</t>
        </is>
      </c>
      <c r="B3568" s="7" t="n">
        <v>46288</v>
      </c>
      <c r="C3568" t="inlineStr">
        <is>
          <t>CR-202</t>
        </is>
      </c>
      <c r="D3568" t="inlineStr">
        <is>
          <t>ISO 8</t>
        </is>
      </c>
      <c r="E3568" t="inlineStr">
        <is>
          <t>Surface contact</t>
        </is>
      </c>
      <c r="F3568" t="n">
        <v>0</v>
      </c>
      <c r="G3568" t="inlineStr">
        <is>
          <t>Tech D</t>
        </is>
      </c>
      <c r="H3568">
        <f>INDEX(Limits!$B$2:$B$5,MATCH(E3568,Limits!$A$2:$A$5,0))</f>
        <v/>
      </c>
      <c r="I3568">
        <f>INDEX(Limits!$C$2:$C$5,MATCH(E3568,Limits!$A$2:$A$5,0))</f>
        <v/>
      </c>
      <c r="J3568">
        <f>IF(F3568&gt;=I3568,"Action",IF(F3568&gt;=H3568,"Alert","Pass"))</f>
        <v/>
      </c>
      <c r="K3568" s="4">
        <f>DATE(YEAR(B3568),MONTH(B3568),1)</f>
        <v/>
      </c>
    </row>
    <row r="3569">
      <c r="A3569" t="inlineStr">
        <is>
          <t>EM003568</t>
        </is>
      </c>
      <c r="B3569" s="7" t="n">
        <v>46288</v>
      </c>
      <c r="C3569" t="inlineStr">
        <is>
          <t>CR-202</t>
        </is>
      </c>
      <c r="D3569" t="inlineStr">
        <is>
          <t>ISO 8</t>
        </is>
      </c>
      <c r="E3569" t="inlineStr">
        <is>
          <t>Compressed air</t>
        </is>
      </c>
      <c r="F3569" t="n">
        <v>0</v>
      </c>
      <c r="G3569" t="inlineStr">
        <is>
          <t>Tech A</t>
        </is>
      </c>
      <c r="H3569">
        <f>INDEX(Limits!$B$2:$B$5,MATCH(E3569,Limits!$A$2:$A$5,0))</f>
        <v/>
      </c>
      <c r="I3569">
        <f>INDEX(Limits!$C$2:$C$5,MATCH(E3569,Limits!$A$2:$A$5,0))</f>
        <v/>
      </c>
      <c r="J3569">
        <f>IF(F3569&gt;=I3569,"Action",IF(F3569&gt;=H3569,"Alert","Pass"))</f>
        <v/>
      </c>
      <c r="K3569" s="4">
        <f>DATE(YEAR(B3569),MONTH(B3569),1)</f>
        <v/>
      </c>
    </row>
    <row r="3570">
      <c r="A3570" t="inlineStr">
        <is>
          <t>EM003569</t>
        </is>
      </c>
      <c r="B3570" s="7" t="n">
        <v>46288</v>
      </c>
      <c r="C3570" t="inlineStr">
        <is>
          <t>CR-202</t>
        </is>
      </c>
      <c r="D3570" t="inlineStr">
        <is>
          <t>ISO 8</t>
        </is>
      </c>
      <c r="E3570" t="inlineStr">
        <is>
          <t>Personnel glove</t>
        </is>
      </c>
      <c r="F3570" t="n">
        <v>0</v>
      </c>
      <c r="G3570" t="inlineStr">
        <is>
          <t>Tech C</t>
        </is>
      </c>
      <c r="H3570">
        <f>INDEX(Limits!$B$2:$B$5,MATCH(E3570,Limits!$A$2:$A$5,0))</f>
        <v/>
      </c>
      <c r="I3570">
        <f>INDEX(Limits!$C$2:$C$5,MATCH(E3570,Limits!$A$2:$A$5,0))</f>
        <v/>
      </c>
      <c r="J3570">
        <f>IF(F3570&gt;=I3570,"Action",IF(F3570&gt;=H3570,"Alert","Pass"))</f>
        <v/>
      </c>
      <c r="K3570" s="4">
        <f>DATE(YEAR(B3570),MONTH(B3570),1)</f>
        <v/>
      </c>
    </row>
    <row r="3571">
      <c r="A3571" t="inlineStr">
        <is>
          <t>EM003570</t>
        </is>
      </c>
      <c r="B3571" s="7" t="n">
        <v>46288</v>
      </c>
      <c r="C3571" t="inlineStr">
        <is>
          <t>Gowning</t>
        </is>
      </c>
      <c r="D3571" t="inlineStr">
        <is>
          <t>ISO 8</t>
        </is>
      </c>
      <c r="E3571" t="inlineStr">
        <is>
          <t>Active air</t>
        </is>
      </c>
      <c r="F3571" t="n">
        <v>1</v>
      </c>
      <c r="G3571" t="inlineStr">
        <is>
          <t>Tech D</t>
        </is>
      </c>
      <c r="H3571">
        <f>INDEX(Limits!$B$2:$B$5,MATCH(E3571,Limits!$A$2:$A$5,0))</f>
        <v/>
      </c>
      <c r="I3571">
        <f>INDEX(Limits!$C$2:$C$5,MATCH(E3571,Limits!$A$2:$A$5,0))</f>
        <v/>
      </c>
      <c r="J3571">
        <f>IF(F3571&gt;=I3571,"Action",IF(F3571&gt;=H3571,"Alert","Pass"))</f>
        <v/>
      </c>
      <c r="K3571" s="4">
        <f>DATE(YEAR(B3571),MONTH(B3571),1)</f>
        <v/>
      </c>
    </row>
    <row r="3572">
      <c r="A3572" t="inlineStr">
        <is>
          <t>EM003571</t>
        </is>
      </c>
      <c r="B3572" s="7" t="n">
        <v>46288</v>
      </c>
      <c r="C3572" t="inlineStr">
        <is>
          <t>Gowning</t>
        </is>
      </c>
      <c r="D3572" t="inlineStr">
        <is>
          <t>ISO 8</t>
        </is>
      </c>
      <c r="E3572" t="inlineStr">
        <is>
          <t>Surface contact</t>
        </is>
      </c>
      <c r="F3572" t="n">
        <v>0</v>
      </c>
      <c r="G3572" t="inlineStr">
        <is>
          <t>Tech D</t>
        </is>
      </c>
      <c r="H3572">
        <f>INDEX(Limits!$B$2:$B$5,MATCH(E3572,Limits!$A$2:$A$5,0))</f>
        <v/>
      </c>
      <c r="I3572">
        <f>INDEX(Limits!$C$2:$C$5,MATCH(E3572,Limits!$A$2:$A$5,0))</f>
        <v/>
      </c>
      <c r="J3572">
        <f>IF(F3572&gt;=I3572,"Action",IF(F3572&gt;=H3572,"Alert","Pass"))</f>
        <v/>
      </c>
      <c r="K3572" s="4">
        <f>DATE(YEAR(B3572),MONTH(B3572),1)</f>
        <v/>
      </c>
    </row>
    <row r="3573">
      <c r="A3573" t="inlineStr">
        <is>
          <t>EM003572</t>
        </is>
      </c>
      <c r="B3573" s="7" t="n">
        <v>46288</v>
      </c>
      <c r="C3573" t="inlineStr">
        <is>
          <t>Gowning</t>
        </is>
      </c>
      <c r="D3573" t="inlineStr">
        <is>
          <t>ISO 8</t>
        </is>
      </c>
      <c r="E3573" t="inlineStr">
        <is>
          <t>Personnel glove</t>
        </is>
      </c>
      <c r="F3573" t="n">
        <v>1</v>
      </c>
      <c r="G3573" t="inlineStr">
        <is>
          <t>Tech A</t>
        </is>
      </c>
      <c r="H3573">
        <f>INDEX(Limits!$B$2:$B$5,MATCH(E3573,Limits!$A$2:$A$5,0))</f>
        <v/>
      </c>
      <c r="I3573">
        <f>INDEX(Limits!$C$2:$C$5,MATCH(E3573,Limits!$A$2:$A$5,0))</f>
        <v/>
      </c>
      <c r="J3573">
        <f>IF(F3573&gt;=I3573,"Action",IF(F3573&gt;=H3573,"Alert","Pass"))</f>
        <v/>
      </c>
      <c r="K3573" s="4">
        <f>DATE(YEAR(B3573),MONTH(B3573),1)</f>
        <v/>
      </c>
    </row>
    <row r="3574">
      <c r="A3574" t="inlineStr">
        <is>
          <t>EM003573</t>
        </is>
      </c>
      <c r="B3574" s="7" t="n">
        <v>46289</v>
      </c>
      <c r="C3574" t="inlineStr">
        <is>
          <t>CR-101</t>
        </is>
      </c>
      <c r="D3574" t="inlineStr">
        <is>
          <t>ISO 7</t>
        </is>
      </c>
      <c r="E3574" t="inlineStr">
        <is>
          <t>Active air</t>
        </is>
      </c>
      <c r="F3574" t="n">
        <v>2</v>
      </c>
      <c r="G3574" t="inlineStr">
        <is>
          <t>Tech B</t>
        </is>
      </c>
      <c r="H3574">
        <f>INDEX(Limits!$B$2:$B$5,MATCH(E3574,Limits!$A$2:$A$5,0))</f>
        <v/>
      </c>
      <c r="I3574">
        <f>INDEX(Limits!$C$2:$C$5,MATCH(E3574,Limits!$A$2:$A$5,0))</f>
        <v/>
      </c>
      <c r="J3574">
        <f>IF(F3574&gt;=I3574,"Action",IF(F3574&gt;=H3574,"Alert","Pass"))</f>
        <v/>
      </c>
      <c r="K3574" s="4">
        <f>DATE(YEAR(B3574),MONTH(B3574),1)</f>
        <v/>
      </c>
    </row>
    <row r="3575">
      <c r="A3575" t="inlineStr">
        <is>
          <t>EM003574</t>
        </is>
      </c>
      <c r="B3575" s="7" t="n">
        <v>46289</v>
      </c>
      <c r="C3575" t="inlineStr">
        <is>
          <t>CR-101</t>
        </is>
      </c>
      <c r="D3575" t="inlineStr">
        <is>
          <t>ISO 7</t>
        </is>
      </c>
      <c r="E3575" t="inlineStr">
        <is>
          <t>Surface contact</t>
        </is>
      </c>
      <c r="F3575" t="n">
        <v>0</v>
      </c>
      <c r="G3575" t="inlineStr">
        <is>
          <t>Tech D</t>
        </is>
      </c>
      <c r="H3575">
        <f>INDEX(Limits!$B$2:$B$5,MATCH(E3575,Limits!$A$2:$A$5,0))</f>
        <v/>
      </c>
      <c r="I3575">
        <f>INDEX(Limits!$C$2:$C$5,MATCH(E3575,Limits!$A$2:$A$5,0))</f>
        <v/>
      </c>
      <c r="J3575">
        <f>IF(F3575&gt;=I3575,"Action",IF(F3575&gt;=H3575,"Alert","Pass"))</f>
        <v/>
      </c>
      <c r="K3575" s="4">
        <f>DATE(YEAR(B3575),MONTH(B3575),1)</f>
        <v/>
      </c>
    </row>
    <row r="3576">
      <c r="A3576" t="inlineStr">
        <is>
          <t>EM003575</t>
        </is>
      </c>
      <c r="B3576" s="7" t="n">
        <v>46289</v>
      </c>
      <c r="C3576" t="inlineStr">
        <is>
          <t>CR-101</t>
        </is>
      </c>
      <c r="D3576" t="inlineStr">
        <is>
          <t>ISO 7</t>
        </is>
      </c>
      <c r="E3576" t="inlineStr">
        <is>
          <t>Compressed air</t>
        </is>
      </c>
      <c r="F3576" t="n">
        <v>0</v>
      </c>
      <c r="G3576" t="inlineStr">
        <is>
          <t>Tech D</t>
        </is>
      </c>
      <c r="H3576">
        <f>INDEX(Limits!$B$2:$B$5,MATCH(E3576,Limits!$A$2:$A$5,0))</f>
        <v/>
      </c>
      <c r="I3576">
        <f>INDEX(Limits!$C$2:$C$5,MATCH(E3576,Limits!$A$2:$A$5,0))</f>
        <v/>
      </c>
      <c r="J3576">
        <f>IF(F3576&gt;=I3576,"Action",IF(F3576&gt;=H3576,"Alert","Pass"))</f>
        <v/>
      </c>
      <c r="K3576" s="4">
        <f>DATE(YEAR(B3576),MONTH(B3576),1)</f>
        <v/>
      </c>
    </row>
    <row r="3577">
      <c r="A3577" t="inlineStr">
        <is>
          <t>EM003576</t>
        </is>
      </c>
      <c r="B3577" s="7" t="n">
        <v>46289</v>
      </c>
      <c r="C3577" t="inlineStr">
        <is>
          <t>CR-101</t>
        </is>
      </c>
      <c r="D3577" t="inlineStr">
        <is>
          <t>ISO 7</t>
        </is>
      </c>
      <c r="E3577" t="inlineStr">
        <is>
          <t>Personnel glove</t>
        </is>
      </c>
      <c r="F3577" t="n">
        <v>0</v>
      </c>
      <c r="G3577" t="inlineStr">
        <is>
          <t>Tech A</t>
        </is>
      </c>
      <c r="H3577">
        <f>INDEX(Limits!$B$2:$B$5,MATCH(E3577,Limits!$A$2:$A$5,0))</f>
        <v/>
      </c>
      <c r="I3577">
        <f>INDEX(Limits!$C$2:$C$5,MATCH(E3577,Limits!$A$2:$A$5,0))</f>
        <v/>
      </c>
      <c r="J3577">
        <f>IF(F3577&gt;=I3577,"Action",IF(F3577&gt;=H3577,"Alert","Pass"))</f>
        <v/>
      </c>
      <c r="K3577" s="4">
        <f>DATE(YEAR(B3577),MONTH(B3577),1)</f>
        <v/>
      </c>
    </row>
    <row r="3578">
      <c r="A3578" t="inlineStr">
        <is>
          <t>EM003577</t>
        </is>
      </c>
      <c r="B3578" s="7" t="n">
        <v>46289</v>
      </c>
      <c r="C3578" t="inlineStr">
        <is>
          <t>CR-102</t>
        </is>
      </c>
      <c r="D3578" t="inlineStr">
        <is>
          <t>ISO 7</t>
        </is>
      </c>
      <c r="E3578" t="inlineStr">
        <is>
          <t>Active air</t>
        </is>
      </c>
      <c r="F3578" t="n">
        <v>2</v>
      </c>
      <c r="G3578" t="inlineStr">
        <is>
          <t>Tech A</t>
        </is>
      </c>
      <c r="H3578">
        <f>INDEX(Limits!$B$2:$B$5,MATCH(E3578,Limits!$A$2:$A$5,0))</f>
        <v/>
      </c>
      <c r="I3578">
        <f>INDEX(Limits!$C$2:$C$5,MATCH(E3578,Limits!$A$2:$A$5,0))</f>
        <v/>
      </c>
      <c r="J3578">
        <f>IF(F3578&gt;=I3578,"Action",IF(F3578&gt;=H3578,"Alert","Pass"))</f>
        <v/>
      </c>
      <c r="K3578" s="4">
        <f>DATE(YEAR(B3578),MONTH(B3578),1)</f>
        <v/>
      </c>
    </row>
    <row r="3579">
      <c r="A3579" t="inlineStr">
        <is>
          <t>EM003578</t>
        </is>
      </c>
      <c r="B3579" s="7" t="n">
        <v>46289</v>
      </c>
      <c r="C3579" t="inlineStr">
        <is>
          <t>CR-102</t>
        </is>
      </c>
      <c r="D3579" t="inlineStr">
        <is>
          <t>ISO 7</t>
        </is>
      </c>
      <c r="E3579" t="inlineStr">
        <is>
          <t>Surface contact</t>
        </is>
      </c>
      <c r="F3579" t="n">
        <v>1</v>
      </c>
      <c r="G3579" t="inlineStr">
        <is>
          <t>Tech A</t>
        </is>
      </c>
      <c r="H3579">
        <f>INDEX(Limits!$B$2:$B$5,MATCH(E3579,Limits!$A$2:$A$5,0))</f>
        <v/>
      </c>
      <c r="I3579">
        <f>INDEX(Limits!$C$2:$C$5,MATCH(E3579,Limits!$A$2:$A$5,0))</f>
        <v/>
      </c>
      <c r="J3579">
        <f>IF(F3579&gt;=I3579,"Action",IF(F3579&gt;=H3579,"Alert","Pass"))</f>
        <v/>
      </c>
      <c r="K3579" s="4">
        <f>DATE(YEAR(B3579),MONTH(B3579),1)</f>
        <v/>
      </c>
    </row>
    <row r="3580">
      <c r="A3580" t="inlineStr">
        <is>
          <t>EM003579</t>
        </is>
      </c>
      <c r="B3580" s="7" t="n">
        <v>46289</v>
      </c>
      <c r="C3580" t="inlineStr">
        <is>
          <t>CR-102</t>
        </is>
      </c>
      <c r="D3580" t="inlineStr">
        <is>
          <t>ISO 7</t>
        </is>
      </c>
      <c r="E3580" t="inlineStr">
        <is>
          <t>Compressed air</t>
        </is>
      </c>
      <c r="F3580" t="n">
        <v>0</v>
      </c>
      <c r="G3580" t="inlineStr">
        <is>
          <t>Tech A</t>
        </is>
      </c>
      <c r="H3580">
        <f>INDEX(Limits!$B$2:$B$5,MATCH(E3580,Limits!$A$2:$A$5,0))</f>
        <v/>
      </c>
      <c r="I3580">
        <f>INDEX(Limits!$C$2:$C$5,MATCH(E3580,Limits!$A$2:$A$5,0))</f>
        <v/>
      </c>
      <c r="J3580">
        <f>IF(F3580&gt;=I3580,"Action",IF(F3580&gt;=H3580,"Alert","Pass"))</f>
        <v/>
      </c>
      <c r="K3580" s="4">
        <f>DATE(YEAR(B3580),MONTH(B3580),1)</f>
        <v/>
      </c>
    </row>
    <row r="3581">
      <c r="A3581" t="inlineStr">
        <is>
          <t>EM003580</t>
        </is>
      </c>
      <c r="B3581" s="7" t="n">
        <v>46289</v>
      </c>
      <c r="C3581" t="inlineStr">
        <is>
          <t>CR-102</t>
        </is>
      </c>
      <c r="D3581" t="inlineStr">
        <is>
          <t>ISO 7</t>
        </is>
      </c>
      <c r="E3581" t="inlineStr">
        <is>
          <t>Personnel glove</t>
        </is>
      </c>
      <c r="F3581" t="n">
        <v>0</v>
      </c>
      <c r="G3581" t="inlineStr">
        <is>
          <t>Tech A</t>
        </is>
      </c>
      <c r="H3581">
        <f>INDEX(Limits!$B$2:$B$5,MATCH(E3581,Limits!$A$2:$A$5,0))</f>
        <v/>
      </c>
      <c r="I3581">
        <f>INDEX(Limits!$C$2:$C$5,MATCH(E3581,Limits!$A$2:$A$5,0))</f>
        <v/>
      </c>
      <c r="J3581">
        <f>IF(F3581&gt;=I3581,"Action",IF(F3581&gt;=H3581,"Alert","Pass"))</f>
        <v/>
      </c>
      <c r="K3581" s="4">
        <f>DATE(YEAR(B3581),MONTH(B3581),1)</f>
        <v/>
      </c>
    </row>
    <row r="3582">
      <c r="A3582" t="inlineStr">
        <is>
          <t>EM003581</t>
        </is>
      </c>
      <c r="B3582" s="7" t="n">
        <v>46289</v>
      </c>
      <c r="C3582" t="inlineStr">
        <is>
          <t>CR-201</t>
        </is>
      </c>
      <c r="D3582" t="inlineStr">
        <is>
          <t>ISO 8</t>
        </is>
      </c>
      <c r="E3582" t="inlineStr">
        <is>
          <t>Active air</t>
        </is>
      </c>
      <c r="F3582" t="n">
        <v>2</v>
      </c>
      <c r="G3582" t="inlineStr">
        <is>
          <t>Tech D</t>
        </is>
      </c>
      <c r="H3582">
        <f>INDEX(Limits!$B$2:$B$5,MATCH(E3582,Limits!$A$2:$A$5,0))</f>
        <v/>
      </c>
      <c r="I3582">
        <f>INDEX(Limits!$C$2:$C$5,MATCH(E3582,Limits!$A$2:$A$5,0))</f>
        <v/>
      </c>
      <c r="J3582">
        <f>IF(F3582&gt;=I3582,"Action",IF(F3582&gt;=H3582,"Alert","Pass"))</f>
        <v/>
      </c>
      <c r="K3582" s="4">
        <f>DATE(YEAR(B3582),MONTH(B3582),1)</f>
        <v/>
      </c>
    </row>
    <row r="3583">
      <c r="A3583" t="inlineStr">
        <is>
          <t>EM003582</t>
        </is>
      </c>
      <c r="B3583" s="7" t="n">
        <v>46289</v>
      </c>
      <c r="C3583" t="inlineStr">
        <is>
          <t>CR-201</t>
        </is>
      </c>
      <c r="D3583" t="inlineStr">
        <is>
          <t>ISO 8</t>
        </is>
      </c>
      <c r="E3583" t="inlineStr">
        <is>
          <t>Surface contact</t>
        </is>
      </c>
      <c r="F3583" t="n">
        <v>0</v>
      </c>
      <c r="G3583" t="inlineStr">
        <is>
          <t>Tech A</t>
        </is>
      </c>
      <c r="H3583">
        <f>INDEX(Limits!$B$2:$B$5,MATCH(E3583,Limits!$A$2:$A$5,0))</f>
        <v/>
      </c>
      <c r="I3583">
        <f>INDEX(Limits!$C$2:$C$5,MATCH(E3583,Limits!$A$2:$A$5,0))</f>
        <v/>
      </c>
      <c r="J3583">
        <f>IF(F3583&gt;=I3583,"Action",IF(F3583&gt;=H3583,"Alert","Pass"))</f>
        <v/>
      </c>
      <c r="K3583" s="4">
        <f>DATE(YEAR(B3583),MONTH(B3583),1)</f>
        <v/>
      </c>
    </row>
    <row r="3584">
      <c r="A3584" t="inlineStr">
        <is>
          <t>EM003583</t>
        </is>
      </c>
      <c r="B3584" s="7" t="n">
        <v>46289</v>
      </c>
      <c r="C3584" t="inlineStr">
        <is>
          <t>CR-201</t>
        </is>
      </c>
      <c r="D3584" t="inlineStr">
        <is>
          <t>ISO 8</t>
        </is>
      </c>
      <c r="E3584" t="inlineStr">
        <is>
          <t>Compressed air</t>
        </is>
      </c>
      <c r="F3584" t="n">
        <v>0</v>
      </c>
      <c r="G3584" t="inlineStr">
        <is>
          <t>Tech B</t>
        </is>
      </c>
      <c r="H3584">
        <f>INDEX(Limits!$B$2:$B$5,MATCH(E3584,Limits!$A$2:$A$5,0))</f>
        <v/>
      </c>
      <c r="I3584">
        <f>INDEX(Limits!$C$2:$C$5,MATCH(E3584,Limits!$A$2:$A$5,0))</f>
        <v/>
      </c>
      <c r="J3584">
        <f>IF(F3584&gt;=I3584,"Action",IF(F3584&gt;=H3584,"Alert","Pass"))</f>
        <v/>
      </c>
      <c r="K3584" s="4">
        <f>DATE(YEAR(B3584),MONTH(B3584),1)</f>
        <v/>
      </c>
    </row>
    <row r="3585">
      <c r="A3585" t="inlineStr">
        <is>
          <t>EM003584</t>
        </is>
      </c>
      <c r="B3585" s="7" t="n">
        <v>46289</v>
      </c>
      <c r="C3585" t="inlineStr">
        <is>
          <t>CR-201</t>
        </is>
      </c>
      <c r="D3585" t="inlineStr">
        <is>
          <t>ISO 8</t>
        </is>
      </c>
      <c r="E3585" t="inlineStr">
        <is>
          <t>Personnel glove</t>
        </is>
      </c>
      <c r="F3585" t="n">
        <v>0</v>
      </c>
      <c r="G3585" t="inlineStr">
        <is>
          <t>Tech C</t>
        </is>
      </c>
      <c r="H3585">
        <f>INDEX(Limits!$B$2:$B$5,MATCH(E3585,Limits!$A$2:$A$5,0))</f>
        <v/>
      </c>
      <c r="I3585">
        <f>INDEX(Limits!$C$2:$C$5,MATCH(E3585,Limits!$A$2:$A$5,0))</f>
        <v/>
      </c>
      <c r="J3585">
        <f>IF(F3585&gt;=I3585,"Action",IF(F3585&gt;=H3585,"Alert","Pass"))</f>
        <v/>
      </c>
      <c r="K3585" s="4">
        <f>DATE(YEAR(B3585),MONTH(B3585),1)</f>
        <v/>
      </c>
    </row>
    <row r="3586">
      <c r="A3586" t="inlineStr">
        <is>
          <t>EM003585</t>
        </is>
      </c>
      <c r="B3586" s="7" t="n">
        <v>46289</v>
      </c>
      <c r="C3586" t="inlineStr">
        <is>
          <t>CR-202</t>
        </is>
      </c>
      <c r="D3586" t="inlineStr">
        <is>
          <t>ISO 8</t>
        </is>
      </c>
      <c r="E3586" t="inlineStr">
        <is>
          <t>Active air</t>
        </is>
      </c>
      <c r="F3586" t="n">
        <v>2</v>
      </c>
      <c r="G3586" t="inlineStr">
        <is>
          <t>Tech B</t>
        </is>
      </c>
      <c r="H3586">
        <f>INDEX(Limits!$B$2:$B$5,MATCH(E3586,Limits!$A$2:$A$5,0))</f>
        <v/>
      </c>
      <c r="I3586">
        <f>INDEX(Limits!$C$2:$C$5,MATCH(E3586,Limits!$A$2:$A$5,0))</f>
        <v/>
      </c>
      <c r="J3586">
        <f>IF(F3586&gt;=I3586,"Action",IF(F3586&gt;=H3586,"Alert","Pass"))</f>
        <v/>
      </c>
      <c r="K3586" s="4">
        <f>DATE(YEAR(B3586),MONTH(B3586),1)</f>
        <v/>
      </c>
    </row>
    <row r="3587">
      <c r="A3587" t="inlineStr">
        <is>
          <t>EM003586</t>
        </is>
      </c>
      <c r="B3587" s="7" t="n">
        <v>46289</v>
      </c>
      <c r="C3587" t="inlineStr">
        <is>
          <t>CR-202</t>
        </is>
      </c>
      <c r="D3587" t="inlineStr">
        <is>
          <t>ISO 8</t>
        </is>
      </c>
      <c r="E3587" t="inlineStr">
        <is>
          <t>Surface contact</t>
        </is>
      </c>
      <c r="F3587" t="n">
        <v>0</v>
      </c>
      <c r="G3587" t="inlineStr">
        <is>
          <t>Tech B</t>
        </is>
      </c>
      <c r="H3587">
        <f>INDEX(Limits!$B$2:$B$5,MATCH(E3587,Limits!$A$2:$A$5,0))</f>
        <v/>
      </c>
      <c r="I3587">
        <f>INDEX(Limits!$C$2:$C$5,MATCH(E3587,Limits!$A$2:$A$5,0))</f>
        <v/>
      </c>
      <c r="J3587">
        <f>IF(F3587&gt;=I3587,"Action",IF(F3587&gt;=H3587,"Alert","Pass"))</f>
        <v/>
      </c>
      <c r="K3587" s="4">
        <f>DATE(YEAR(B3587),MONTH(B3587),1)</f>
        <v/>
      </c>
    </row>
    <row r="3588">
      <c r="A3588" t="inlineStr">
        <is>
          <t>EM003587</t>
        </is>
      </c>
      <c r="B3588" s="7" t="n">
        <v>46289</v>
      </c>
      <c r="C3588" t="inlineStr">
        <is>
          <t>CR-202</t>
        </is>
      </c>
      <c r="D3588" t="inlineStr">
        <is>
          <t>ISO 8</t>
        </is>
      </c>
      <c r="E3588" t="inlineStr">
        <is>
          <t>Compressed air</t>
        </is>
      </c>
      <c r="F3588" t="n">
        <v>0</v>
      </c>
      <c r="G3588" t="inlineStr">
        <is>
          <t>Tech A</t>
        </is>
      </c>
      <c r="H3588">
        <f>INDEX(Limits!$B$2:$B$5,MATCH(E3588,Limits!$A$2:$A$5,0))</f>
        <v/>
      </c>
      <c r="I3588">
        <f>INDEX(Limits!$C$2:$C$5,MATCH(E3588,Limits!$A$2:$A$5,0))</f>
        <v/>
      </c>
      <c r="J3588">
        <f>IF(F3588&gt;=I3588,"Action",IF(F3588&gt;=H3588,"Alert","Pass"))</f>
        <v/>
      </c>
      <c r="K3588" s="4">
        <f>DATE(YEAR(B3588),MONTH(B3588),1)</f>
        <v/>
      </c>
    </row>
    <row r="3589">
      <c r="A3589" t="inlineStr">
        <is>
          <t>EM003588</t>
        </is>
      </c>
      <c r="B3589" s="7" t="n">
        <v>46289</v>
      </c>
      <c r="C3589" t="inlineStr">
        <is>
          <t>CR-202</t>
        </is>
      </c>
      <c r="D3589" t="inlineStr">
        <is>
          <t>ISO 8</t>
        </is>
      </c>
      <c r="E3589" t="inlineStr">
        <is>
          <t>Personnel glove</t>
        </is>
      </c>
      <c r="F3589" t="n">
        <v>0</v>
      </c>
      <c r="G3589" t="inlineStr">
        <is>
          <t>Tech B</t>
        </is>
      </c>
      <c r="H3589">
        <f>INDEX(Limits!$B$2:$B$5,MATCH(E3589,Limits!$A$2:$A$5,0))</f>
        <v/>
      </c>
      <c r="I3589">
        <f>INDEX(Limits!$C$2:$C$5,MATCH(E3589,Limits!$A$2:$A$5,0))</f>
        <v/>
      </c>
      <c r="J3589">
        <f>IF(F3589&gt;=I3589,"Action",IF(F3589&gt;=H3589,"Alert","Pass"))</f>
        <v/>
      </c>
      <c r="K3589" s="4">
        <f>DATE(YEAR(B3589),MONTH(B3589),1)</f>
        <v/>
      </c>
    </row>
    <row r="3590">
      <c r="A3590" t="inlineStr">
        <is>
          <t>EM003589</t>
        </is>
      </c>
      <c r="B3590" s="7" t="n">
        <v>46289</v>
      </c>
      <c r="C3590" t="inlineStr">
        <is>
          <t>Gowning</t>
        </is>
      </c>
      <c r="D3590" t="inlineStr">
        <is>
          <t>ISO 8</t>
        </is>
      </c>
      <c r="E3590" t="inlineStr">
        <is>
          <t>Active air</t>
        </is>
      </c>
      <c r="F3590" t="n">
        <v>3</v>
      </c>
      <c r="G3590" t="inlineStr">
        <is>
          <t>Tech C</t>
        </is>
      </c>
      <c r="H3590">
        <f>INDEX(Limits!$B$2:$B$5,MATCH(E3590,Limits!$A$2:$A$5,0))</f>
        <v/>
      </c>
      <c r="I3590">
        <f>INDEX(Limits!$C$2:$C$5,MATCH(E3590,Limits!$A$2:$A$5,0))</f>
        <v/>
      </c>
      <c r="J3590">
        <f>IF(F3590&gt;=I3590,"Action",IF(F3590&gt;=H3590,"Alert","Pass"))</f>
        <v/>
      </c>
      <c r="K3590" s="4">
        <f>DATE(YEAR(B3590),MONTH(B3590),1)</f>
        <v/>
      </c>
    </row>
    <row r="3591">
      <c r="A3591" t="inlineStr">
        <is>
          <t>EM003590</t>
        </is>
      </c>
      <c r="B3591" s="7" t="n">
        <v>46289</v>
      </c>
      <c r="C3591" t="inlineStr">
        <is>
          <t>Gowning</t>
        </is>
      </c>
      <c r="D3591" t="inlineStr">
        <is>
          <t>ISO 8</t>
        </is>
      </c>
      <c r="E3591" t="inlineStr">
        <is>
          <t>Surface contact</t>
        </is>
      </c>
      <c r="F3591" t="n">
        <v>0</v>
      </c>
      <c r="G3591" t="inlineStr">
        <is>
          <t>Tech C</t>
        </is>
      </c>
      <c r="H3591">
        <f>INDEX(Limits!$B$2:$B$5,MATCH(E3591,Limits!$A$2:$A$5,0))</f>
        <v/>
      </c>
      <c r="I3591">
        <f>INDEX(Limits!$C$2:$C$5,MATCH(E3591,Limits!$A$2:$A$5,0))</f>
        <v/>
      </c>
      <c r="J3591">
        <f>IF(F3591&gt;=I3591,"Action",IF(F3591&gt;=H3591,"Alert","Pass"))</f>
        <v/>
      </c>
      <c r="K3591" s="4">
        <f>DATE(YEAR(B3591),MONTH(B3591),1)</f>
        <v/>
      </c>
    </row>
    <row r="3592">
      <c r="A3592" t="inlineStr">
        <is>
          <t>EM003591</t>
        </is>
      </c>
      <c r="B3592" s="7" t="n">
        <v>46289</v>
      </c>
      <c r="C3592" t="inlineStr">
        <is>
          <t>Gowning</t>
        </is>
      </c>
      <c r="D3592" t="inlineStr">
        <is>
          <t>ISO 8</t>
        </is>
      </c>
      <c r="E3592" t="inlineStr">
        <is>
          <t>Personnel glove</t>
        </is>
      </c>
      <c r="F3592" t="n">
        <v>0</v>
      </c>
      <c r="G3592" t="inlineStr">
        <is>
          <t>Tech D</t>
        </is>
      </c>
      <c r="H3592">
        <f>INDEX(Limits!$B$2:$B$5,MATCH(E3592,Limits!$A$2:$A$5,0))</f>
        <v/>
      </c>
      <c r="I3592">
        <f>INDEX(Limits!$C$2:$C$5,MATCH(E3592,Limits!$A$2:$A$5,0))</f>
        <v/>
      </c>
      <c r="J3592">
        <f>IF(F3592&gt;=I3592,"Action",IF(F3592&gt;=H3592,"Alert","Pass"))</f>
        <v/>
      </c>
      <c r="K3592" s="4">
        <f>DATE(YEAR(B3592),MONTH(B3592),1)</f>
        <v/>
      </c>
    </row>
    <row r="3593">
      <c r="A3593" t="inlineStr">
        <is>
          <t>EM003592</t>
        </is>
      </c>
      <c r="B3593" s="7" t="n">
        <v>46290</v>
      </c>
      <c r="C3593" t="inlineStr">
        <is>
          <t>CR-101</t>
        </is>
      </c>
      <c r="D3593" t="inlineStr">
        <is>
          <t>ISO 7</t>
        </is>
      </c>
      <c r="E3593" t="inlineStr">
        <is>
          <t>Active air</t>
        </is>
      </c>
      <c r="F3593" t="n">
        <v>3</v>
      </c>
      <c r="G3593" t="inlineStr">
        <is>
          <t>Tech B</t>
        </is>
      </c>
      <c r="H3593">
        <f>INDEX(Limits!$B$2:$B$5,MATCH(E3593,Limits!$A$2:$A$5,0))</f>
        <v/>
      </c>
      <c r="I3593">
        <f>INDEX(Limits!$C$2:$C$5,MATCH(E3593,Limits!$A$2:$A$5,0))</f>
        <v/>
      </c>
      <c r="J3593">
        <f>IF(F3593&gt;=I3593,"Action",IF(F3593&gt;=H3593,"Alert","Pass"))</f>
        <v/>
      </c>
      <c r="K3593" s="4">
        <f>DATE(YEAR(B3593),MONTH(B3593),1)</f>
        <v/>
      </c>
    </row>
    <row r="3594">
      <c r="A3594" t="inlineStr">
        <is>
          <t>EM003593</t>
        </is>
      </c>
      <c r="B3594" s="7" t="n">
        <v>46290</v>
      </c>
      <c r="C3594" t="inlineStr">
        <is>
          <t>CR-101</t>
        </is>
      </c>
      <c r="D3594" t="inlineStr">
        <is>
          <t>ISO 7</t>
        </is>
      </c>
      <c r="E3594" t="inlineStr">
        <is>
          <t>Surface contact</t>
        </is>
      </c>
      <c r="F3594" t="n">
        <v>1</v>
      </c>
      <c r="G3594" t="inlineStr">
        <is>
          <t>Tech A</t>
        </is>
      </c>
      <c r="H3594">
        <f>INDEX(Limits!$B$2:$B$5,MATCH(E3594,Limits!$A$2:$A$5,0))</f>
        <v/>
      </c>
      <c r="I3594">
        <f>INDEX(Limits!$C$2:$C$5,MATCH(E3594,Limits!$A$2:$A$5,0))</f>
        <v/>
      </c>
      <c r="J3594">
        <f>IF(F3594&gt;=I3594,"Action",IF(F3594&gt;=H3594,"Alert","Pass"))</f>
        <v/>
      </c>
      <c r="K3594" s="4">
        <f>DATE(YEAR(B3594),MONTH(B3594),1)</f>
        <v/>
      </c>
    </row>
    <row r="3595">
      <c r="A3595" t="inlineStr">
        <is>
          <t>EM003594</t>
        </is>
      </c>
      <c r="B3595" s="7" t="n">
        <v>46290</v>
      </c>
      <c r="C3595" t="inlineStr">
        <is>
          <t>CR-101</t>
        </is>
      </c>
      <c r="D3595" t="inlineStr">
        <is>
          <t>ISO 7</t>
        </is>
      </c>
      <c r="E3595" t="inlineStr">
        <is>
          <t>Compressed air</t>
        </is>
      </c>
      <c r="F3595" t="n">
        <v>0</v>
      </c>
      <c r="G3595" t="inlineStr">
        <is>
          <t>Tech B</t>
        </is>
      </c>
      <c r="H3595">
        <f>INDEX(Limits!$B$2:$B$5,MATCH(E3595,Limits!$A$2:$A$5,0))</f>
        <v/>
      </c>
      <c r="I3595">
        <f>INDEX(Limits!$C$2:$C$5,MATCH(E3595,Limits!$A$2:$A$5,0))</f>
        <v/>
      </c>
      <c r="J3595">
        <f>IF(F3595&gt;=I3595,"Action",IF(F3595&gt;=H3595,"Alert","Pass"))</f>
        <v/>
      </c>
      <c r="K3595" s="4">
        <f>DATE(YEAR(B3595),MONTH(B3595),1)</f>
        <v/>
      </c>
    </row>
    <row r="3596">
      <c r="A3596" t="inlineStr">
        <is>
          <t>EM003595</t>
        </is>
      </c>
      <c r="B3596" s="7" t="n">
        <v>46290</v>
      </c>
      <c r="C3596" t="inlineStr">
        <is>
          <t>CR-101</t>
        </is>
      </c>
      <c r="D3596" t="inlineStr">
        <is>
          <t>ISO 7</t>
        </is>
      </c>
      <c r="E3596" t="inlineStr">
        <is>
          <t>Personnel glove</t>
        </is>
      </c>
      <c r="F3596" t="n">
        <v>0</v>
      </c>
      <c r="G3596" t="inlineStr">
        <is>
          <t>Tech C</t>
        </is>
      </c>
      <c r="H3596">
        <f>INDEX(Limits!$B$2:$B$5,MATCH(E3596,Limits!$A$2:$A$5,0))</f>
        <v/>
      </c>
      <c r="I3596">
        <f>INDEX(Limits!$C$2:$C$5,MATCH(E3596,Limits!$A$2:$A$5,0))</f>
        <v/>
      </c>
      <c r="J3596">
        <f>IF(F3596&gt;=I3596,"Action",IF(F3596&gt;=H3596,"Alert","Pass"))</f>
        <v/>
      </c>
      <c r="K3596" s="4">
        <f>DATE(YEAR(B3596),MONTH(B3596),1)</f>
        <v/>
      </c>
    </row>
    <row r="3597">
      <c r="A3597" t="inlineStr">
        <is>
          <t>EM003596</t>
        </is>
      </c>
      <c r="B3597" s="7" t="n">
        <v>46290</v>
      </c>
      <c r="C3597" t="inlineStr">
        <is>
          <t>CR-102</t>
        </is>
      </c>
      <c r="D3597" t="inlineStr">
        <is>
          <t>ISO 7</t>
        </is>
      </c>
      <c r="E3597" t="inlineStr">
        <is>
          <t>Active air</t>
        </is>
      </c>
      <c r="F3597" t="n">
        <v>2</v>
      </c>
      <c r="G3597" t="inlineStr">
        <is>
          <t>Tech D</t>
        </is>
      </c>
      <c r="H3597">
        <f>INDEX(Limits!$B$2:$B$5,MATCH(E3597,Limits!$A$2:$A$5,0))</f>
        <v/>
      </c>
      <c r="I3597">
        <f>INDEX(Limits!$C$2:$C$5,MATCH(E3597,Limits!$A$2:$A$5,0))</f>
        <v/>
      </c>
      <c r="J3597">
        <f>IF(F3597&gt;=I3597,"Action",IF(F3597&gt;=H3597,"Alert","Pass"))</f>
        <v/>
      </c>
      <c r="K3597" s="4">
        <f>DATE(YEAR(B3597),MONTH(B3597),1)</f>
        <v/>
      </c>
    </row>
    <row r="3598">
      <c r="A3598" t="inlineStr">
        <is>
          <t>EM003597</t>
        </is>
      </c>
      <c r="B3598" s="7" t="n">
        <v>46290</v>
      </c>
      <c r="C3598" t="inlineStr">
        <is>
          <t>CR-102</t>
        </is>
      </c>
      <c r="D3598" t="inlineStr">
        <is>
          <t>ISO 7</t>
        </is>
      </c>
      <c r="E3598" t="inlineStr">
        <is>
          <t>Surface contact</t>
        </is>
      </c>
      <c r="F3598" t="n">
        <v>0</v>
      </c>
      <c r="G3598" t="inlineStr">
        <is>
          <t>Tech D</t>
        </is>
      </c>
      <c r="H3598">
        <f>INDEX(Limits!$B$2:$B$5,MATCH(E3598,Limits!$A$2:$A$5,0))</f>
        <v/>
      </c>
      <c r="I3598">
        <f>INDEX(Limits!$C$2:$C$5,MATCH(E3598,Limits!$A$2:$A$5,0))</f>
        <v/>
      </c>
      <c r="J3598">
        <f>IF(F3598&gt;=I3598,"Action",IF(F3598&gt;=H3598,"Alert","Pass"))</f>
        <v/>
      </c>
      <c r="K3598" s="4">
        <f>DATE(YEAR(B3598),MONTH(B3598),1)</f>
        <v/>
      </c>
    </row>
    <row r="3599">
      <c r="A3599" t="inlineStr">
        <is>
          <t>EM003598</t>
        </is>
      </c>
      <c r="B3599" s="7" t="n">
        <v>46290</v>
      </c>
      <c r="C3599" t="inlineStr">
        <is>
          <t>CR-102</t>
        </is>
      </c>
      <c r="D3599" t="inlineStr">
        <is>
          <t>ISO 7</t>
        </is>
      </c>
      <c r="E3599" t="inlineStr">
        <is>
          <t>Compressed air</t>
        </is>
      </c>
      <c r="F3599" t="n">
        <v>0</v>
      </c>
      <c r="G3599" t="inlineStr">
        <is>
          <t>Tech A</t>
        </is>
      </c>
      <c r="H3599">
        <f>INDEX(Limits!$B$2:$B$5,MATCH(E3599,Limits!$A$2:$A$5,0))</f>
        <v/>
      </c>
      <c r="I3599">
        <f>INDEX(Limits!$C$2:$C$5,MATCH(E3599,Limits!$A$2:$A$5,0))</f>
        <v/>
      </c>
      <c r="J3599">
        <f>IF(F3599&gt;=I3599,"Action",IF(F3599&gt;=H3599,"Alert","Pass"))</f>
        <v/>
      </c>
      <c r="K3599" s="4">
        <f>DATE(YEAR(B3599),MONTH(B3599),1)</f>
        <v/>
      </c>
    </row>
    <row r="3600">
      <c r="A3600" t="inlineStr">
        <is>
          <t>EM003599</t>
        </is>
      </c>
      <c r="B3600" s="7" t="n">
        <v>46290</v>
      </c>
      <c r="C3600" t="inlineStr">
        <is>
          <t>CR-102</t>
        </is>
      </c>
      <c r="D3600" t="inlineStr">
        <is>
          <t>ISO 7</t>
        </is>
      </c>
      <c r="E3600" t="inlineStr">
        <is>
          <t>Personnel glove</t>
        </is>
      </c>
      <c r="F3600" t="n">
        <v>0</v>
      </c>
      <c r="G3600" t="inlineStr">
        <is>
          <t>Tech B</t>
        </is>
      </c>
      <c r="H3600">
        <f>INDEX(Limits!$B$2:$B$5,MATCH(E3600,Limits!$A$2:$A$5,0))</f>
        <v/>
      </c>
      <c r="I3600">
        <f>INDEX(Limits!$C$2:$C$5,MATCH(E3600,Limits!$A$2:$A$5,0))</f>
        <v/>
      </c>
      <c r="J3600">
        <f>IF(F3600&gt;=I3600,"Action",IF(F3600&gt;=H3600,"Alert","Pass"))</f>
        <v/>
      </c>
      <c r="K3600" s="4">
        <f>DATE(YEAR(B3600),MONTH(B3600),1)</f>
        <v/>
      </c>
    </row>
    <row r="3601">
      <c r="A3601" t="inlineStr">
        <is>
          <t>EM003600</t>
        </is>
      </c>
      <c r="B3601" s="7" t="n">
        <v>46290</v>
      </c>
      <c r="C3601" t="inlineStr">
        <is>
          <t>CR-201</t>
        </is>
      </c>
      <c r="D3601" t="inlineStr">
        <is>
          <t>ISO 8</t>
        </is>
      </c>
      <c r="E3601" t="inlineStr">
        <is>
          <t>Active air</t>
        </is>
      </c>
      <c r="F3601" t="n">
        <v>2</v>
      </c>
      <c r="G3601" t="inlineStr">
        <is>
          <t>Tech A</t>
        </is>
      </c>
      <c r="H3601">
        <f>INDEX(Limits!$B$2:$B$5,MATCH(E3601,Limits!$A$2:$A$5,0))</f>
        <v/>
      </c>
      <c r="I3601">
        <f>INDEX(Limits!$C$2:$C$5,MATCH(E3601,Limits!$A$2:$A$5,0))</f>
        <v/>
      </c>
      <c r="J3601">
        <f>IF(F3601&gt;=I3601,"Action",IF(F3601&gt;=H3601,"Alert","Pass"))</f>
        <v/>
      </c>
      <c r="K3601" s="4">
        <f>DATE(YEAR(B3601),MONTH(B3601),1)</f>
        <v/>
      </c>
    </row>
    <row r="3602">
      <c r="A3602" t="inlineStr">
        <is>
          <t>EM003601</t>
        </is>
      </c>
      <c r="B3602" s="7" t="n">
        <v>46290</v>
      </c>
      <c r="C3602" t="inlineStr">
        <is>
          <t>CR-201</t>
        </is>
      </c>
      <c r="D3602" t="inlineStr">
        <is>
          <t>ISO 8</t>
        </is>
      </c>
      <c r="E3602" t="inlineStr">
        <is>
          <t>Surface contact</t>
        </is>
      </c>
      <c r="F3602" t="n">
        <v>2</v>
      </c>
      <c r="G3602" t="inlineStr">
        <is>
          <t>Tech C</t>
        </is>
      </c>
      <c r="H3602">
        <f>INDEX(Limits!$B$2:$B$5,MATCH(E3602,Limits!$A$2:$A$5,0))</f>
        <v/>
      </c>
      <c r="I3602">
        <f>INDEX(Limits!$C$2:$C$5,MATCH(E3602,Limits!$A$2:$A$5,0))</f>
        <v/>
      </c>
      <c r="J3602">
        <f>IF(F3602&gt;=I3602,"Action",IF(F3602&gt;=H3602,"Alert","Pass"))</f>
        <v/>
      </c>
      <c r="K3602" s="4">
        <f>DATE(YEAR(B3602),MONTH(B3602),1)</f>
        <v/>
      </c>
    </row>
    <row r="3603">
      <c r="A3603" t="inlineStr">
        <is>
          <t>EM003602</t>
        </is>
      </c>
      <c r="B3603" s="7" t="n">
        <v>46290</v>
      </c>
      <c r="C3603" t="inlineStr">
        <is>
          <t>CR-201</t>
        </is>
      </c>
      <c r="D3603" t="inlineStr">
        <is>
          <t>ISO 8</t>
        </is>
      </c>
      <c r="E3603" t="inlineStr">
        <is>
          <t>Compressed air</t>
        </is>
      </c>
      <c r="F3603" t="n">
        <v>0</v>
      </c>
      <c r="G3603" t="inlineStr">
        <is>
          <t>Tech D</t>
        </is>
      </c>
      <c r="H3603">
        <f>INDEX(Limits!$B$2:$B$5,MATCH(E3603,Limits!$A$2:$A$5,0))</f>
        <v/>
      </c>
      <c r="I3603">
        <f>INDEX(Limits!$C$2:$C$5,MATCH(E3603,Limits!$A$2:$A$5,0))</f>
        <v/>
      </c>
      <c r="J3603">
        <f>IF(F3603&gt;=I3603,"Action",IF(F3603&gt;=H3603,"Alert","Pass"))</f>
        <v/>
      </c>
      <c r="K3603" s="4">
        <f>DATE(YEAR(B3603),MONTH(B3603),1)</f>
        <v/>
      </c>
    </row>
    <row r="3604">
      <c r="A3604" t="inlineStr">
        <is>
          <t>EM003603</t>
        </is>
      </c>
      <c r="B3604" s="7" t="n">
        <v>46290</v>
      </c>
      <c r="C3604" t="inlineStr">
        <is>
          <t>CR-201</t>
        </is>
      </c>
      <c r="D3604" t="inlineStr">
        <is>
          <t>ISO 8</t>
        </is>
      </c>
      <c r="E3604" t="inlineStr">
        <is>
          <t>Personnel glove</t>
        </is>
      </c>
      <c r="F3604" t="n">
        <v>0</v>
      </c>
      <c r="G3604" t="inlineStr">
        <is>
          <t>Tech C</t>
        </is>
      </c>
      <c r="H3604">
        <f>INDEX(Limits!$B$2:$B$5,MATCH(E3604,Limits!$A$2:$A$5,0))</f>
        <v/>
      </c>
      <c r="I3604">
        <f>INDEX(Limits!$C$2:$C$5,MATCH(E3604,Limits!$A$2:$A$5,0))</f>
        <v/>
      </c>
      <c r="J3604">
        <f>IF(F3604&gt;=I3604,"Action",IF(F3604&gt;=H3604,"Alert","Pass"))</f>
        <v/>
      </c>
      <c r="K3604" s="4">
        <f>DATE(YEAR(B3604),MONTH(B3604),1)</f>
        <v/>
      </c>
    </row>
    <row r="3605">
      <c r="A3605" t="inlineStr">
        <is>
          <t>EM003604</t>
        </is>
      </c>
      <c r="B3605" s="7" t="n">
        <v>46290</v>
      </c>
      <c r="C3605" t="inlineStr">
        <is>
          <t>CR-202</t>
        </is>
      </c>
      <c r="D3605" t="inlineStr">
        <is>
          <t>ISO 8</t>
        </is>
      </c>
      <c r="E3605" t="inlineStr">
        <is>
          <t>Active air</t>
        </is>
      </c>
      <c r="F3605" t="n">
        <v>2</v>
      </c>
      <c r="G3605" t="inlineStr">
        <is>
          <t>Tech A</t>
        </is>
      </c>
      <c r="H3605">
        <f>INDEX(Limits!$B$2:$B$5,MATCH(E3605,Limits!$A$2:$A$5,0))</f>
        <v/>
      </c>
      <c r="I3605">
        <f>INDEX(Limits!$C$2:$C$5,MATCH(E3605,Limits!$A$2:$A$5,0))</f>
        <v/>
      </c>
      <c r="J3605">
        <f>IF(F3605&gt;=I3605,"Action",IF(F3605&gt;=H3605,"Alert","Pass"))</f>
        <v/>
      </c>
      <c r="K3605" s="4">
        <f>DATE(YEAR(B3605),MONTH(B3605),1)</f>
        <v/>
      </c>
    </row>
    <row r="3606">
      <c r="A3606" t="inlineStr">
        <is>
          <t>EM003605</t>
        </is>
      </c>
      <c r="B3606" s="7" t="n">
        <v>46290</v>
      </c>
      <c r="C3606" t="inlineStr">
        <is>
          <t>CR-202</t>
        </is>
      </c>
      <c r="D3606" t="inlineStr">
        <is>
          <t>ISO 8</t>
        </is>
      </c>
      <c r="E3606" t="inlineStr">
        <is>
          <t>Surface contact</t>
        </is>
      </c>
      <c r="F3606" t="n">
        <v>1</v>
      </c>
      <c r="G3606" t="inlineStr">
        <is>
          <t>Tech C</t>
        </is>
      </c>
      <c r="H3606">
        <f>INDEX(Limits!$B$2:$B$5,MATCH(E3606,Limits!$A$2:$A$5,0))</f>
        <v/>
      </c>
      <c r="I3606">
        <f>INDEX(Limits!$C$2:$C$5,MATCH(E3606,Limits!$A$2:$A$5,0))</f>
        <v/>
      </c>
      <c r="J3606">
        <f>IF(F3606&gt;=I3606,"Action",IF(F3606&gt;=H3606,"Alert","Pass"))</f>
        <v/>
      </c>
      <c r="K3606" s="4">
        <f>DATE(YEAR(B3606),MONTH(B3606),1)</f>
        <v/>
      </c>
    </row>
    <row r="3607">
      <c r="A3607" t="inlineStr">
        <is>
          <t>EM003606</t>
        </is>
      </c>
      <c r="B3607" s="7" t="n">
        <v>46290</v>
      </c>
      <c r="C3607" t="inlineStr">
        <is>
          <t>CR-202</t>
        </is>
      </c>
      <c r="D3607" t="inlineStr">
        <is>
          <t>ISO 8</t>
        </is>
      </c>
      <c r="E3607" t="inlineStr">
        <is>
          <t>Compressed air</t>
        </is>
      </c>
      <c r="F3607" t="n">
        <v>0</v>
      </c>
      <c r="G3607" t="inlineStr">
        <is>
          <t>Tech C</t>
        </is>
      </c>
      <c r="H3607">
        <f>INDEX(Limits!$B$2:$B$5,MATCH(E3607,Limits!$A$2:$A$5,0))</f>
        <v/>
      </c>
      <c r="I3607">
        <f>INDEX(Limits!$C$2:$C$5,MATCH(E3607,Limits!$A$2:$A$5,0))</f>
        <v/>
      </c>
      <c r="J3607">
        <f>IF(F3607&gt;=I3607,"Action",IF(F3607&gt;=H3607,"Alert","Pass"))</f>
        <v/>
      </c>
      <c r="K3607" s="4">
        <f>DATE(YEAR(B3607),MONTH(B3607),1)</f>
        <v/>
      </c>
    </row>
    <row r="3608">
      <c r="A3608" t="inlineStr">
        <is>
          <t>EM003607</t>
        </is>
      </c>
      <c r="B3608" s="7" t="n">
        <v>46290</v>
      </c>
      <c r="C3608" t="inlineStr">
        <is>
          <t>CR-202</t>
        </is>
      </c>
      <c r="D3608" t="inlineStr">
        <is>
          <t>ISO 8</t>
        </is>
      </c>
      <c r="E3608" t="inlineStr">
        <is>
          <t>Personnel glove</t>
        </is>
      </c>
      <c r="F3608" t="n">
        <v>0</v>
      </c>
      <c r="G3608" t="inlineStr">
        <is>
          <t>Tech B</t>
        </is>
      </c>
      <c r="H3608">
        <f>INDEX(Limits!$B$2:$B$5,MATCH(E3608,Limits!$A$2:$A$5,0))</f>
        <v/>
      </c>
      <c r="I3608">
        <f>INDEX(Limits!$C$2:$C$5,MATCH(E3608,Limits!$A$2:$A$5,0))</f>
        <v/>
      </c>
      <c r="J3608">
        <f>IF(F3608&gt;=I3608,"Action",IF(F3608&gt;=H3608,"Alert","Pass"))</f>
        <v/>
      </c>
      <c r="K3608" s="4">
        <f>DATE(YEAR(B3608),MONTH(B3608),1)</f>
        <v/>
      </c>
    </row>
    <row r="3609">
      <c r="A3609" t="inlineStr">
        <is>
          <t>EM003608</t>
        </is>
      </c>
      <c r="B3609" s="7" t="n">
        <v>46290</v>
      </c>
      <c r="C3609" t="inlineStr">
        <is>
          <t>Gowning</t>
        </is>
      </c>
      <c r="D3609" t="inlineStr">
        <is>
          <t>ISO 8</t>
        </is>
      </c>
      <c r="E3609" t="inlineStr">
        <is>
          <t>Active air</t>
        </is>
      </c>
      <c r="F3609" t="n">
        <v>2</v>
      </c>
      <c r="G3609" t="inlineStr">
        <is>
          <t>Tech B</t>
        </is>
      </c>
      <c r="H3609">
        <f>INDEX(Limits!$B$2:$B$5,MATCH(E3609,Limits!$A$2:$A$5,0))</f>
        <v/>
      </c>
      <c r="I3609">
        <f>INDEX(Limits!$C$2:$C$5,MATCH(E3609,Limits!$A$2:$A$5,0))</f>
        <v/>
      </c>
      <c r="J3609">
        <f>IF(F3609&gt;=I3609,"Action",IF(F3609&gt;=H3609,"Alert","Pass"))</f>
        <v/>
      </c>
      <c r="K3609" s="4">
        <f>DATE(YEAR(B3609),MONTH(B3609),1)</f>
        <v/>
      </c>
    </row>
    <row r="3610">
      <c r="A3610" t="inlineStr">
        <is>
          <t>EM003609</t>
        </is>
      </c>
      <c r="B3610" s="7" t="n">
        <v>46290</v>
      </c>
      <c r="C3610" t="inlineStr">
        <is>
          <t>Gowning</t>
        </is>
      </c>
      <c r="D3610" t="inlineStr">
        <is>
          <t>ISO 8</t>
        </is>
      </c>
      <c r="E3610" t="inlineStr">
        <is>
          <t>Surface contact</t>
        </is>
      </c>
      <c r="F3610" t="n">
        <v>0</v>
      </c>
      <c r="G3610" t="inlineStr">
        <is>
          <t>Tech C</t>
        </is>
      </c>
      <c r="H3610">
        <f>INDEX(Limits!$B$2:$B$5,MATCH(E3610,Limits!$A$2:$A$5,0))</f>
        <v/>
      </c>
      <c r="I3610">
        <f>INDEX(Limits!$C$2:$C$5,MATCH(E3610,Limits!$A$2:$A$5,0))</f>
        <v/>
      </c>
      <c r="J3610">
        <f>IF(F3610&gt;=I3610,"Action",IF(F3610&gt;=H3610,"Alert","Pass"))</f>
        <v/>
      </c>
      <c r="K3610" s="4">
        <f>DATE(YEAR(B3610),MONTH(B3610),1)</f>
        <v/>
      </c>
    </row>
    <row r="3611">
      <c r="A3611" t="inlineStr">
        <is>
          <t>EM003610</t>
        </is>
      </c>
      <c r="B3611" s="7" t="n">
        <v>46290</v>
      </c>
      <c r="C3611" t="inlineStr">
        <is>
          <t>Gowning</t>
        </is>
      </c>
      <c r="D3611" t="inlineStr">
        <is>
          <t>ISO 8</t>
        </is>
      </c>
      <c r="E3611" t="inlineStr">
        <is>
          <t>Personnel glove</t>
        </is>
      </c>
      <c r="F3611" t="n">
        <v>0</v>
      </c>
      <c r="G3611" t="inlineStr">
        <is>
          <t>Tech A</t>
        </is>
      </c>
      <c r="H3611">
        <f>INDEX(Limits!$B$2:$B$5,MATCH(E3611,Limits!$A$2:$A$5,0))</f>
        <v/>
      </c>
      <c r="I3611">
        <f>INDEX(Limits!$C$2:$C$5,MATCH(E3611,Limits!$A$2:$A$5,0))</f>
        <v/>
      </c>
      <c r="J3611">
        <f>IF(F3611&gt;=I3611,"Action",IF(F3611&gt;=H3611,"Alert","Pass"))</f>
        <v/>
      </c>
      <c r="K3611" s="4">
        <f>DATE(YEAR(B3611),MONTH(B3611),1)</f>
        <v/>
      </c>
    </row>
  </sheetData>
  <conditionalFormatting sqref="J2:J3611">
    <cfRule type="cellIs" priority="1" operator="equal" dxfId="0">
      <formula>"Action"</formula>
    </cfRule>
    <cfRule type="cellIs" priority="2" operator="equal" dxfId="1">
      <formula>"Alert"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room</t>
        </is>
      </c>
      <c r="B1" s="6" t="inlineStr">
        <is>
          <t>baseline_pct</t>
        </is>
      </c>
      <c r="C1" s="6" t="inlineStr">
        <is>
          <t>last30_pct</t>
        </is>
      </c>
      <c r="D1" s="6" t="inlineStr">
        <is>
          <t>change_pts</t>
        </is>
      </c>
    </row>
    <row r="2">
      <c r="A2" t="inlineStr">
        <is>
          <t>CR-101</t>
        </is>
      </c>
      <c r="B2" t="n">
        <v>1.17</v>
      </c>
      <c r="C2" t="n">
        <v>3.41</v>
      </c>
      <c r="D2" t="n">
        <v>2.24</v>
      </c>
    </row>
    <row r="3">
      <c r="A3" t="inlineStr">
        <is>
          <t>Gowning</t>
        </is>
      </c>
      <c r="B3" t="n">
        <v>7.29</v>
      </c>
      <c r="C3" t="n">
        <v>7.58</v>
      </c>
      <c r="D3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room</t>
        </is>
      </c>
      <c r="B1" s="6" t="inlineStr">
        <is>
          <t>sample_type</t>
        </is>
      </c>
      <c r="C1" s="6" t="inlineStr">
        <is>
          <t>sample_date</t>
        </is>
      </c>
      <c r="D1" s="6" t="inlineStr">
        <is>
          <t>excursions_in_14_days</t>
        </is>
      </c>
    </row>
    <row r="2">
      <c r="A2" t="inlineStr">
        <is>
          <t>CR-202</t>
        </is>
      </c>
      <c r="B2" t="inlineStr">
        <is>
          <t>Surface contact</t>
        </is>
      </c>
      <c r="C2" t="inlineStr">
        <is>
          <t>2026-02-10</t>
        </is>
      </c>
      <c r="D2" t="n">
        <v>3</v>
      </c>
    </row>
    <row r="3">
      <c r="A3" t="inlineStr">
        <is>
          <t>CR-102</t>
        </is>
      </c>
      <c r="B3" t="inlineStr">
        <is>
          <t>Compressed air</t>
        </is>
      </c>
      <c r="C3" t="inlineStr">
        <is>
          <t>2026-02-26</t>
        </is>
      </c>
      <c r="D3" t="n">
        <v>3</v>
      </c>
    </row>
    <row r="4">
      <c r="A4" t="inlineStr">
        <is>
          <t>Gowning</t>
        </is>
      </c>
      <c r="B4" t="inlineStr">
        <is>
          <t>Personnel glove</t>
        </is>
      </c>
      <c r="C4" t="inlineStr">
        <is>
          <t>2026-03-02</t>
        </is>
      </c>
      <c r="D4" t="n">
        <v>3</v>
      </c>
    </row>
    <row r="5">
      <c r="A5" t="inlineStr">
        <is>
          <t>Gowning</t>
        </is>
      </c>
      <c r="B5" t="inlineStr">
        <is>
          <t>Personnel glove</t>
        </is>
      </c>
      <c r="C5" t="inlineStr">
        <is>
          <t>2026-05-12</t>
        </is>
      </c>
      <c r="D5" t="n">
        <v>3</v>
      </c>
    </row>
    <row r="6">
      <c r="A6" t="inlineStr">
        <is>
          <t>CR-202</t>
        </is>
      </c>
      <c r="B6" t="inlineStr">
        <is>
          <t>Surface contact</t>
        </is>
      </c>
      <c r="C6" t="inlineStr">
        <is>
          <t>2026-07-09</t>
        </is>
      </c>
      <c r="D6" t="n">
        <v>3</v>
      </c>
    </row>
    <row r="7">
      <c r="A7" t="inlineStr">
        <is>
          <t>CR-202</t>
        </is>
      </c>
      <c r="B7" t="inlineStr">
        <is>
          <t>Personnel glove</t>
        </is>
      </c>
      <c r="C7" t="inlineStr">
        <is>
          <t>2026-07-09</t>
        </is>
      </c>
      <c r="D7" t="n">
        <v>3</v>
      </c>
    </row>
    <row r="8">
      <c r="A8" t="inlineStr">
        <is>
          <t>CR-202</t>
        </is>
      </c>
      <c r="B8" t="inlineStr">
        <is>
          <t>Surface contact</t>
        </is>
      </c>
      <c r="C8" t="inlineStr">
        <is>
          <t>2026-07-13</t>
        </is>
      </c>
      <c r="D8" t="n">
        <v>4</v>
      </c>
    </row>
    <row r="9">
      <c r="A9" t="inlineStr">
        <is>
          <t>CR-202</t>
        </is>
      </c>
      <c r="B9" t="inlineStr">
        <is>
          <t>Personnel glove</t>
        </is>
      </c>
      <c r="C9" t="inlineStr">
        <is>
          <t>2026-07-13</t>
        </is>
      </c>
      <c r="D9" t="n">
        <v>3</v>
      </c>
    </row>
    <row r="10">
      <c r="A10" t="inlineStr">
        <is>
          <t>CR-202</t>
        </is>
      </c>
      <c r="B10" t="inlineStr">
        <is>
          <t>Personnel glove</t>
        </is>
      </c>
      <c r="C10" t="inlineStr">
        <is>
          <t>2026-07-15</t>
        </is>
      </c>
      <c r="D10" t="n">
        <v>4</v>
      </c>
    </row>
    <row r="11">
      <c r="A11" t="inlineStr">
        <is>
          <t>CR-202</t>
        </is>
      </c>
      <c r="B11" t="inlineStr">
        <is>
          <t>Personnel glove</t>
        </is>
      </c>
      <c r="C11" t="inlineStr">
        <is>
          <t>2026-07-16</t>
        </is>
      </c>
      <c r="D11" t="n">
        <v>5</v>
      </c>
    </row>
    <row r="12">
      <c r="A12" t="inlineStr">
        <is>
          <t>CR-201</t>
        </is>
      </c>
      <c r="B12" t="inlineStr">
        <is>
          <t>Personnel glove</t>
        </is>
      </c>
      <c r="C12" t="inlineStr">
        <is>
          <t>2026-07-21</t>
        </is>
      </c>
      <c r="D12" t="n">
        <v>3</v>
      </c>
    </row>
    <row r="13">
      <c r="A13" t="inlineStr">
        <is>
          <t>CR-201</t>
        </is>
      </c>
      <c r="B13" t="inlineStr">
        <is>
          <t>Personnel glove</t>
        </is>
      </c>
      <c r="C13" t="inlineStr">
        <is>
          <t>2026-07-23</t>
        </is>
      </c>
      <c r="D13" t="n">
        <v>4</v>
      </c>
    </row>
    <row r="14">
      <c r="A14" t="inlineStr">
        <is>
          <t>CR-202</t>
        </is>
      </c>
      <c r="B14" t="inlineStr">
        <is>
          <t>Personnel glove</t>
        </is>
      </c>
      <c r="C14" t="inlineStr">
        <is>
          <t>2026-07-23</t>
        </is>
      </c>
      <c r="D14" t="n">
        <v>4</v>
      </c>
    </row>
    <row r="15">
      <c r="A15" t="inlineStr">
        <is>
          <t>CR-201</t>
        </is>
      </c>
      <c r="B15" t="inlineStr">
        <is>
          <t>Personnel glove</t>
        </is>
      </c>
      <c r="C15" t="inlineStr">
        <is>
          <t>2026-07-30</t>
        </is>
      </c>
      <c r="D15" t="n">
        <v>4</v>
      </c>
    </row>
    <row r="16">
      <c r="A16" t="inlineStr">
        <is>
          <t>Gowning</t>
        </is>
      </c>
      <c r="B16" t="inlineStr">
        <is>
          <t>Active air</t>
        </is>
      </c>
      <c r="C16" t="inlineStr">
        <is>
          <t>2026-07-30</t>
        </is>
      </c>
      <c r="D16" t="n">
        <v>3</v>
      </c>
    </row>
    <row r="17">
      <c r="A17" t="inlineStr">
        <is>
          <t>CR-202</t>
        </is>
      </c>
      <c r="B17" t="inlineStr">
        <is>
          <t>Surface contact</t>
        </is>
      </c>
      <c r="C17" t="inlineStr">
        <is>
          <t>2026-08-05</t>
        </is>
      </c>
      <c r="D17" t="n">
        <v>3</v>
      </c>
    </row>
    <row r="18">
      <c r="A18" t="inlineStr">
        <is>
          <t>CR-202</t>
        </is>
      </c>
      <c r="B18" t="inlineStr">
        <is>
          <t>Personnel glove</t>
        </is>
      </c>
      <c r="C18" t="inlineStr">
        <is>
          <t>2026-08-07</t>
        </is>
      </c>
      <c r="D18" t="n">
        <v>3</v>
      </c>
    </row>
    <row r="19">
      <c r="A19" t="inlineStr">
        <is>
          <t>CR-202</t>
        </is>
      </c>
      <c r="B19" t="inlineStr">
        <is>
          <t>Surface contact</t>
        </is>
      </c>
      <c r="C19" t="inlineStr">
        <is>
          <t>2026-08-10</t>
        </is>
      </c>
      <c r="D19" t="n">
        <v>3</v>
      </c>
    </row>
    <row r="20">
      <c r="A20" t="inlineStr">
        <is>
          <t>CR-202</t>
        </is>
      </c>
      <c r="B20" t="inlineStr">
        <is>
          <t>Personnel glove</t>
        </is>
      </c>
      <c r="C20" t="inlineStr">
        <is>
          <t>2026-08-13</t>
        </is>
      </c>
      <c r="D20" t="n">
        <v>4</v>
      </c>
    </row>
    <row r="21">
      <c r="A21" t="inlineStr">
        <is>
          <t>Gowning</t>
        </is>
      </c>
      <c r="B21" t="inlineStr">
        <is>
          <t>Surface contact</t>
        </is>
      </c>
      <c r="C21" t="inlineStr">
        <is>
          <t>2026-08-17</t>
        </is>
      </c>
      <c r="D21" t="n">
        <v>3</v>
      </c>
    </row>
    <row r="22">
      <c r="A22" t="inlineStr">
        <is>
          <t>CR-202</t>
        </is>
      </c>
      <c r="B22" t="inlineStr">
        <is>
          <t>Surface contact</t>
        </is>
      </c>
      <c r="C22" t="inlineStr">
        <is>
          <t>2026-08-21</t>
        </is>
      </c>
      <c r="D22" t="n">
        <v>3</v>
      </c>
    </row>
    <row r="23">
      <c r="A23" t="inlineStr">
        <is>
          <t>Gowning</t>
        </is>
      </c>
      <c r="B23" t="inlineStr">
        <is>
          <t>Personnel glove</t>
        </is>
      </c>
      <c r="C23" t="inlineStr">
        <is>
          <t>2026-09-23</t>
        </is>
      </c>
      <c r="D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BuildWeeklyReport (vba/EMReport.bas) to fill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2026-10-06T06:18:24Z</dcterms:created>
  <dcterms:modified xmlns:dcterms="http://purl.org/dc/terms/" xmlns:xsi="http://www.w3.org/2001/XMLSchema-instance" xsi:type="dcterms:W3CDTF">2026-10-06T06:18:25Z</dcterms:modified>
</cp:coreProperties>
</file>